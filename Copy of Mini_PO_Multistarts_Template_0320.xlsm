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p365-my.sharepoint.com/personal/ranganath_venkataraman_bp_com/Documents/Desktop/"/>
    </mc:Choice>
  </mc:AlternateContent>
  <xr:revisionPtr revIDLastSave="0" documentId="8_{1078F430-A787-492A-934A-1CDEBBA09D0D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Metrics overview" sheetId="1" r:id="rId1"/>
    <sheet name="Multi-start Raw data" sheetId="3" r:id="rId2"/>
    <sheet name="Manual" sheetId="4" r:id="rId3"/>
    <sheet name="Changelog" sheetId="5" r:id="rId4"/>
  </sheets>
  <definedNames>
    <definedName name="_xlnm._FilterDatabase" localSheetId="0" hidden="1">'Multi-start Raw data'!$B$5:$J$2225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M8" i="1" l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7" i="1"/>
  <c r="B118" i="1" l="1" a="1"/>
  <c r="B118" i="1" s="1"/>
  <c r="C118" i="1" a="1"/>
  <c r="C118" i="1" s="1"/>
  <c r="D118" i="1" a="1"/>
  <c r="D118" i="1" s="1"/>
  <c r="E118" i="1" a="1"/>
  <c r="E118" i="1" s="1"/>
  <c r="F118" i="1" a="1"/>
  <c r="F118" i="1" s="1"/>
  <c r="G118" i="1" a="1"/>
  <c r="G118" i="1" s="1"/>
  <c r="H118" i="1" a="1"/>
  <c r="H118" i="1" s="1"/>
  <c r="I118" i="1" a="1"/>
  <c r="I118" i="1" s="1"/>
  <c r="J118" i="1" a="1"/>
  <c r="J118" i="1" s="1"/>
  <c r="K118" i="1" a="1"/>
  <c r="K118" i="1" s="1"/>
  <c r="L118" i="1" a="1"/>
  <c r="L118" i="1" s="1"/>
  <c r="M118" i="1" a="1"/>
  <c r="M118" i="1" s="1"/>
  <c r="N118" i="1" a="1"/>
  <c r="N118" i="1" s="1"/>
  <c r="O118" i="1" a="1"/>
  <c r="O118" i="1" s="1"/>
  <c r="P118" i="1" a="1"/>
  <c r="P118" i="1" s="1"/>
  <c r="Q118" i="1" a="1"/>
  <c r="Q118" i="1" s="1"/>
  <c r="R118" i="1" a="1"/>
  <c r="R118" i="1" s="1"/>
  <c r="S118" i="1" a="1"/>
  <c r="S118" i="1" s="1"/>
  <c r="T118" i="1" a="1"/>
  <c r="T118" i="1" s="1"/>
  <c r="U118" i="1" a="1"/>
  <c r="U118" i="1" s="1"/>
  <c r="B119" i="1" a="1"/>
  <c r="B119" i="1" s="1"/>
  <c r="C119" i="1" a="1"/>
  <c r="C119" i="1" s="1"/>
  <c r="D119" i="1" a="1"/>
  <c r="D119" i="1" s="1"/>
  <c r="E119" i="1" a="1"/>
  <c r="E119" i="1" s="1"/>
  <c r="F119" i="1" a="1"/>
  <c r="F119" i="1" s="1"/>
  <c r="G119" i="1" a="1"/>
  <c r="G119" i="1" s="1"/>
  <c r="H119" i="1" a="1"/>
  <c r="H119" i="1" s="1"/>
  <c r="I119" i="1" a="1"/>
  <c r="I119" i="1" s="1"/>
  <c r="J119" i="1" a="1"/>
  <c r="J119" i="1" s="1"/>
  <c r="K119" i="1" a="1"/>
  <c r="K119" i="1" s="1"/>
  <c r="L119" i="1" a="1"/>
  <c r="L119" i="1" s="1"/>
  <c r="M119" i="1" a="1"/>
  <c r="M119" i="1" s="1"/>
  <c r="N119" i="1" a="1"/>
  <c r="N119" i="1" s="1"/>
  <c r="O119" i="1" a="1"/>
  <c r="O119" i="1" s="1"/>
  <c r="P119" i="1" a="1"/>
  <c r="P119" i="1" s="1"/>
  <c r="Q119" i="1" a="1"/>
  <c r="Q119" i="1" s="1"/>
  <c r="R119" i="1" a="1"/>
  <c r="R119" i="1" s="1"/>
  <c r="S119" i="1" a="1"/>
  <c r="S119" i="1" s="1"/>
  <c r="T119" i="1" a="1"/>
  <c r="T119" i="1" s="1"/>
  <c r="U119" i="1" a="1"/>
  <c r="U119" i="1" s="1"/>
  <c r="B120" i="1" a="1"/>
  <c r="B120" i="1" s="1"/>
  <c r="C120" i="1" a="1"/>
  <c r="C120" i="1" s="1"/>
  <c r="D120" i="1" a="1"/>
  <c r="D120" i="1" s="1"/>
  <c r="E120" i="1" a="1"/>
  <c r="E120" i="1" s="1"/>
  <c r="F120" i="1" a="1"/>
  <c r="F120" i="1" s="1"/>
  <c r="G120" i="1" a="1"/>
  <c r="G120" i="1" s="1"/>
  <c r="H120" i="1" a="1"/>
  <c r="H120" i="1" s="1"/>
  <c r="I120" i="1" a="1"/>
  <c r="I120" i="1" s="1"/>
  <c r="J120" i="1" a="1"/>
  <c r="J120" i="1" s="1"/>
  <c r="K120" i="1" a="1"/>
  <c r="K120" i="1" s="1"/>
  <c r="L120" i="1" a="1"/>
  <c r="L120" i="1" s="1"/>
  <c r="M120" i="1" a="1"/>
  <c r="M120" i="1" s="1"/>
  <c r="N120" i="1" a="1"/>
  <c r="N120" i="1" s="1"/>
  <c r="O120" i="1" a="1"/>
  <c r="O120" i="1" s="1"/>
  <c r="P120" i="1" a="1"/>
  <c r="P120" i="1" s="1"/>
  <c r="Q120" i="1" a="1"/>
  <c r="Q120" i="1" s="1"/>
  <c r="R120" i="1" a="1"/>
  <c r="R120" i="1" s="1"/>
  <c r="S120" i="1" a="1"/>
  <c r="S120" i="1" s="1"/>
  <c r="T120" i="1" a="1"/>
  <c r="T120" i="1" s="1"/>
  <c r="U120" i="1" a="1"/>
  <c r="U120" i="1" s="1"/>
  <c r="Y119" i="1" l="1"/>
  <c r="W119" i="1"/>
  <c r="X119" i="1"/>
  <c r="Z119" i="1"/>
  <c r="AA119" i="1"/>
  <c r="W118" i="1"/>
  <c r="AA118" i="1"/>
  <c r="X118" i="1"/>
  <c r="Y118" i="1"/>
  <c r="Z118" i="1"/>
  <c r="Y120" i="1"/>
  <c r="W120" i="1"/>
  <c r="AA120" i="1"/>
  <c r="X120" i="1"/>
  <c r="Z120" i="1"/>
  <c r="A2" i="1"/>
  <c r="C7" i="1" a="1"/>
  <c r="C7" i="1" s="1"/>
  <c r="D7" i="1" a="1"/>
  <c r="D7" i="1" s="1"/>
  <c r="E7" i="1" a="1"/>
  <c r="E7" i="1" s="1"/>
  <c r="F7" i="1" a="1"/>
  <c r="F7" i="1" s="1"/>
  <c r="G7" i="1" a="1"/>
  <c r="G7" i="1" s="1"/>
  <c r="H7" i="1" a="1"/>
  <c r="H7" i="1" s="1"/>
  <c r="I7" i="1" a="1"/>
  <c r="I7" i="1" s="1"/>
  <c r="J7" i="1" a="1"/>
  <c r="J7" i="1" s="1"/>
  <c r="K7" i="1" a="1"/>
  <c r="K7" i="1" s="1"/>
  <c r="L7" i="1" a="1"/>
  <c r="L7" i="1" s="1"/>
  <c r="M7" i="1" a="1"/>
  <c r="M7" i="1" s="1"/>
  <c r="N7" i="1" a="1"/>
  <c r="N7" i="1" s="1"/>
  <c r="O7" i="1" a="1"/>
  <c r="O7" i="1" s="1"/>
  <c r="P7" i="1" a="1"/>
  <c r="P7" i="1" s="1"/>
  <c r="Q7" i="1" a="1"/>
  <c r="Q7" i="1" s="1"/>
  <c r="R7" i="1" a="1"/>
  <c r="R7" i="1" s="1"/>
  <c r="S7" i="1" a="1"/>
  <c r="S7" i="1" s="1"/>
  <c r="T7" i="1" a="1"/>
  <c r="T7" i="1" s="1"/>
  <c r="U7" i="1" a="1"/>
  <c r="U7" i="1" s="1"/>
  <c r="C8" i="1" a="1"/>
  <c r="C8" i="1" s="1"/>
  <c r="D8" i="1" a="1"/>
  <c r="D8" i="1" s="1"/>
  <c r="E8" i="1" a="1"/>
  <c r="E8" i="1" s="1"/>
  <c r="F8" i="1" a="1"/>
  <c r="F8" i="1" s="1"/>
  <c r="G8" i="1" a="1"/>
  <c r="G8" i="1" s="1"/>
  <c r="H8" i="1" a="1"/>
  <c r="H8" i="1" s="1"/>
  <c r="I8" i="1" a="1"/>
  <c r="I8" i="1" s="1"/>
  <c r="J8" i="1" a="1"/>
  <c r="J8" i="1" s="1"/>
  <c r="K8" i="1" a="1"/>
  <c r="K8" i="1" s="1"/>
  <c r="L8" i="1" a="1"/>
  <c r="L8" i="1" s="1"/>
  <c r="M8" i="1" a="1"/>
  <c r="M8" i="1" s="1"/>
  <c r="N8" i="1" a="1"/>
  <c r="N8" i="1" s="1"/>
  <c r="O8" i="1" a="1"/>
  <c r="O8" i="1" s="1"/>
  <c r="P8" i="1" a="1"/>
  <c r="P8" i="1" s="1"/>
  <c r="Q8" i="1" a="1"/>
  <c r="Q8" i="1" s="1"/>
  <c r="R8" i="1" a="1"/>
  <c r="R8" i="1" s="1"/>
  <c r="S8" i="1" a="1"/>
  <c r="S8" i="1" s="1"/>
  <c r="T8" i="1" a="1"/>
  <c r="T8" i="1" s="1"/>
  <c r="U8" i="1" a="1"/>
  <c r="U8" i="1" s="1"/>
  <c r="C9" i="1" a="1"/>
  <c r="C9" i="1" s="1"/>
  <c r="D9" i="1" a="1"/>
  <c r="D9" i="1" s="1"/>
  <c r="E9" i="1" a="1"/>
  <c r="E9" i="1" s="1"/>
  <c r="F9" i="1" a="1"/>
  <c r="F9" i="1" s="1"/>
  <c r="G9" i="1" a="1"/>
  <c r="G9" i="1" s="1"/>
  <c r="H9" i="1" a="1"/>
  <c r="H9" i="1" s="1"/>
  <c r="I9" i="1" a="1"/>
  <c r="I9" i="1" s="1"/>
  <c r="J9" i="1" a="1"/>
  <c r="J9" i="1" s="1"/>
  <c r="K9" i="1" a="1"/>
  <c r="K9" i="1" s="1"/>
  <c r="L9" i="1" a="1"/>
  <c r="L9" i="1" s="1"/>
  <c r="M9" i="1" a="1"/>
  <c r="M9" i="1" s="1"/>
  <c r="N9" i="1" a="1"/>
  <c r="N9" i="1" s="1"/>
  <c r="O9" i="1" a="1"/>
  <c r="O9" i="1" s="1"/>
  <c r="P9" i="1" a="1"/>
  <c r="P9" i="1" s="1"/>
  <c r="Q9" i="1" a="1"/>
  <c r="Q9" i="1" s="1"/>
  <c r="R9" i="1" a="1"/>
  <c r="R9" i="1" s="1"/>
  <c r="S9" i="1" a="1"/>
  <c r="S9" i="1" s="1"/>
  <c r="T9" i="1" a="1"/>
  <c r="T9" i="1" s="1"/>
  <c r="U9" i="1" a="1"/>
  <c r="U9" i="1" s="1"/>
  <c r="C10" i="1" a="1"/>
  <c r="C10" i="1" s="1"/>
  <c r="D10" i="1" a="1"/>
  <c r="D10" i="1" s="1"/>
  <c r="E10" i="1" a="1"/>
  <c r="E10" i="1" s="1"/>
  <c r="F10" i="1" a="1"/>
  <c r="F10" i="1" s="1"/>
  <c r="G10" i="1" a="1"/>
  <c r="G10" i="1" s="1"/>
  <c r="H10" i="1" a="1"/>
  <c r="H10" i="1" s="1"/>
  <c r="I10" i="1" a="1"/>
  <c r="I10" i="1" s="1"/>
  <c r="J10" i="1" a="1"/>
  <c r="J10" i="1" s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P10" i="1" a="1"/>
  <c r="P10" i="1" s="1"/>
  <c r="Q10" i="1" a="1"/>
  <c r="Q10" i="1" s="1"/>
  <c r="R10" i="1" a="1"/>
  <c r="R10" i="1" s="1"/>
  <c r="S10" i="1" a="1"/>
  <c r="S10" i="1" s="1"/>
  <c r="T10" i="1" a="1"/>
  <c r="T10" i="1" s="1"/>
  <c r="U10" i="1" a="1"/>
  <c r="U10" i="1" s="1"/>
  <c r="C11" i="1" a="1"/>
  <c r="C11" i="1" s="1"/>
  <c r="D11" i="1" a="1"/>
  <c r="D11" i="1" s="1"/>
  <c r="E11" i="1" a="1"/>
  <c r="E11" i="1" s="1"/>
  <c r="F11" i="1" a="1"/>
  <c r="F11" i="1" s="1"/>
  <c r="G11" i="1" a="1"/>
  <c r="G11" i="1" s="1"/>
  <c r="H11" i="1" a="1"/>
  <c r="H11" i="1" s="1"/>
  <c r="I11" i="1" a="1"/>
  <c r="I11" i="1" s="1"/>
  <c r="J11" i="1" a="1"/>
  <c r="J11" i="1" s="1"/>
  <c r="K11" i="1" a="1"/>
  <c r="K11" i="1" s="1"/>
  <c r="L11" i="1" a="1"/>
  <c r="L11" i="1" s="1"/>
  <c r="M11" i="1" a="1"/>
  <c r="M11" i="1" s="1"/>
  <c r="N11" i="1" a="1"/>
  <c r="N11" i="1" s="1"/>
  <c r="O11" i="1" a="1"/>
  <c r="O11" i="1" s="1"/>
  <c r="P11" i="1" a="1"/>
  <c r="P11" i="1" s="1"/>
  <c r="Q11" i="1" a="1"/>
  <c r="Q11" i="1" s="1"/>
  <c r="R11" i="1" a="1"/>
  <c r="R11" i="1" s="1"/>
  <c r="S11" i="1" a="1"/>
  <c r="S11" i="1" s="1"/>
  <c r="T11" i="1" a="1"/>
  <c r="T11" i="1" s="1"/>
  <c r="U11" i="1" a="1"/>
  <c r="U11" i="1" s="1"/>
  <c r="C12" i="1" a="1"/>
  <c r="C12" i="1" s="1"/>
  <c r="D12" i="1" a="1"/>
  <c r="D12" i="1" s="1"/>
  <c r="E12" i="1" a="1"/>
  <c r="E12" i="1" s="1"/>
  <c r="F12" i="1" a="1"/>
  <c r="F12" i="1" s="1"/>
  <c r="G12" i="1" a="1"/>
  <c r="G12" i="1" s="1"/>
  <c r="H12" i="1" a="1"/>
  <c r="H12" i="1" s="1"/>
  <c r="I12" i="1" a="1"/>
  <c r="I12" i="1" s="1"/>
  <c r="J12" i="1" a="1"/>
  <c r="J12" i="1" s="1"/>
  <c r="K12" i="1" a="1"/>
  <c r="K12" i="1" s="1"/>
  <c r="L12" i="1" a="1"/>
  <c r="L12" i="1" s="1"/>
  <c r="M12" i="1" a="1"/>
  <c r="M12" i="1" s="1"/>
  <c r="N12" i="1" a="1"/>
  <c r="N12" i="1" s="1"/>
  <c r="O12" i="1" a="1"/>
  <c r="O12" i="1" s="1"/>
  <c r="P12" i="1" a="1"/>
  <c r="P12" i="1" s="1"/>
  <c r="Q12" i="1" a="1"/>
  <c r="Q12" i="1" s="1"/>
  <c r="R12" i="1" a="1"/>
  <c r="R12" i="1" s="1"/>
  <c r="S12" i="1" a="1"/>
  <c r="S12" i="1" s="1"/>
  <c r="T12" i="1" a="1"/>
  <c r="T12" i="1" s="1"/>
  <c r="U12" i="1" a="1"/>
  <c r="U12" i="1" s="1"/>
  <c r="C13" i="1" a="1"/>
  <c r="C13" i="1" s="1"/>
  <c r="D13" i="1" a="1"/>
  <c r="D13" i="1" s="1"/>
  <c r="E13" i="1" a="1"/>
  <c r="E13" i="1" s="1"/>
  <c r="F13" i="1" a="1"/>
  <c r="F13" i="1" s="1"/>
  <c r="G13" i="1" a="1"/>
  <c r="G13" i="1" s="1"/>
  <c r="H13" i="1" a="1"/>
  <c r="H13" i="1" s="1"/>
  <c r="I13" i="1" a="1"/>
  <c r="I13" i="1" s="1"/>
  <c r="J13" i="1" a="1"/>
  <c r="J13" i="1" s="1"/>
  <c r="K13" i="1" a="1"/>
  <c r="K13" i="1" s="1"/>
  <c r="L13" i="1" a="1"/>
  <c r="L13" i="1" s="1"/>
  <c r="M13" i="1" a="1"/>
  <c r="M13" i="1" s="1"/>
  <c r="N13" i="1" a="1"/>
  <c r="N13" i="1" s="1"/>
  <c r="O13" i="1" a="1"/>
  <c r="O13" i="1" s="1"/>
  <c r="P13" i="1" a="1"/>
  <c r="P13" i="1" s="1"/>
  <c r="Q13" i="1" a="1"/>
  <c r="Q13" i="1" s="1"/>
  <c r="R13" i="1" a="1"/>
  <c r="R13" i="1" s="1"/>
  <c r="S13" i="1" a="1"/>
  <c r="S13" i="1" s="1"/>
  <c r="T13" i="1" a="1"/>
  <c r="T13" i="1" s="1"/>
  <c r="U13" i="1" a="1"/>
  <c r="U13" i="1" s="1"/>
  <c r="C14" i="1" a="1"/>
  <c r="C14" i="1" s="1"/>
  <c r="D14" i="1" a="1"/>
  <c r="D14" i="1" s="1"/>
  <c r="E14" i="1" a="1"/>
  <c r="E14" i="1" s="1"/>
  <c r="F14" i="1" a="1"/>
  <c r="F14" i="1" s="1"/>
  <c r="G14" i="1" a="1"/>
  <c r="G14" i="1" s="1"/>
  <c r="H14" i="1" a="1"/>
  <c r="H14" i="1" s="1"/>
  <c r="I14" i="1" a="1"/>
  <c r="I14" i="1" s="1"/>
  <c r="J14" i="1" a="1"/>
  <c r="J14" i="1" s="1"/>
  <c r="K14" i="1" a="1"/>
  <c r="K14" i="1" s="1"/>
  <c r="L14" i="1" a="1"/>
  <c r="L14" i="1" s="1"/>
  <c r="M14" i="1" a="1"/>
  <c r="M14" i="1" s="1"/>
  <c r="N14" i="1" a="1"/>
  <c r="N14" i="1" s="1"/>
  <c r="O14" i="1" a="1"/>
  <c r="O14" i="1" s="1"/>
  <c r="P14" i="1" a="1"/>
  <c r="P14" i="1" s="1"/>
  <c r="Q14" i="1" a="1"/>
  <c r="Q14" i="1" s="1"/>
  <c r="R14" i="1" a="1"/>
  <c r="R14" i="1" s="1"/>
  <c r="S14" i="1" a="1"/>
  <c r="S14" i="1" s="1"/>
  <c r="T14" i="1" a="1"/>
  <c r="T14" i="1" s="1"/>
  <c r="U14" i="1" a="1"/>
  <c r="U14" i="1" s="1"/>
  <c r="C15" i="1" a="1"/>
  <c r="C15" i="1" s="1"/>
  <c r="D15" i="1" a="1"/>
  <c r="D15" i="1" s="1"/>
  <c r="E15" i="1" a="1"/>
  <c r="E15" i="1" s="1"/>
  <c r="F15" i="1" a="1"/>
  <c r="F15" i="1" s="1"/>
  <c r="G15" i="1" a="1"/>
  <c r="G15" i="1" s="1"/>
  <c r="H15" i="1" a="1"/>
  <c r="H15" i="1" s="1"/>
  <c r="I15" i="1" a="1"/>
  <c r="I15" i="1" s="1"/>
  <c r="J15" i="1" a="1"/>
  <c r="J15" i="1" s="1"/>
  <c r="K15" i="1" a="1"/>
  <c r="K15" i="1" s="1"/>
  <c r="L15" i="1" a="1"/>
  <c r="L15" i="1" s="1"/>
  <c r="M15" i="1" a="1"/>
  <c r="M15" i="1" s="1"/>
  <c r="N15" i="1" a="1"/>
  <c r="N15" i="1" s="1"/>
  <c r="O15" i="1" a="1"/>
  <c r="O15" i="1" s="1"/>
  <c r="P15" i="1" a="1"/>
  <c r="P15" i="1" s="1"/>
  <c r="Q15" i="1" a="1"/>
  <c r="Q15" i="1" s="1"/>
  <c r="R15" i="1" a="1"/>
  <c r="R15" i="1" s="1"/>
  <c r="S15" i="1" a="1"/>
  <c r="S15" i="1" s="1"/>
  <c r="T15" i="1" a="1"/>
  <c r="T15" i="1" s="1"/>
  <c r="U15" i="1" a="1"/>
  <c r="U15" i="1" s="1"/>
  <c r="C16" i="1" a="1"/>
  <c r="C16" i="1" s="1"/>
  <c r="D16" i="1" a="1"/>
  <c r="D16" i="1" s="1"/>
  <c r="E16" i="1" a="1"/>
  <c r="E16" i="1" s="1"/>
  <c r="F16" i="1" a="1"/>
  <c r="F16" i="1" s="1"/>
  <c r="G16" i="1" a="1"/>
  <c r="G16" i="1" s="1"/>
  <c r="H16" i="1" a="1"/>
  <c r="H16" i="1" s="1"/>
  <c r="I16" i="1" a="1"/>
  <c r="I16" i="1" s="1"/>
  <c r="J16" i="1" a="1"/>
  <c r="J16" i="1" s="1"/>
  <c r="K16" i="1" a="1"/>
  <c r="K16" i="1" s="1"/>
  <c r="L16" i="1" a="1"/>
  <c r="L16" i="1" s="1"/>
  <c r="M16" i="1" a="1"/>
  <c r="M16" i="1" s="1"/>
  <c r="N16" i="1" a="1"/>
  <c r="N16" i="1" s="1"/>
  <c r="O16" i="1" a="1"/>
  <c r="O16" i="1" s="1"/>
  <c r="P16" i="1" a="1"/>
  <c r="P16" i="1" s="1"/>
  <c r="Q16" i="1" a="1"/>
  <c r="Q16" i="1" s="1"/>
  <c r="R16" i="1" a="1"/>
  <c r="R16" i="1" s="1"/>
  <c r="S16" i="1" a="1"/>
  <c r="S16" i="1" s="1"/>
  <c r="T16" i="1" a="1"/>
  <c r="T16" i="1" s="1"/>
  <c r="U16" i="1" a="1"/>
  <c r="U16" i="1" s="1"/>
  <c r="C17" i="1" a="1"/>
  <c r="C17" i="1" s="1"/>
  <c r="D17" i="1" a="1"/>
  <c r="D17" i="1" s="1"/>
  <c r="E17" i="1" a="1"/>
  <c r="E17" i="1" s="1"/>
  <c r="F17" i="1" a="1"/>
  <c r="F17" i="1" s="1"/>
  <c r="G17" i="1" a="1"/>
  <c r="G17" i="1" s="1"/>
  <c r="H17" i="1" a="1"/>
  <c r="H17" i="1" s="1"/>
  <c r="I17" i="1" a="1"/>
  <c r="I17" i="1" s="1"/>
  <c r="J17" i="1" a="1"/>
  <c r="J17" i="1" s="1"/>
  <c r="K17" i="1" a="1"/>
  <c r="K17" i="1" s="1"/>
  <c r="L17" i="1" a="1"/>
  <c r="L17" i="1" s="1"/>
  <c r="M17" i="1" a="1"/>
  <c r="M17" i="1" s="1"/>
  <c r="N17" i="1" a="1"/>
  <c r="N17" i="1" s="1"/>
  <c r="O17" i="1" a="1"/>
  <c r="O17" i="1" s="1"/>
  <c r="P17" i="1" a="1"/>
  <c r="P17" i="1" s="1"/>
  <c r="Q17" i="1" a="1"/>
  <c r="Q17" i="1" s="1"/>
  <c r="R17" i="1" a="1"/>
  <c r="R17" i="1" s="1"/>
  <c r="S17" i="1" a="1"/>
  <c r="S17" i="1" s="1"/>
  <c r="T17" i="1" a="1"/>
  <c r="T17" i="1" s="1"/>
  <c r="U17" i="1" a="1"/>
  <c r="U17" i="1" s="1"/>
  <c r="C18" i="1" a="1"/>
  <c r="C18" i="1" s="1"/>
  <c r="D18" i="1" a="1"/>
  <c r="D18" i="1" s="1"/>
  <c r="E18" i="1" a="1"/>
  <c r="E18" i="1" s="1"/>
  <c r="F18" i="1" a="1"/>
  <c r="F18" i="1" s="1"/>
  <c r="G18" i="1" a="1"/>
  <c r="G18" i="1" s="1"/>
  <c r="H18" i="1" a="1"/>
  <c r="H18" i="1" s="1"/>
  <c r="I18" i="1" a="1"/>
  <c r="I18" i="1" s="1"/>
  <c r="J18" i="1" a="1"/>
  <c r="J18" i="1" s="1"/>
  <c r="K18" i="1" a="1"/>
  <c r="K18" i="1" s="1"/>
  <c r="L18" i="1" a="1"/>
  <c r="L18" i="1" s="1"/>
  <c r="M18" i="1" a="1"/>
  <c r="M18" i="1" s="1"/>
  <c r="N18" i="1" a="1"/>
  <c r="N18" i="1" s="1"/>
  <c r="O18" i="1" a="1"/>
  <c r="O18" i="1" s="1"/>
  <c r="P18" i="1" a="1"/>
  <c r="P18" i="1" s="1"/>
  <c r="Q18" i="1" a="1"/>
  <c r="Q18" i="1" s="1"/>
  <c r="R18" i="1" a="1"/>
  <c r="R18" i="1" s="1"/>
  <c r="S18" i="1" a="1"/>
  <c r="S18" i="1" s="1"/>
  <c r="T18" i="1" a="1"/>
  <c r="T18" i="1" s="1"/>
  <c r="U18" i="1" a="1"/>
  <c r="U18" i="1" s="1"/>
  <c r="C19" i="1" a="1"/>
  <c r="C19" i="1" s="1"/>
  <c r="D19" i="1" a="1"/>
  <c r="D19" i="1" s="1"/>
  <c r="E19" i="1" a="1"/>
  <c r="E19" i="1" s="1"/>
  <c r="F19" i="1" a="1"/>
  <c r="F19" i="1" s="1"/>
  <c r="G19" i="1" a="1"/>
  <c r="G19" i="1" s="1"/>
  <c r="H19" i="1" a="1"/>
  <c r="H19" i="1" s="1"/>
  <c r="I19" i="1" a="1"/>
  <c r="I19" i="1" s="1"/>
  <c r="J19" i="1" a="1"/>
  <c r="J19" i="1" s="1"/>
  <c r="K19" i="1" a="1"/>
  <c r="K19" i="1" s="1"/>
  <c r="L19" i="1" a="1"/>
  <c r="L19" i="1" s="1"/>
  <c r="M19" i="1" a="1"/>
  <c r="M19" i="1" s="1"/>
  <c r="N19" i="1" a="1"/>
  <c r="N19" i="1" s="1"/>
  <c r="O19" i="1" a="1"/>
  <c r="O19" i="1" s="1"/>
  <c r="P19" i="1" a="1"/>
  <c r="P19" i="1" s="1"/>
  <c r="Q19" i="1" a="1"/>
  <c r="Q19" i="1" s="1"/>
  <c r="R19" i="1" a="1"/>
  <c r="R19" i="1" s="1"/>
  <c r="S19" i="1" a="1"/>
  <c r="S19" i="1" s="1"/>
  <c r="T19" i="1" a="1"/>
  <c r="T19" i="1" s="1"/>
  <c r="U19" i="1" a="1"/>
  <c r="U19" i="1" s="1"/>
  <c r="C20" i="1" a="1"/>
  <c r="C20" i="1" s="1"/>
  <c r="D20" i="1" a="1"/>
  <c r="D20" i="1" s="1"/>
  <c r="E20" i="1" a="1"/>
  <c r="E20" i="1" s="1"/>
  <c r="F20" i="1" a="1"/>
  <c r="F20" i="1" s="1"/>
  <c r="G20" i="1" a="1"/>
  <c r="G20" i="1" s="1"/>
  <c r="H20" i="1" a="1"/>
  <c r="H20" i="1" s="1"/>
  <c r="I20" i="1" a="1"/>
  <c r="I20" i="1" s="1"/>
  <c r="J20" i="1" a="1"/>
  <c r="J20" i="1" s="1"/>
  <c r="K20" i="1" a="1"/>
  <c r="K20" i="1" s="1"/>
  <c r="L20" i="1" a="1"/>
  <c r="L20" i="1" s="1"/>
  <c r="M20" i="1" a="1"/>
  <c r="M20" i="1" s="1"/>
  <c r="N20" i="1" a="1"/>
  <c r="N20" i="1" s="1"/>
  <c r="O20" i="1" a="1"/>
  <c r="O20" i="1" s="1"/>
  <c r="P20" i="1" a="1"/>
  <c r="P20" i="1" s="1"/>
  <c r="Q20" i="1" a="1"/>
  <c r="Q20" i="1" s="1"/>
  <c r="R20" i="1" a="1"/>
  <c r="R20" i="1" s="1"/>
  <c r="S20" i="1" a="1"/>
  <c r="S20" i="1" s="1"/>
  <c r="T20" i="1" a="1"/>
  <c r="T20" i="1" s="1"/>
  <c r="U20" i="1" a="1"/>
  <c r="U20" i="1" s="1"/>
  <c r="C21" i="1" a="1"/>
  <c r="C21" i="1" s="1"/>
  <c r="D21" i="1" a="1"/>
  <c r="D21" i="1" s="1"/>
  <c r="E21" i="1" a="1"/>
  <c r="E21" i="1" s="1"/>
  <c r="F21" i="1" a="1"/>
  <c r="F21" i="1" s="1"/>
  <c r="G21" i="1" a="1"/>
  <c r="G21" i="1" s="1"/>
  <c r="H21" i="1" a="1"/>
  <c r="H21" i="1" s="1"/>
  <c r="I21" i="1" a="1"/>
  <c r="I21" i="1" s="1"/>
  <c r="J21" i="1" a="1"/>
  <c r="J21" i="1" s="1"/>
  <c r="K21" i="1" a="1"/>
  <c r="K21" i="1" s="1"/>
  <c r="L21" i="1" a="1"/>
  <c r="L21" i="1" s="1"/>
  <c r="M21" i="1" a="1"/>
  <c r="M21" i="1" s="1"/>
  <c r="N21" i="1" a="1"/>
  <c r="N21" i="1" s="1"/>
  <c r="O21" i="1" a="1"/>
  <c r="O21" i="1" s="1"/>
  <c r="P21" i="1" a="1"/>
  <c r="P21" i="1" s="1"/>
  <c r="Q21" i="1" a="1"/>
  <c r="Q21" i="1" s="1"/>
  <c r="R21" i="1" a="1"/>
  <c r="R21" i="1" s="1"/>
  <c r="S21" i="1" a="1"/>
  <c r="S21" i="1" s="1"/>
  <c r="T21" i="1" a="1"/>
  <c r="T21" i="1" s="1"/>
  <c r="U21" i="1" a="1"/>
  <c r="U21" i="1" s="1"/>
  <c r="C22" i="1" a="1"/>
  <c r="C22" i="1" s="1"/>
  <c r="D22" i="1" a="1"/>
  <c r="D22" i="1" s="1"/>
  <c r="E22" i="1" a="1"/>
  <c r="E22" i="1" s="1"/>
  <c r="F22" i="1" a="1"/>
  <c r="F22" i="1" s="1"/>
  <c r="G22" i="1" a="1"/>
  <c r="G22" i="1" s="1"/>
  <c r="H22" i="1" a="1"/>
  <c r="H22" i="1" s="1"/>
  <c r="I22" i="1" a="1"/>
  <c r="I22" i="1" s="1"/>
  <c r="J22" i="1" a="1"/>
  <c r="J22" i="1" s="1"/>
  <c r="K22" i="1" a="1"/>
  <c r="K22" i="1" s="1"/>
  <c r="L22" i="1" a="1"/>
  <c r="L22" i="1" s="1"/>
  <c r="M22" i="1" a="1"/>
  <c r="M22" i="1" s="1"/>
  <c r="N22" i="1" a="1"/>
  <c r="N22" i="1" s="1"/>
  <c r="O22" i="1" a="1"/>
  <c r="O22" i="1" s="1"/>
  <c r="P22" i="1" a="1"/>
  <c r="P22" i="1" s="1"/>
  <c r="Q22" i="1" a="1"/>
  <c r="Q22" i="1" s="1"/>
  <c r="R22" i="1" a="1"/>
  <c r="R22" i="1" s="1"/>
  <c r="S22" i="1" a="1"/>
  <c r="S22" i="1" s="1"/>
  <c r="T22" i="1" a="1"/>
  <c r="T22" i="1" s="1"/>
  <c r="U22" i="1" a="1"/>
  <c r="U22" i="1" s="1"/>
  <c r="C23" i="1" a="1"/>
  <c r="C23" i="1" s="1"/>
  <c r="D23" i="1" a="1"/>
  <c r="D23" i="1" s="1"/>
  <c r="E23" i="1" a="1"/>
  <c r="E23" i="1" s="1"/>
  <c r="F23" i="1" a="1"/>
  <c r="F23" i="1" s="1"/>
  <c r="G23" i="1" a="1"/>
  <c r="G23" i="1" s="1"/>
  <c r="H23" i="1" a="1"/>
  <c r="H23" i="1" s="1"/>
  <c r="I23" i="1" a="1"/>
  <c r="I23" i="1" s="1"/>
  <c r="J23" i="1" a="1"/>
  <c r="J23" i="1" s="1"/>
  <c r="K23" i="1" a="1"/>
  <c r="K23" i="1" s="1"/>
  <c r="L23" i="1" a="1"/>
  <c r="L23" i="1" s="1"/>
  <c r="M23" i="1" a="1"/>
  <c r="M23" i="1" s="1"/>
  <c r="N23" i="1" a="1"/>
  <c r="N23" i="1" s="1"/>
  <c r="O23" i="1" a="1"/>
  <c r="O23" i="1" s="1"/>
  <c r="P23" i="1" a="1"/>
  <c r="P23" i="1" s="1"/>
  <c r="Q23" i="1" a="1"/>
  <c r="Q23" i="1" s="1"/>
  <c r="R23" i="1" a="1"/>
  <c r="R23" i="1" s="1"/>
  <c r="S23" i="1" a="1"/>
  <c r="S23" i="1" s="1"/>
  <c r="T23" i="1" a="1"/>
  <c r="T23" i="1" s="1"/>
  <c r="U23" i="1" a="1"/>
  <c r="U23" i="1" s="1"/>
  <c r="C24" i="1" a="1"/>
  <c r="C24" i="1" s="1"/>
  <c r="D24" i="1" a="1"/>
  <c r="D24" i="1" s="1"/>
  <c r="E24" i="1" a="1"/>
  <c r="E24" i="1" s="1"/>
  <c r="F24" i="1" a="1"/>
  <c r="F24" i="1" s="1"/>
  <c r="G24" i="1" a="1"/>
  <c r="G24" i="1" s="1"/>
  <c r="H24" i="1" a="1"/>
  <c r="H24" i="1" s="1"/>
  <c r="I24" i="1" a="1"/>
  <c r="I24" i="1" s="1"/>
  <c r="J24" i="1" a="1"/>
  <c r="J24" i="1" s="1"/>
  <c r="K24" i="1" a="1"/>
  <c r="K24" i="1" s="1"/>
  <c r="L24" i="1" a="1"/>
  <c r="L24" i="1" s="1"/>
  <c r="M24" i="1" a="1"/>
  <c r="M24" i="1" s="1"/>
  <c r="N24" i="1" a="1"/>
  <c r="N24" i="1" s="1"/>
  <c r="O24" i="1" a="1"/>
  <c r="O24" i="1" s="1"/>
  <c r="P24" i="1" a="1"/>
  <c r="P24" i="1" s="1"/>
  <c r="Q24" i="1" a="1"/>
  <c r="Q24" i="1" s="1"/>
  <c r="R24" i="1" a="1"/>
  <c r="R24" i="1" s="1"/>
  <c r="S24" i="1" a="1"/>
  <c r="S24" i="1" s="1"/>
  <c r="T24" i="1" a="1"/>
  <c r="T24" i="1" s="1"/>
  <c r="U24" i="1" a="1"/>
  <c r="U24" i="1" s="1"/>
  <c r="C25" i="1" a="1"/>
  <c r="C25" i="1" s="1"/>
  <c r="D25" i="1" a="1"/>
  <c r="D25" i="1" s="1"/>
  <c r="E25" i="1" a="1"/>
  <c r="E25" i="1" s="1"/>
  <c r="F25" i="1" a="1"/>
  <c r="F25" i="1" s="1"/>
  <c r="G25" i="1" a="1"/>
  <c r="G25" i="1" s="1"/>
  <c r="H25" i="1" a="1"/>
  <c r="H25" i="1" s="1"/>
  <c r="I25" i="1" a="1"/>
  <c r="I25" i="1" s="1"/>
  <c r="J25" i="1" a="1"/>
  <c r="J25" i="1" s="1"/>
  <c r="K25" i="1" a="1"/>
  <c r="K25" i="1" s="1"/>
  <c r="L25" i="1" a="1"/>
  <c r="L25" i="1" s="1"/>
  <c r="M25" i="1" a="1"/>
  <c r="M25" i="1" s="1"/>
  <c r="N25" i="1" a="1"/>
  <c r="N25" i="1" s="1"/>
  <c r="O25" i="1" a="1"/>
  <c r="O25" i="1" s="1"/>
  <c r="P25" i="1" a="1"/>
  <c r="P25" i="1" s="1"/>
  <c r="Q25" i="1" a="1"/>
  <c r="Q25" i="1" s="1"/>
  <c r="R25" i="1" a="1"/>
  <c r="R25" i="1" s="1"/>
  <c r="S25" i="1" a="1"/>
  <c r="S25" i="1" s="1"/>
  <c r="T25" i="1" a="1"/>
  <c r="T25" i="1" s="1"/>
  <c r="U25" i="1" a="1"/>
  <c r="U25" i="1" s="1"/>
  <c r="C26" i="1" a="1"/>
  <c r="C26" i="1" s="1"/>
  <c r="D26" i="1" a="1"/>
  <c r="D26" i="1" s="1"/>
  <c r="E26" i="1" a="1"/>
  <c r="E26" i="1" s="1"/>
  <c r="F26" i="1" a="1"/>
  <c r="F26" i="1" s="1"/>
  <c r="G26" i="1" a="1"/>
  <c r="G26" i="1" s="1"/>
  <c r="H26" i="1" a="1"/>
  <c r="H26" i="1" s="1"/>
  <c r="I26" i="1" a="1"/>
  <c r="I26" i="1" s="1"/>
  <c r="J26" i="1" a="1"/>
  <c r="J26" i="1" s="1"/>
  <c r="K26" i="1" a="1"/>
  <c r="K26" i="1" s="1"/>
  <c r="L26" i="1" a="1"/>
  <c r="L26" i="1" s="1"/>
  <c r="M26" i="1" a="1"/>
  <c r="M26" i="1" s="1"/>
  <c r="N26" i="1" a="1"/>
  <c r="N26" i="1" s="1"/>
  <c r="O26" i="1" a="1"/>
  <c r="O26" i="1" s="1"/>
  <c r="P26" i="1" a="1"/>
  <c r="P26" i="1" s="1"/>
  <c r="Q26" i="1" a="1"/>
  <c r="Q26" i="1" s="1"/>
  <c r="R26" i="1" a="1"/>
  <c r="R26" i="1" s="1"/>
  <c r="S26" i="1" a="1"/>
  <c r="S26" i="1" s="1"/>
  <c r="T26" i="1" a="1"/>
  <c r="T26" i="1" s="1"/>
  <c r="U26" i="1" a="1"/>
  <c r="U26" i="1" s="1"/>
  <c r="C27" i="1" a="1"/>
  <c r="C27" i="1" s="1"/>
  <c r="D27" i="1" a="1"/>
  <c r="D27" i="1" s="1"/>
  <c r="E27" i="1" a="1"/>
  <c r="E27" i="1" s="1"/>
  <c r="F27" i="1" a="1"/>
  <c r="F27" i="1" s="1"/>
  <c r="G27" i="1" a="1"/>
  <c r="G27" i="1" s="1"/>
  <c r="H27" i="1" a="1"/>
  <c r="H27" i="1" s="1"/>
  <c r="I27" i="1" a="1"/>
  <c r="I27" i="1" s="1"/>
  <c r="J27" i="1" a="1"/>
  <c r="J27" i="1" s="1"/>
  <c r="K27" i="1" a="1"/>
  <c r="K27" i="1" s="1"/>
  <c r="L27" i="1" a="1"/>
  <c r="L27" i="1" s="1"/>
  <c r="M27" i="1" a="1"/>
  <c r="M27" i="1" s="1"/>
  <c r="N27" i="1" a="1"/>
  <c r="N27" i="1" s="1"/>
  <c r="O27" i="1" a="1"/>
  <c r="O27" i="1" s="1"/>
  <c r="P27" i="1" a="1"/>
  <c r="P27" i="1" s="1"/>
  <c r="Q27" i="1" a="1"/>
  <c r="Q27" i="1" s="1"/>
  <c r="R27" i="1" a="1"/>
  <c r="R27" i="1" s="1"/>
  <c r="S27" i="1" a="1"/>
  <c r="S27" i="1" s="1"/>
  <c r="T27" i="1" a="1"/>
  <c r="T27" i="1" s="1"/>
  <c r="U27" i="1" a="1"/>
  <c r="U27" i="1" s="1"/>
  <c r="C28" i="1" a="1"/>
  <c r="C28" i="1" s="1"/>
  <c r="D28" i="1" a="1"/>
  <c r="D28" i="1" s="1"/>
  <c r="E28" i="1" a="1"/>
  <c r="E28" i="1" s="1"/>
  <c r="F28" i="1" a="1"/>
  <c r="F28" i="1" s="1"/>
  <c r="G28" i="1" a="1"/>
  <c r="G28" i="1" s="1"/>
  <c r="H28" i="1" a="1"/>
  <c r="H28" i="1" s="1"/>
  <c r="I28" i="1" a="1"/>
  <c r="I28" i="1" s="1"/>
  <c r="J28" i="1" a="1"/>
  <c r="J28" i="1" s="1"/>
  <c r="K28" i="1" a="1"/>
  <c r="K28" i="1" s="1"/>
  <c r="L28" i="1" a="1"/>
  <c r="L28" i="1" s="1"/>
  <c r="M28" i="1" a="1"/>
  <c r="M28" i="1" s="1"/>
  <c r="N28" i="1" a="1"/>
  <c r="N28" i="1" s="1"/>
  <c r="O28" i="1" a="1"/>
  <c r="O28" i="1" s="1"/>
  <c r="P28" i="1" a="1"/>
  <c r="P28" i="1" s="1"/>
  <c r="Q28" i="1" a="1"/>
  <c r="Q28" i="1" s="1"/>
  <c r="R28" i="1" a="1"/>
  <c r="R28" i="1" s="1"/>
  <c r="S28" i="1" a="1"/>
  <c r="S28" i="1" s="1"/>
  <c r="T28" i="1" a="1"/>
  <c r="T28" i="1" s="1"/>
  <c r="U28" i="1" a="1"/>
  <c r="U28" i="1" s="1"/>
  <c r="C29" i="1" a="1"/>
  <c r="C29" i="1" s="1"/>
  <c r="D29" i="1" a="1"/>
  <c r="D29" i="1" s="1"/>
  <c r="E29" i="1" a="1"/>
  <c r="E29" i="1" s="1"/>
  <c r="F29" i="1" a="1"/>
  <c r="F29" i="1" s="1"/>
  <c r="G29" i="1" a="1"/>
  <c r="G29" i="1" s="1"/>
  <c r="H29" i="1" a="1"/>
  <c r="H29" i="1" s="1"/>
  <c r="I29" i="1" a="1"/>
  <c r="I29" i="1" s="1"/>
  <c r="J29" i="1" a="1"/>
  <c r="J29" i="1" s="1"/>
  <c r="K29" i="1" a="1"/>
  <c r="K29" i="1" s="1"/>
  <c r="L29" i="1" a="1"/>
  <c r="L29" i="1" s="1"/>
  <c r="M29" i="1" a="1"/>
  <c r="M29" i="1" s="1"/>
  <c r="N29" i="1" a="1"/>
  <c r="N29" i="1" s="1"/>
  <c r="O29" i="1" a="1"/>
  <c r="O29" i="1" s="1"/>
  <c r="P29" i="1" a="1"/>
  <c r="P29" i="1" s="1"/>
  <c r="Q29" i="1" a="1"/>
  <c r="Q29" i="1" s="1"/>
  <c r="R29" i="1" a="1"/>
  <c r="R29" i="1" s="1"/>
  <c r="S29" i="1" a="1"/>
  <c r="S29" i="1" s="1"/>
  <c r="T29" i="1" a="1"/>
  <c r="T29" i="1" s="1"/>
  <c r="U29" i="1" a="1"/>
  <c r="U29" i="1" s="1"/>
  <c r="C30" i="1" a="1"/>
  <c r="C30" i="1" s="1"/>
  <c r="D30" i="1" a="1"/>
  <c r="D30" i="1" s="1"/>
  <c r="E30" i="1" a="1"/>
  <c r="E30" i="1" s="1"/>
  <c r="F30" i="1" a="1"/>
  <c r="F30" i="1" s="1"/>
  <c r="G30" i="1" a="1"/>
  <c r="G30" i="1" s="1"/>
  <c r="H30" i="1" a="1"/>
  <c r="H30" i="1" s="1"/>
  <c r="I30" i="1" a="1"/>
  <c r="I30" i="1" s="1"/>
  <c r="J30" i="1" a="1"/>
  <c r="J30" i="1" s="1"/>
  <c r="K30" i="1" a="1"/>
  <c r="K30" i="1" s="1"/>
  <c r="L30" i="1" a="1"/>
  <c r="L30" i="1" s="1"/>
  <c r="M30" i="1" a="1"/>
  <c r="M30" i="1" s="1"/>
  <c r="N30" i="1" a="1"/>
  <c r="N30" i="1" s="1"/>
  <c r="O30" i="1" a="1"/>
  <c r="O30" i="1" s="1"/>
  <c r="P30" i="1" a="1"/>
  <c r="P30" i="1" s="1"/>
  <c r="Q30" i="1" a="1"/>
  <c r="Q30" i="1" s="1"/>
  <c r="R30" i="1" a="1"/>
  <c r="R30" i="1" s="1"/>
  <c r="S30" i="1" a="1"/>
  <c r="S30" i="1" s="1"/>
  <c r="T30" i="1" a="1"/>
  <c r="T30" i="1" s="1"/>
  <c r="U30" i="1" a="1"/>
  <c r="U30" i="1" s="1"/>
  <c r="C31" i="1" a="1"/>
  <c r="C31" i="1" s="1"/>
  <c r="D31" i="1" a="1"/>
  <c r="D31" i="1" s="1"/>
  <c r="E31" i="1" a="1"/>
  <c r="E31" i="1" s="1"/>
  <c r="F31" i="1" a="1"/>
  <c r="F31" i="1" s="1"/>
  <c r="G31" i="1" a="1"/>
  <c r="G31" i="1" s="1"/>
  <c r="H31" i="1" a="1"/>
  <c r="H31" i="1" s="1"/>
  <c r="I31" i="1" a="1"/>
  <c r="I31" i="1" s="1"/>
  <c r="J31" i="1" a="1"/>
  <c r="J31" i="1" s="1"/>
  <c r="K31" i="1" a="1"/>
  <c r="K31" i="1" s="1"/>
  <c r="L31" i="1" a="1"/>
  <c r="L31" i="1" s="1"/>
  <c r="M31" i="1" a="1"/>
  <c r="M31" i="1" s="1"/>
  <c r="N31" i="1" a="1"/>
  <c r="N31" i="1" s="1"/>
  <c r="O31" i="1" a="1"/>
  <c r="O31" i="1" s="1"/>
  <c r="P31" i="1" a="1"/>
  <c r="P31" i="1" s="1"/>
  <c r="Q31" i="1" a="1"/>
  <c r="Q31" i="1" s="1"/>
  <c r="R31" i="1" a="1"/>
  <c r="R31" i="1" s="1"/>
  <c r="S31" i="1" a="1"/>
  <c r="S31" i="1" s="1"/>
  <c r="T31" i="1" a="1"/>
  <c r="T31" i="1" s="1"/>
  <c r="U31" i="1" a="1"/>
  <c r="U31" i="1" s="1"/>
  <c r="C32" i="1" a="1"/>
  <c r="C32" i="1" s="1"/>
  <c r="D32" i="1" a="1"/>
  <c r="D32" i="1" s="1"/>
  <c r="E32" i="1" a="1"/>
  <c r="E32" i="1" s="1"/>
  <c r="F32" i="1" a="1"/>
  <c r="F32" i="1" s="1"/>
  <c r="G32" i="1" a="1"/>
  <c r="G32" i="1" s="1"/>
  <c r="H32" i="1" a="1"/>
  <c r="H32" i="1" s="1"/>
  <c r="I32" i="1" a="1"/>
  <c r="I32" i="1" s="1"/>
  <c r="J32" i="1" a="1"/>
  <c r="J32" i="1" s="1"/>
  <c r="K32" i="1" a="1"/>
  <c r="K32" i="1" s="1"/>
  <c r="L32" i="1" a="1"/>
  <c r="L32" i="1" s="1"/>
  <c r="M32" i="1" a="1"/>
  <c r="M32" i="1" s="1"/>
  <c r="N32" i="1" a="1"/>
  <c r="N32" i="1" s="1"/>
  <c r="O32" i="1" a="1"/>
  <c r="O32" i="1" s="1"/>
  <c r="P32" i="1" a="1"/>
  <c r="P32" i="1" s="1"/>
  <c r="Q32" i="1" a="1"/>
  <c r="Q32" i="1" s="1"/>
  <c r="R32" i="1" a="1"/>
  <c r="R32" i="1" s="1"/>
  <c r="S32" i="1" a="1"/>
  <c r="S32" i="1" s="1"/>
  <c r="T32" i="1" a="1"/>
  <c r="T32" i="1" s="1"/>
  <c r="U32" i="1" a="1"/>
  <c r="U32" i="1" s="1"/>
  <c r="C33" i="1" a="1"/>
  <c r="C33" i="1" s="1"/>
  <c r="D33" i="1" a="1"/>
  <c r="D33" i="1" s="1"/>
  <c r="E33" i="1" a="1"/>
  <c r="E33" i="1" s="1"/>
  <c r="F33" i="1" a="1"/>
  <c r="F33" i="1" s="1"/>
  <c r="G33" i="1" a="1"/>
  <c r="G33" i="1" s="1"/>
  <c r="H33" i="1" a="1"/>
  <c r="H33" i="1" s="1"/>
  <c r="I33" i="1" a="1"/>
  <c r="I33" i="1" s="1"/>
  <c r="J33" i="1" a="1"/>
  <c r="J33" i="1" s="1"/>
  <c r="K33" i="1" a="1"/>
  <c r="K33" i="1" s="1"/>
  <c r="L33" i="1" a="1"/>
  <c r="L33" i="1" s="1"/>
  <c r="M33" i="1" a="1"/>
  <c r="M33" i="1" s="1"/>
  <c r="N33" i="1" a="1"/>
  <c r="N33" i="1" s="1"/>
  <c r="O33" i="1" a="1"/>
  <c r="O33" i="1" s="1"/>
  <c r="P33" i="1" a="1"/>
  <c r="P33" i="1" s="1"/>
  <c r="Q33" i="1" a="1"/>
  <c r="Q33" i="1" s="1"/>
  <c r="R33" i="1" a="1"/>
  <c r="R33" i="1" s="1"/>
  <c r="S33" i="1" a="1"/>
  <c r="S33" i="1" s="1"/>
  <c r="T33" i="1" a="1"/>
  <c r="T33" i="1" s="1"/>
  <c r="U33" i="1" a="1"/>
  <c r="U33" i="1" s="1"/>
  <c r="C34" i="1" a="1"/>
  <c r="C34" i="1" s="1"/>
  <c r="D34" i="1" a="1"/>
  <c r="D34" i="1" s="1"/>
  <c r="E34" i="1" a="1"/>
  <c r="E34" i="1" s="1"/>
  <c r="F34" i="1" a="1"/>
  <c r="F34" i="1" s="1"/>
  <c r="G34" i="1" a="1"/>
  <c r="G34" i="1" s="1"/>
  <c r="H34" i="1" a="1"/>
  <c r="H34" i="1" s="1"/>
  <c r="I34" i="1" a="1"/>
  <c r="I34" i="1" s="1"/>
  <c r="J34" i="1" a="1"/>
  <c r="J34" i="1" s="1"/>
  <c r="K34" i="1" a="1"/>
  <c r="K34" i="1" s="1"/>
  <c r="L34" i="1" a="1"/>
  <c r="L34" i="1" s="1"/>
  <c r="M34" i="1" a="1"/>
  <c r="M34" i="1" s="1"/>
  <c r="N34" i="1" a="1"/>
  <c r="N34" i="1" s="1"/>
  <c r="O34" i="1" a="1"/>
  <c r="O34" i="1" s="1"/>
  <c r="P34" i="1" a="1"/>
  <c r="P34" i="1" s="1"/>
  <c r="Q34" i="1" a="1"/>
  <c r="Q34" i="1" s="1"/>
  <c r="R34" i="1" a="1"/>
  <c r="R34" i="1" s="1"/>
  <c r="S34" i="1" a="1"/>
  <c r="S34" i="1" s="1"/>
  <c r="T34" i="1" a="1"/>
  <c r="T34" i="1" s="1"/>
  <c r="U34" i="1" a="1"/>
  <c r="U34" i="1" s="1"/>
  <c r="C35" i="1" a="1"/>
  <c r="C35" i="1" s="1"/>
  <c r="D35" i="1" a="1"/>
  <c r="D35" i="1" s="1"/>
  <c r="E35" i="1" a="1"/>
  <c r="E35" i="1" s="1"/>
  <c r="F35" i="1" a="1"/>
  <c r="F35" i="1" s="1"/>
  <c r="G35" i="1" a="1"/>
  <c r="G35" i="1" s="1"/>
  <c r="H35" i="1" a="1"/>
  <c r="H35" i="1" s="1"/>
  <c r="I35" i="1" a="1"/>
  <c r="I35" i="1" s="1"/>
  <c r="J35" i="1" a="1"/>
  <c r="J35" i="1" s="1"/>
  <c r="K35" i="1" a="1"/>
  <c r="K35" i="1" s="1"/>
  <c r="L35" i="1" a="1"/>
  <c r="L35" i="1" s="1"/>
  <c r="M35" i="1" a="1"/>
  <c r="M35" i="1" s="1"/>
  <c r="N35" i="1" a="1"/>
  <c r="N35" i="1" s="1"/>
  <c r="O35" i="1" a="1"/>
  <c r="O35" i="1" s="1"/>
  <c r="P35" i="1" a="1"/>
  <c r="P35" i="1" s="1"/>
  <c r="Q35" i="1" a="1"/>
  <c r="Q35" i="1" s="1"/>
  <c r="R35" i="1" a="1"/>
  <c r="R35" i="1" s="1"/>
  <c r="S35" i="1" a="1"/>
  <c r="S35" i="1" s="1"/>
  <c r="T35" i="1" a="1"/>
  <c r="T35" i="1" s="1"/>
  <c r="U35" i="1" a="1"/>
  <c r="U35" i="1" s="1"/>
  <c r="C36" i="1" a="1"/>
  <c r="C36" i="1" s="1"/>
  <c r="D36" i="1" a="1"/>
  <c r="D36" i="1" s="1"/>
  <c r="E36" i="1" a="1"/>
  <c r="E36" i="1" s="1"/>
  <c r="F36" i="1" a="1"/>
  <c r="F36" i="1" s="1"/>
  <c r="G36" i="1" a="1"/>
  <c r="G36" i="1" s="1"/>
  <c r="H36" i="1" a="1"/>
  <c r="H36" i="1" s="1"/>
  <c r="I36" i="1" a="1"/>
  <c r="I36" i="1" s="1"/>
  <c r="J36" i="1" a="1"/>
  <c r="J36" i="1" s="1"/>
  <c r="K36" i="1" a="1"/>
  <c r="K36" i="1" s="1"/>
  <c r="L36" i="1" a="1"/>
  <c r="L36" i="1" s="1"/>
  <c r="M36" i="1" a="1"/>
  <c r="M36" i="1" s="1"/>
  <c r="N36" i="1" a="1"/>
  <c r="N36" i="1" s="1"/>
  <c r="O36" i="1" a="1"/>
  <c r="O36" i="1" s="1"/>
  <c r="P36" i="1" a="1"/>
  <c r="P36" i="1" s="1"/>
  <c r="Q36" i="1" a="1"/>
  <c r="Q36" i="1" s="1"/>
  <c r="R36" i="1" a="1"/>
  <c r="R36" i="1" s="1"/>
  <c r="S36" i="1" a="1"/>
  <c r="S36" i="1" s="1"/>
  <c r="T36" i="1" a="1"/>
  <c r="T36" i="1" s="1"/>
  <c r="U36" i="1" a="1"/>
  <c r="U36" i="1" s="1"/>
  <c r="C37" i="1" a="1"/>
  <c r="C37" i="1" s="1"/>
  <c r="D37" i="1" a="1"/>
  <c r="D37" i="1" s="1"/>
  <c r="E37" i="1" a="1"/>
  <c r="E37" i="1" s="1"/>
  <c r="F37" i="1" a="1"/>
  <c r="F37" i="1" s="1"/>
  <c r="G37" i="1" a="1"/>
  <c r="G37" i="1" s="1"/>
  <c r="H37" i="1" a="1"/>
  <c r="H37" i="1" s="1"/>
  <c r="I37" i="1" a="1"/>
  <c r="I37" i="1" s="1"/>
  <c r="J37" i="1" a="1"/>
  <c r="J37" i="1" s="1"/>
  <c r="K37" i="1" a="1"/>
  <c r="K37" i="1" s="1"/>
  <c r="L37" i="1" a="1"/>
  <c r="L37" i="1" s="1"/>
  <c r="M37" i="1" a="1"/>
  <c r="M37" i="1" s="1"/>
  <c r="N37" i="1" a="1"/>
  <c r="N37" i="1" s="1"/>
  <c r="O37" i="1" a="1"/>
  <c r="O37" i="1" s="1"/>
  <c r="P37" i="1" a="1"/>
  <c r="P37" i="1" s="1"/>
  <c r="Q37" i="1" a="1"/>
  <c r="Q37" i="1" s="1"/>
  <c r="R37" i="1" a="1"/>
  <c r="R37" i="1" s="1"/>
  <c r="S37" i="1" a="1"/>
  <c r="S37" i="1" s="1"/>
  <c r="T37" i="1" a="1"/>
  <c r="T37" i="1" s="1"/>
  <c r="U37" i="1" a="1"/>
  <c r="U37" i="1" s="1"/>
  <c r="C38" i="1" a="1"/>
  <c r="C38" i="1" s="1"/>
  <c r="D38" i="1" a="1"/>
  <c r="D38" i="1" s="1"/>
  <c r="E38" i="1" a="1"/>
  <c r="E38" i="1" s="1"/>
  <c r="F38" i="1" a="1"/>
  <c r="F38" i="1" s="1"/>
  <c r="G38" i="1" a="1"/>
  <c r="G38" i="1" s="1"/>
  <c r="H38" i="1" a="1"/>
  <c r="H38" i="1" s="1"/>
  <c r="I38" i="1" a="1"/>
  <c r="I38" i="1" s="1"/>
  <c r="J38" i="1" a="1"/>
  <c r="J38" i="1"/>
  <c r="K38" i="1" a="1"/>
  <c r="K38" i="1" s="1"/>
  <c r="L38" i="1" a="1"/>
  <c r="L38" i="1" s="1"/>
  <c r="M38" i="1" a="1"/>
  <c r="M38" i="1" s="1"/>
  <c r="N38" i="1" a="1"/>
  <c r="N38" i="1" s="1"/>
  <c r="O38" i="1" a="1"/>
  <c r="O38" i="1" s="1"/>
  <c r="P38" i="1" a="1"/>
  <c r="P38" i="1" s="1"/>
  <c r="Q38" i="1" a="1"/>
  <c r="Q38" i="1" s="1"/>
  <c r="R38" i="1" a="1"/>
  <c r="R38" i="1" s="1"/>
  <c r="S38" i="1" a="1"/>
  <c r="S38" i="1" s="1"/>
  <c r="T38" i="1" a="1"/>
  <c r="T38" i="1" s="1"/>
  <c r="U38" i="1" a="1"/>
  <c r="U38" i="1" s="1"/>
  <c r="C39" i="1" a="1"/>
  <c r="C39" i="1" s="1"/>
  <c r="D39" i="1" a="1"/>
  <c r="D39" i="1" s="1"/>
  <c r="E39" i="1" a="1"/>
  <c r="E39" i="1" s="1"/>
  <c r="F39" i="1" a="1"/>
  <c r="F39" i="1" s="1"/>
  <c r="G39" i="1" a="1"/>
  <c r="G39" i="1" s="1"/>
  <c r="H39" i="1" a="1"/>
  <c r="H39" i="1" s="1"/>
  <c r="I39" i="1" a="1"/>
  <c r="I39" i="1" s="1"/>
  <c r="J39" i="1" a="1"/>
  <c r="J39" i="1" s="1"/>
  <c r="K39" i="1" a="1"/>
  <c r="K39" i="1" s="1"/>
  <c r="L39" i="1" a="1"/>
  <c r="L39" i="1" s="1"/>
  <c r="M39" i="1" a="1"/>
  <c r="M39" i="1" s="1"/>
  <c r="N39" i="1" a="1"/>
  <c r="N39" i="1" s="1"/>
  <c r="O39" i="1" a="1"/>
  <c r="O39" i="1" s="1"/>
  <c r="P39" i="1" a="1"/>
  <c r="P39" i="1" s="1"/>
  <c r="Q39" i="1" a="1"/>
  <c r="Q39" i="1" s="1"/>
  <c r="R39" i="1" a="1"/>
  <c r="R39" i="1" s="1"/>
  <c r="S39" i="1" a="1"/>
  <c r="S39" i="1" s="1"/>
  <c r="T39" i="1" a="1"/>
  <c r="T39" i="1" s="1"/>
  <c r="U39" i="1" a="1"/>
  <c r="U39" i="1" s="1"/>
  <c r="C40" i="1" a="1"/>
  <c r="C40" i="1" s="1"/>
  <c r="D40" i="1" a="1"/>
  <c r="D40" i="1" s="1"/>
  <c r="E40" i="1" a="1"/>
  <c r="E40" i="1" s="1"/>
  <c r="F40" i="1" a="1"/>
  <c r="F40" i="1" s="1"/>
  <c r="G40" i="1" a="1"/>
  <c r="G40" i="1" s="1"/>
  <c r="H40" i="1" a="1"/>
  <c r="H40" i="1" s="1"/>
  <c r="I40" i="1" a="1"/>
  <c r="I40" i="1" s="1"/>
  <c r="J40" i="1" a="1"/>
  <c r="J40" i="1" s="1"/>
  <c r="K40" i="1" a="1"/>
  <c r="K40" i="1" s="1"/>
  <c r="L40" i="1" a="1"/>
  <c r="L40" i="1" s="1"/>
  <c r="M40" i="1" a="1"/>
  <c r="M40" i="1" s="1"/>
  <c r="N40" i="1" a="1"/>
  <c r="N40" i="1" s="1"/>
  <c r="O40" i="1" a="1"/>
  <c r="O40" i="1" s="1"/>
  <c r="P40" i="1" a="1"/>
  <c r="P40" i="1" s="1"/>
  <c r="Q40" i="1" a="1"/>
  <c r="Q40" i="1" s="1"/>
  <c r="R40" i="1" a="1"/>
  <c r="R40" i="1" s="1"/>
  <c r="S40" i="1" a="1"/>
  <c r="S40" i="1" s="1"/>
  <c r="T40" i="1" a="1"/>
  <c r="T40" i="1" s="1"/>
  <c r="U40" i="1" a="1"/>
  <c r="U40" i="1" s="1"/>
  <c r="C41" i="1" a="1"/>
  <c r="C41" i="1" s="1"/>
  <c r="D41" i="1" a="1"/>
  <c r="D41" i="1" s="1"/>
  <c r="E41" i="1" a="1"/>
  <c r="E41" i="1" s="1"/>
  <c r="F41" i="1" a="1"/>
  <c r="F41" i="1" s="1"/>
  <c r="G41" i="1" a="1"/>
  <c r="G41" i="1" s="1"/>
  <c r="H41" i="1" a="1"/>
  <c r="H41" i="1" s="1"/>
  <c r="I41" i="1" a="1"/>
  <c r="I41" i="1" s="1"/>
  <c r="J41" i="1" a="1"/>
  <c r="J41" i="1" s="1"/>
  <c r="K41" i="1" a="1"/>
  <c r="K41" i="1"/>
  <c r="L41" i="1" a="1"/>
  <c r="L41" i="1" s="1"/>
  <c r="M41" i="1" a="1"/>
  <c r="M41" i="1" s="1"/>
  <c r="N41" i="1" a="1"/>
  <c r="N41" i="1" s="1"/>
  <c r="O41" i="1" a="1"/>
  <c r="O41" i="1" s="1"/>
  <c r="P41" i="1" a="1"/>
  <c r="P41" i="1" s="1"/>
  <c r="Q41" i="1" a="1"/>
  <c r="Q41" i="1" s="1"/>
  <c r="R41" i="1" a="1"/>
  <c r="R41" i="1" s="1"/>
  <c r="S41" i="1" a="1"/>
  <c r="S41" i="1" s="1"/>
  <c r="T41" i="1" a="1"/>
  <c r="T41" i="1" s="1"/>
  <c r="U41" i="1" a="1"/>
  <c r="U41" i="1" s="1"/>
  <c r="C42" i="1" a="1"/>
  <c r="C42" i="1" s="1"/>
  <c r="D42" i="1" a="1"/>
  <c r="D42" i="1" s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K42" i="1" a="1"/>
  <c r="K42" i="1" s="1"/>
  <c r="L42" i="1" a="1"/>
  <c r="L42" i="1" s="1"/>
  <c r="M42" i="1" a="1"/>
  <c r="M42" i="1" s="1"/>
  <c r="N42" i="1" a="1"/>
  <c r="N42" i="1" s="1"/>
  <c r="O42" i="1" a="1"/>
  <c r="O42" i="1" s="1"/>
  <c r="P42" i="1" a="1"/>
  <c r="P42" i="1" s="1"/>
  <c r="Q42" i="1" a="1"/>
  <c r="Q42" i="1" s="1"/>
  <c r="R42" i="1" a="1"/>
  <c r="R42" i="1" s="1"/>
  <c r="S42" i="1" a="1"/>
  <c r="S42" i="1" s="1"/>
  <c r="T42" i="1" a="1"/>
  <c r="T42" i="1" s="1"/>
  <c r="U42" i="1" a="1"/>
  <c r="U42" i="1" s="1"/>
  <c r="C43" i="1" a="1"/>
  <c r="C43" i="1" s="1"/>
  <c r="D43" i="1" a="1"/>
  <c r="D43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K43" i="1" a="1"/>
  <c r="K43" i="1" s="1"/>
  <c r="L43" i="1" a="1"/>
  <c r="L43" i="1" s="1"/>
  <c r="M43" i="1" a="1"/>
  <c r="M43" i="1" s="1"/>
  <c r="N43" i="1" a="1"/>
  <c r="N43" i="1" s="1"/>
  <c r="O43" i="1" a="1"/>
  <c r="O43" i="1" s="1"/>
  <c r="P43" i="1" a="1"/>
  <c r="P43" i="1" s="1"/>
  <c r="Q43" i="1" a="1"/>
  <c r="Q43" i="1" s="1"/>
  <c r="R43" i="1" a="1"/>
  <c r="R43" i="1" s="1"/>
  <c r="S43" i="1" a="1"/>
  <c r="S43" i="1" s="1"/>
  <c r="T43" i="1" a="1"/>
  <c r="T43" i="1" s="1"/>
  <c r="U43" i="1" a="1"/>
  <c r="U43" i="1" s="1"/>
  <c r="C44" i="1" a="1"/>
  <c r="C44" i="1" s="1"/>
  <c r="D44" i="1" a="1"/>
  <c r="D44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K44" i="1" a="1"/>
  <c r="K44" i="1" s="1"/>
  <c r="L44" i="1" a="1"/>
  <c r="L44" i="1" s="1"/>
  <c r="M44" i="1" a="1"/>
  <c r="M44" i="1" s="1"/>
  <c r="N44" i="1" a="1"/>
  <c r="N44" i="1" s="1"/>
  <c r="O44" i="1" a="1"/>
  <c r="O44" i="1" s="1"/>
  <c r="P44" i="1" a="1"/>
  <c r="P44" i="1" s="1"/>
  <c r="Q44" i="1" a="1"/>
  <c r="Q44" i="1" s="1"/>
  <c r="R44" i="1" a="1"/>
  <c r="R44" i="1" s="1"/>
  <c r="S44" i="1" a="1"/>
  <c r="S44" i="1" s="1"/>
  <c r="T44" i="1" a="1"/>
  <c r="T44" i="1" s="1"/>
  <c r="U44" i="1" a="1"/>
  <c r="U44" i="1" s="1"/>
  <c r="C45" i="1" a="1"/>
  <c r="C45" i="1" s="1"/>
  <c r="D45" i="1" a="1"/>
  <c r="D45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K45" i="1" a="1"/>
  <c r="K45" i="1" s="1"/>
  <c r="L45" i="1" a="1"/>
  <c r="L45" i="1" s="1"/>
  <c r="M45" i="1" a="1"/>
  <c r="M45" i="1" s="1"/>
  <c r="N45" i="1" a="1"/>
  <c r="N45" i="1" s="1"/>
  <c r="O45" i="1" a="1"/>
  <c r="O45" i="1" s="1"/>
  <c r="P45" i="1" a="1"/>
  <c r="P45" i="1" s="1"/>
  <c r="Q45" i="1" a="1"/>
  <c r="Q45" i="1" s="1"/>
  <c r="R45" i="1" a="1"/>
  <c r="R45" i="1" s="1"/>
  <c r="S45" i="1" a="1"/>
  <c r="S45" i="1" s="1"/>
  <c r="T45" i="1" a="1"/>
  <c r="T45" i="1" s="1"/>
  <c r="U45" i="1" a="1"/>
  <c r="U45" i="1" s="1"/>
  <c r="C46" i="1" a="1"/>
  <c r="C46" i="1" s="1"/>
  <c r="D46" i="1" a="1"/>
  <c r="D46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K46" i="1" a="1"/>
  <c r="K46" i="1" s="1"/>
  <c r="L46" i="1" a="1"/>
  <c r="L46" i="1" s="1"/>
  <c r="M46" i="1" a="1"/>
  <c r="M46" i="1" s="1"/>
  <c r="N46" i="1" a="1"/>
  <c r="N46" i="1" s="1"/>
  <c r="O46" i="1" a="1"/>
  <c r="O46" i="1" s="1"/>
  <c r="P46" i="1" a="1"/>
  <c r="P46" i="1" s="1"/>
  <c r="Q46" i="1" a="1"/>
  <c r="Q46" i="1" s="1"/>
  <c r="R46" i="1" a="1"/>
  <c r="R46" i="1" s="1"/>
  <c r="S46" i="1" a="1"/>
  <c r="S46" i="1" s="1"/>
  <c r="T46" i="1" a="1"/>
  <c r="T46" i="1" s="1"/>
  <c r="U46" i="1" a="1"/>
  <c r="U46" i="1" s="1"/>
  <c r="C47" i="1" a="1"/>
  <c r="C47" i="1" s="1"/>
  <c r="D47" i="1" a="1"/>
  <c r="D47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K47" i="1" a="1"/>
  <c r="K47" i="1" s="1"/>
  <c r="L47" i="1" a="1"/>
  <c r="L47" i="1" s="1"/>
  <c r="M47" i="1" a="1"/>
  <c r="M47" i="1" s="1"/>
  <c r="N47" i="1" a="1"/>
  <c r="N47" i="1" s="1"/>
  <c r="O47" i="1" a="1"/>
  <c r="O47" i="1" s="1"/>
  <c r="P47" i="1" a="1"/>
  <c r="P47" i="1" s="1"/>
  <c r="Q47" i="1" a="1"/>
  <c r="Q47" i="1" s="1"/>
  <c r="R47" i="1" a="1"/>
  <c r="R47" i="1" s="1"/>
  <c r="S47" i="1" a="1"/>
  <c r="S47" i="1" s="1"/>
  <c r="T47" i="1" a="1"/>
  <c r="T47" i="1" s="1"/>
  <c r="U47" i="1" a="1"/>
  <c r="U47" i="1" s="1"/>
  <c r="C48" i="1" a="1"/>
  <c r="C48" i="1" s="1"/>
  <c r="D48" i="1" a="1"/>
  <c r="D48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K48" i="1" a="1"/>
  <c r="K48" i="1" s="1"/>
  <c r="L48" i="1" a="1"/>
  <c r="L48" i="1" s="1"/>
  <c r="M48" i="1" a="1"/>
  <c r="M48" i="1" s="1"/>
  <c r="N48" i="1" a="1"/>
  <c r="N48" i="1" s="1"/>
  <c r="O48" i="1" a="1"/>
  <c r="O48" i="1" s="1"/>
  <c r="P48" i="1" a="1"/>
  <c r="P48" i="1" s="1"/>
  <c r="Q48" i="1" a="1"/>
  <c r="Q48" i="1" s="1"/>
  <c r="R48" i="1" a="1"/>
  <c r="R48" i="1" s="1"/>
  <c r="S48" i="1" a="1"/>
  <c r="S48" i="1" s="1"/>
  <c r="T48" i="1" a="1"/>
  <c r="T48" i="1" s="1"/>
  <c r="U48" i="1" a="1"/>
  <c r="U48" i="1" s="1"/>
  <c r="C49" i="1" a="1"/>
  <c r="C49" i="1" s="1"/>
  <c r="D49" i="1" a="1"/>
  <c r="D49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K49" i="1" a="1"/>
  <c r="K49" i="1" s="1"/>
  <c r="L49" i="1" a="1"/>
  <c r="L49" i="1" s="1"/>
  <c r="M49" i="1" a="1"/>
  <c r="M49" i="1" s="1"/>
  <c r="N49" i="1" a="1"/>
  <c r="N49" i="1" s="1"/>
  <c r="O49" i="1" a="1"/>
  <c r="O49" i="1" s="1"/>
  <c r="P49" i="1" a="1"/>
  <c r="P49" i="1" s="1"/>
  <c r="Q49" i="1" a="1"/>
  <c r="Q49" i="1" s="1"/>
  <c r="R49" i="1" a="1"/>
  <c r="R49" i="1" s="1"/>
  <c r="S49" i="1" a="1"/>
  <c r="S49" i="1" s="1"/>
  <c r="T49" i="1" a="1"/>
  <c r="T49" i="1" s="1"/>
  <c r="U49" i="1" a="1"/>
  <c r="U49" i="1" s="1"/>
  <c r="C50" i="1" a="1"/>
  <c r="C50" i="1" s="1"/>
  <c r="D50" i="1" a="1"/>
  <c r="D50" i="1" s="1"/>
  <c r="E50" i="1" a="1"/>
  <c r="E50" i="1" s="1"/>
  <c r="F50" i="1" a="1"/>
  <c r="F50" i="1" s="1"/>
  <c r="G50" i="1" a="1"/>
  <c r="G50" i="1" s="1"/>
  <c r="H50" i="1" a="1"/>
  <c r="H50" i="1" s="1"/>
  <c r="I50" i="1" a="1"/>
  <c r="I50" i="1" s="1"/>
  <c r="J50" i="1" a="1"/>
  <c r="J50" i="1" s="1"/>
  <c r="K50" i="1" a="1"/>
  <c r="K50" i="1" s="1"/>
  <c r="L50" i="1" a="1"/>
  <c r="L50" i="1" s="1"/>
  <c r="M50" i="1" a="1"/>
  <c r="M50" i="1" s="1"/>
  <c r="N50" i="1" a="1"/>
  <c r="N50" i="1" s="1"/>
  <c r="O50" i="1" a="1"/>
  <c r="O50" i="1" s="1"/>
  <c r="P50" i="1" a="1"/>
  <c r="P50" i="1" s="1"/>
  <c r="Q50" i="1" a="1"/>
  <c r="Q50" i="1" s="1"/>
  <c r="R50" i="1" a="1"/>
  <c r="R50" i="1" s="1"/>
  <c r="S50" i="1" a="1"/>
  <c r="S50" i="1" s="1"/>
  <c r="T50" i="1" a="1"/>
  <c r="T50" i="1" s="1"/>
  <c r="U50" i="1" a="1"/>
  <c r="U50" i="1" s="1"/>
  <c r="C51" i="1" a="1"/>
  <c r="C51" i="1" s="1"/>
  <c r="D51" i="1" a="1"/>
  <c r="D51" i="1" s="1"/>
  <c r="E51" i="1" a="1"/>
  <c r="E51" i="1" s="1"/>
  <c r="F51" i="1" a="1"/>
  <c r="F51" i="1" s="1"/>
  <c r="G51" i="1" a="1"/>
  <c r="G51" i="1" s="1"/>
  <c r="H51" i="1" a="1"/>
  <c r="H51" i="1" s="1"/>
  <c r="I51" i="1" a="1"/>
  <c r="I51" i="1" s="1"/>
  <c r="J51" i="1" a="1"/>
  <c r="J51" i="1" s="1"/>
  <c r="K51" i="1" a="1"/>
  <c r="K51" i="1" s="1"/>
  <c r="L51" i="1" a="1"/>
  <c r="L51" i="1" s="1"/>
  <c r="M51" i="1" a="1"/>
  <c r="M51" i="1" s="1"/>
  <c r="N51" i="1" a="1"/>
  <c r="N51" i="1" s="1"/>
  <c r="O51" i="1" a="1"/>
  <c r="O51" i="1" s="1"/>
  <c r="P51" i="1" a="1"/>
  <c r="P51" i="1" s="1"/>
  <c r="Q51" i="1" a="1"/>
  <c r="Q51" i="1" s="1"/>
  <c r="R51" i="1" a="1"/>
  <c r="R51" i="1" s="1"/>
  <c r="S51" i="1" a="1"/>
  <c r="S51" i="1" s="1"/>
  <c r="T51" i="1" a="1"/>
  <c r="T51" i="1" s="1"/>
  <c r="U51" i="1" a="1"/>
  <c r="U51" i="1" s="1"/>
  <c r="C52" i="1" a="1"/>
  <c r="C52" i="1"/>
  <c r="D52" i="1" a="1"/>
  <c r="D52" i="1" s="1"/>
  <c r="E52" i="1" a="1"/>
  <c r="E52" i="1" s="1"/>
  <c r="F52" i="1" a="1"/>
  <c r="F52" i="1" s="1"/>
  <c r="G52" i="1" a="1"/>
  <c r="G52" i="1" s="1"/>
  <c r="H52" i="1" a="1"/>
  <c r="H52" i="1" s="1"/>
  <c r="I52" i="1" a="1"/>
  <c r="I52" i="1" s="1"/>
  <c r="J52" i="1" a="1"/>
  <c r="J52" i="1" s="1"/>
  <c r="K52" i="1" a="1"/>
  <c r="K52" i="1" s="1"/>
  <c r="L52" i="1" a="1"/>
  <c r="L52" i="1" s="1"/>
  <c r="M52" i="1" a="1"/>
  <c r="M52" i="1" s="1"/>
  <c r="N52" i="1" a="1"/>
  <c r="N52" i="1" s="1"/>
  <c r="O52" i="1" a="1"/>
  <c r="O52" i="1" s="1"/>
  <c r="P52" i="1" a="1"/>
  <c r="P52" i="1" s="1"/>
  <c r="Q52" i="1" a="1"/>
  <c r="Q52" i="1" s="1"/>
  <c r="R52" i="1" a="1"/>
  <c r="R52" i="1" s="1"/>
  <c r="S52" i="1" a="1"/>
  <c r="S52" i="1" s="1"/>
  <c r="T52" i="1" a="1"/>
  <c r="T52" i="1" s="1"/>
  <c r="U52" i="1" a="1"/>
  <c r="U52" i="1" s="1"/>
  <c r="C53" i="1" a="1"/>
  <c r="C53" i="1" s="1"/>
  <c r="D53" i="1" a="1"/>
  <c r="D53" i="1" s="1"/>
  <c r="E53" i="1" a="1"/>
  <c r="E53" i="1" s="1"/>
  <c r="F53" i="1" a="1"/>
  <c r="F53" i="1" s="1"/>
  <c r="G53" i="1" a="1"/>
  <c r="G53" i="1" s="1"/>
  <c r="H53" i="1" a="1"/>
  <c r="H53" i="1" s="1"/>
  <c r="I53" i="1" a="1"/>
  <c r="I53" i="1" s="1"/>
  <c r="J53" i="1" a="1"/>
  <c r="J53" i="1" s="1"/>
  <c r="K53" i="1" a="1"/>
  <c r="K53" i="1" s="1"/>
  <c r="L53" i="1" a="1"/>
  <c r="L53" i="1" s="1"/>
  <c r="M53" i="1" a="1"/>
  <c r="M53" i="1" s="1"/>
  <c r="N53" i="1" a="1"/>
  <c r="N53" i="1" s="1"/>
  <c r="O53" i="1" a="1"/>
  <c r="O53" i="1" s="1"/>
  <c r="P53" i="1" a="1"/>
  <c r="P53" i="1" s="1"/>
  <c r="Q53" i="1" a="1"/>
  <c r="Q53" i="1" s="1"/>
  <c r="R53" i="1" a="1"/>
  <c r="R53" i="1" s="1"/>
  <c r="S53" i="1" a="1"/>
  <c r="S53" i="1" s="1"/>
  <c r="T53" i="1" a="1"/>
  <c r="T53" i="1" s="1"/>
  <c r="U53" i="1" a="1"/>
  <c r="U53" i="1" s="1"/>
  <c r="C54" i="1" a="1"/>
  <c r="C54" i="1" s="1"/>
  <c r="D54" i="1" a="1"/>
  <c r="D54" i="1" s="1"/>
  <c r="E54" i="1" a="1"/>
  <c r="E54" i="1" s="1"/>
  <c r="F54" i="1" a="1"/>
  <c r="F54" i="1" s="1"/>
  <c r="G54" i="1" a="1"/>
  <c r="G54" i="1" s="1"/>
  <c r="H54" i="1" a="1"/>
  <c r="H54" i="1" s="1"/>
  <c r="I54" i="1" a="1"/>
  <c r="I54" i="1" s="1"/>
  <c r="J54" i="1" a="1"/>
  <c r="J54" i="1" s="1"/>
  <c r="K54" i="1" a="1"/>
  <c r="K54" i="1" s="1"/>
  <c r="L54" i="1" a="1"/>
  <c r="L54" i="1" s="1"/>
  <c r="M54" i="1" a="1"/>
  <c r="M54" i="1" s="1"/>
  <c r="N54" i="1" a="1"/>
  <c r="N54" i="1" s="1"/>
  <c r="O54" i="1" a="1"/>
  <c r="O54" i="1" s="1"/>
  <c r="P54" i="1" a="1"/>
  <c r="P54" i="1" s="1"/>
  <c r="Q54" i="1" a="1"/>
  <c r="Q54" i="1" s="1"/>
  <c r="R54" i="1" a="1"/>
  <c r="R54" i="1" s="1"/>
  <c r="S54" i="1" a="1"/>
  <c r="S54" i="1" s="1"/>
  <c r="T54" i="1" a="1"/>
  <c r="T54" i="1" s="1"/>
  <c r="U54" i="1" a="1"/>
  <c r="U54" i="1" s="1"/>
  <c r="C55" i="1" a="1"/>
  <c r="C55" i="1" s="1"/>
  <c r="D55" i="1" a="1"/>
  <c r="D55" i="1" s="1"/>
  <c r="E55" i="1" a="1"/>
  <c r="E55" i="1" s="1"/>
  <c r="F55" i="1" a="1"/>
  <c r="F55" i="1" s="1"/>
  <c r="G55" i="1" a="1"/>
  <c r="G55" i="1" s="1"/>
  <c r="H55" i="1" a="1"/>
  <c r="H55" i="1" s="1"/>
  <c r="I55" i="1" a="1"/>
  <c r="I55" i="1" s="1"/>
  <c r="J55" i="1" a="1"/>
  <c r="J55" i="1" s="1"/>
  <c r="K55" i="1" a="1"/>
  <c r="K55" i="1" s="1"/>
  <c r="L55" i="1" a="1"/>
  <c r="L55" i="1" s="1"/>
  <c r="M55" i="1" a="1"/>
  <c r="M55" i="1" s="1"/>
  <c r="N55" i="1" a="1"/>
  <c r="N55" i="1" s="1"/>
  <c r="O55" i="1" a="1"/>
  <c r="O55" i="1" s="1"/>
  <c r="P55" i="1" a="1"/>
  <c r="P55" i="1" s="1"/>
  <c r="Q55" i="1" a="1"/>
  <c r="Q55" i="1" s="1"/>
  <c r="R55" i="1" a="1"/>
  <c r="R55" i="1" s="1"/>
  <c r="S55" i="1" a="1"/>
  <c r="S55" i="1" s="1"/>
  <c r="T55" i="1" a="1"/>
  <c r="T55" i="1" s="1"/>
  <c r="U55" i="1" a="1"/>
  <c r="U55" i="1" s="1"/>
  <c r="C56" i="1" a="1"/>
  <c r="C56" i="1" s="1"/>
  <c r="D56" i="1" a="1"/>
  <c r="D56" i="1" s="1"/>
  <c r="E56" i="1" a="1"/>
  <c r="E56" i="1" s="1"/>
  <c r="F56" i="1" a="1"/>
  <c r="F56" i="1" s="1"/>
  <c r="G56" i="1" a="1"/>
  <c r="G56" i="1" s="1"/>
  <c r="H56" i="1" a="1"/>
  <c r="H56" i="1" s="1"/>
  <c r="I56" i="1" a="1"/>
  <c r="I56" i="1" s="1"/>
  <c r="J56" i="1" a="1"/>
  <c r="J56" i="1" s="1"/>
  <c r="K56" i="1" a="1"/>
  <c r="K56" i="1" s="1"/>
  <c r="L56" i="1" a="1"/>
  <c r="L56" i="1" s="1"/>
  <c r="M56" i="1" a="1"/>
  <c r="M56" i="1" s="1"/>
  <c r="N56" i="1" a="1"/>
  <c r="N56" i="1" s="1"/>
  <c r="O56" i="1" a="1"/>
  <c r="O56" i="1" s="1"/>
  <c r="P56" i="1" a="1"/>
  <c r="P56" i="1" s="1"/>
  <c r="Q56" i="1" a="1"/>
  <c r="Q56" i="1" s="1"/>
  <c r="R56" i="1" a="1"/>
  <c r="R56" i="1" s="1"/>
  <c r="S56" i="1" a="1"/>
  <c r="S56" i="1" s="1"/>
  <c r="T56" i="1" a="1"/>
  <c r="T56" i="1" s="1"/>
  <c r="U56" i="1" a="1"/>
  <c r="U56" i="1" s="1"/>
  <c r="C57" i="1" a="1"/>
  <c r="C57" i="1" s="1"/>
  <c r="D57" i="1" a="1"/>
  <c r="D57" i="1" s="1"/>
  <c r="E57" i="1" a="1"/>
  <c r="E57" i="1" s="1"/>
  <c r="F57" i="1" a="1"/>
  <c r="F57" i="1" s="1"/>
  <c r="G57" i="1" a="1"/>
  <c r="G57" i="1" s="1"/>
  <c r="H57" i="1" a="1"/>
  <c r="H57" i="1" s="1"/>
  <c r="I57" i="1" a="1"/>
  <c r="I57" i="1" s="1"/>
  <c r="J57" i="1" a="1"/>
  <c r="J57" i="1" s="1"/>
  <c r="K57" i="1" a="1"/>
  <c r="K57" i="1" s="1"/>
  <c r="L57" i="1" a="1"/>
  <c r="L57" i="1" s="1"/>
  <c r="M57" i="1" a="1"/>
  <c r="M57" i="1" s="1"/>
  <c r="N57" i="1" a="1"/>
  <c r="N57" i="1" s="1"/>
  <c r="O57" i="1" a="1"/>
  <c r="O57" i="1" s="1"/>
  <c r="P57" i="1" a="1"/>
  <c r="P57" i="1" s="1"/>
  <c r="Q57" i="1" a="1"/>
  <c r="Q57" i="1" s="1"/>
  <c r="R57" i="1" a="1"/>
  <c r="R57" i="1" s="1"/>
  <c r="S57" i="1" a="1"/>
  <c r="S57" i="1" s="1"/>
  <c r="T57" i="1" a="1"/>
  <c r="T57" i="1" s="1"/>
  <c r="U57" i="1" a="1"/>
  <c r="U57" i="1" s="1"/>
  <c r="C58" i="1" a="1"/>
  <c r="C58" i="1" s="1"/>
  <c r="D58" i="1" a="1"/>
  <c r="D58" i="1" s="1"/>
  <c r="E58" i="1" a="1"/>
  <c r="E58" i="1" s="1"/>
  <c r="F58" i="1" a="1"/>
  <c r="F58" i="1" s="1"/>
  <c r="G58" i="1" a="1"/>
  <c r="G58" i="1" s="1"/>
  <c r="H58" i="1" a="1"/>
  <c r="H58" i="1" s="1"/>
  <c r="I58" i="1" a="1"/>
  <c r="I58" i="1" s="1"/>
  <c r="J58" i="1" a="1"/>
  <c r="J58" i="1" s="1"/>
  <c r="K58" i="1" a="1"/>
  <c r="K58" i="1" s="1"/>
  <c r="L58" i="1" a="1"/>
  <c r="L58" i="1" s="1"/>
  <c r="M58" i="1" a="1"/>
  <c r="M58" i="1" s="1"/>
  <c r="N58" i="1" a="1"/>
  <c r="N58" i="1" s="1"/>
  <c r="O58" i="1" a="1"/>
  <c r="O58" i="1" s="1"/>
  <c r="P58" i="1" a="1"/>
  <c r="P58" i="1" s="1"/>
  <c r="Q58" i="1" a="1"/>
  <c r="Q58" i="1" s="1"/>
  <c r="R58" i="1" a="1"/>
  <c r="R58" i="1" s="1"/>
  <c r="S58" i="1" a="1"/>
  <c r="S58" i="1" s="1"/>
  <c r="T58" i="1" a="1"/>
  <c r="T58" i="1" s="1"/>
  <c r="U58" i="1" a="1"/>
  <c r="U58" i="1" s="1"/>
  <c r="C59" i="1" a="1"/>
  <c r="C59" i="1" s="1"/>
  <c r="D59" i="1" a="1"/>
  <c r="D59" i="1" s="1"/>
  <c r="E59" i="1" a="1"/>
  <c r="E59" i="1" s="1"/>
  <c r="F59" i="1" a="1"/>
  <c r="F59" i="1" s="1"/>
  <c r="G59" i="1" a="1"/>
  <c r="G59" i="1" s="1"/>
  <c r="H59" i="1" a="1"/>
  <c r="H59" i="1" s="1"/>
  <c r="I59" i="1" a="1"/>
  <c r="I59" i="1" s="1"/>
  <c r="J59" i="1" a="1"/>
  <c r="J59" i="1" s="1"/>
  <c r="K59" i="1" a="1"/>
  <c r="K59" i="1" s="1"/>
  <c r="L59" i="1" a="1"/>
  <c r="L59" i="1" s="1"/>
  <c r="M59" i="1" a="1"/>
  <c r="M59" i="1" s="1"/>
  <c r="N59" i="1" a="1"/>
  <c r="N59" i="1" s="1"/>
  <c r="O59" i="1" a="1"/>
  <c r="O59" i="1" s="1"/>
  <c r="P59" i="1" a="1"/>
  <c r="P59" i="1" s="1"/>
  <c r="Q59" i="1" a="1"/>
  <c r="Q59" i="1" s="1"/>
  <c r="R59" i="1" a="1"/>
  <c r="R59" i="1"/>
  <c r="S59" i="1" a="1"/>
  <c r="S59" i="1" s="1"/>
  <c r="T59" i="1" a="1"/>
  <c r="T59" i="1" s="1"/>
  <c r="U59" i="1" a="1"/>
  <c r="U59" i="1" s="1"/>
  <c r="C60" i="1" a="1"/>
  <c r="C60" i="1" s="1"/>
  <c r="D60" i="1" a="1"/>
  <c r="D60" i="1" s="1"/>
  <c r="E60" i="1" a="1"/>
  <c r="E60" i="1" s="1"/>
  <c r="F60" i="1" a="1"/>
  <c r="F60" i="1" s="1"/>
  <c r="G60" i="1" a="1"/>
  <c r="G60" i="1" s="1"/>
  <c r="H60" i="1" a="1"/>
  <c r="H60" i="1" s="1"/>
  <c r="I60" i="1" a="1"/>
  <c r="I60" i="1" s="1"/>
  <c r="J60" i="1" a="1"/>
  <c r="J60" i="1" s="1"/>
  <c r="K60" i="1" a="1"/>
  <c r="K60" i="1" s="1"/>
  <c r="L60" i="1" a="1"/>
  <c r="L60" i="1" s="1"/>
  <c r="M60" i="1" a="1"/>
  <c r="M60" i="1" s="1"/>
  <c r="N60" i="1" a="1"/>
  <c r="N60" i="1" s="1"/>
  <c r="O60" i="1" a="1"/>
  <c r="O60" i="1" s="1"/>
  <c r="P60" i="1" a="1"/>
  <c r="P60" i="1" s="1"/>
  <c r="Q60" i="1" a="1"/>
  <c r="Q60" i="1" s="1"/>
  <c r="R60" i="1" a="1"/>
  <c r="R60" i="1" s="1"/>
  <c r="S60" i="1" a="1"/>
  <c r="S60" i="1" s="1"/>
  <c r="T60" i="1" a="1"/>
  <c r="T60" i="1" s="1"/>
  <c r="U60" i="1" a="1"/>
  <c r="U60" i="1" s="1"/>
  <c r="C61" i="1" a="1"/>
  <c r="C61" i="1" s="1"/>
  <c r="D61" i="1" a="1"/>
  <c r="D61" i="1" s="1"/>
  <c r="E61" i="1" a="1"/>
  <c r="E61" i="1" s="1"/>
  <c r="F61" i="1" a="1"/>
  <c r="F61" i="1" s="1"/>
  <c r="G61" i="1" a="1"/>
  <c r="G61" i="1" s="1"/>
  <c r="H61" i="1" a="1"/>
  <c r="H61" i="1" s="1"/>
  <c r="I61" i="1" a="1"/>
  <c r="I61" i="1" s="1"/>
  <c r="J61" i="1" a="1"/>
  <c r="J61" i="1" s="1"/>
  <c r="K61" i="1" a="1"/>
  <c r="K61" i="1" s="1"/>
  <c r="L61" i="1" a="1"/>
  <c r="L61" i="1" s="1"/>
  <c r="M61" i="1" a="1"/>
  <c r="M61" i="1" s="1"/>
  <c r="N61" i="1" a="1"/>
  <c r="N61" i="1" s="1"/>
  <c r="O61" i="1" a="1"/>
  <c r="O61" i="1" s="1"/>
  <c r="P61" i="1" a="1"/>
  <c r="P61" i="1" s="1"/>
  <c r="Q61" i="1" a="1"/>
  <c r="Q61" i="1" s="1"/>
  <c r="R61" i="1" a="1"/>
  <c r="R61" i="1" s="1"/>
  <c r="S61" i="1" a="1"/>
  <c r="S61" i="1" s="1"/>
  <c r="T61" i="1" a="1"/>
  <c r="T61" i="1" s="1"/>
  <c r="U61" i="1" a="1"/>
  <c r="U61" i="1" s="1"/>
  <c r="C62" i="1" a="1"/>
  <c r="C62" i="1" s="1"/>
  <c r="D62" i="1" a="1"/>
  <c r="D62" i="1" s="1"/>
  <c r="E62" i="1" a="1"/>
  <c r="E62" i="1" s="1"/>
  <c r="F62" i="1" a="1"/>
  <c r="F62" i="1" s="1"/>
  <c r="G62" i="1" a="1"/>
  <c r="G62" i="1" s="1"/>
  <c r="H62" i="1" a="1"/>
  <c r="H62" i="1" s="1"/>
  <c r="I62" i="1" a="1"/>
  <c r="I62" i="1" s="1"/>
  <c r="J62" i="1" a="1"/>
  <c r="J62" i="1" s="1"/>
  <c r="K62" i="1" a="1"/>
  <c r="K62" i="1" s="1"/>
  <c r="L62" i="1" a="1"/>
  <c r="L62" i="1" s="1"/>
  <c r="M62" i="1" a="1"/>
  <c r="M62" i="1" s="1"/>
  <c r="N62" i="1" a="1"/>
  <c r="N62" i="1" s="1"/>
  <c r="O62" i="1" a="1"/>
  <c r="O62" i="1"/>
  <c r="P62" i="1" a="1"/>
  <c r="P62" i="1" s="1"/>
  <c r="Q62" i="1" a="1"/>
  <c r="Q62" i="1" s="1"/>
  <c r="R62" i="1" a="1"/>
  <c r="R62" i="1" s="1"/>
  <c r="S62" i="1" a="1"/>
  <c r="S62" i="1" s="1"/>
  <c r="T62" i="1" a="1"/>
  <c r="T62" i="1" s="1"/>
  <c r="U62" i="1" a="1"/>
  <c r="U62" i="1" s="1"/>
  <c r="C63" i="1" a="1"/>
  <c r="C63" i="1" s="1"/>
  <c r="D63" i="1" a="1"/>
  <c r="D63" i="1" s="1"/>
  <c r="E63" i="1" a="1"/>
  <c r="E63" i="1" s="1"/>
  <c r="F63" i="1" a="1"/>
  <c r="F63" i="1"/>
  <c r="G63" i="1" a="1"/>
  <c r="G63" i="1" s="1"/>
  <c r="H63" i="1" a="1"/>
  <c r="H63" i="1" s="1"/>
  <c r="I63" i="1" a="1"/>
  <c r="I63" i="1" s="1"/>
  <c r="J63" i="1" a="1"/>
  <c r="J63" i="1" s="1"/>
  <c r="K63" i="1" a="1"/>
  <c r="K63" i="1" s="1"/>
  <c r="L63" i="1" a="1"/>
  <c r="L63" i="1" s="1"/>
  <c r="M63" i="1" a="1"/>
  <c r="M63" i="1" s="1"/>
  <c r="N63" i="1" a="1"/>
  <c r="N63" i="1" s="1"/>
  <c r="O63" i="1" a="1"/>
  <c r="O63" i="1" s="1"/>
  <c r="P63" i="1" a="1"/>
  <c r="P63" i="1" s="1"/>
  <c r="Q63" i="1" a="1"/>
  <c r="Q63" i="1" s="1"/>
  <c r="R63" i="1" a="1"/>
  <c r="R63" i="1" s="1"/>
  <c r="S63" i="1" a="1"/>
  <c r="S63" i="1" s="1"/>
  <c r="T63" i="1" a="1"/>
  <c r="T63" i="1" s="1"/>
  <c r="U63" i="1" a="1"/>
  <c r="U63" i="1" s="1"/>
  <c r="C64" i="1" a="1"/>
  <c r="C64" i="1" s="1"/>
  <c r="D64" i="1" a="1"/>
  <c r="D64" i="1" s="1"/>
  <c r="E64" i="1" a="1"/>
  <c r="E64" i="1" s="1"/>
  <c r="F64" i="1" a="1"/>
  <c r="F64" i="1" s="1"/>
  <c r="G64" i="1" a="1"/>
  <c r="G64" i="1" s="1"/>
  <c r="H64" i="1" a="1"/>
  <c r="H64" i="1" s="1"/>
  <c r="I64" i="1" a="1"/>
  <c r="I64" i="1" s="1"/>
  <c r="J64" i="1" a="1"/>
  <c r="J64" i="1" s="1"/>
  <c r="K64" i="1" a="1"/>
  <c r="K64" i="1" s="1"/>
  <c r="L64" i="1" a="1"/>
  <c r="L64" i="1" s="1"/>
  <c r="M64" i="1" a="1"/>
  <c r="M64" i="1" s="1"/>
  <c r="N64" i="1" a="1"/>
  <c r="N64" i="1" s="1"/>
  <c r="O64" i="1" a="1"/>
  <c r="O64" i="1" s="1"/>
  <c r="P64" i="1" a="1"/>
  <c r="P64" i="1" s="1"/>
  <c r="Q64" i="1" a="1"/>
  <c r="Q64" i="1" s="1"/>
  <c r="R64" i="1" a="1"/>
  <c r="R64" i="1" s="1"/>
  <c r="S64" i="1" a="1"/>
  <c r="S64" i="1" s="1"/>
  <c r="T64" i="1" a="1"/>
  <c r="T64" i="1" s="1"/>
  <c r="U64" i="1" a="1"/>
  <c r="U64" i="1" s="1"/>
  <c r="C65" i="1" a="1"/>
  <c r="C65" i="1" s="1"/>
  <c r="D65" i="1" a="1"/>
  <c r="D65" i="1" s="1"/>
  <c r="E65" i="1" a="1"/>
  <c r="E65" i="1" s="1"/>
  <c r="F65" i="1" a="1"/>
  <c r="F65" i="1" s="1"/>
  <c r="G65" i="1" a="1"/>
  <c r="G65" i="1" s="1"/>
  <c r="H65" i="1" a="1"/>
  <c r="H65" i="1" s="1"/>
  <c r="I65" i="1" a="1"/>
  <c r="I65" i="1" s="1"/>
  <c r="J65" i="1" a="1"/>
  <c r="J65" i="1" s="1"/>
  <c r="K65" i="1" a="1"/>
  <c r="K65" i="1" s="1"/>
  <c r="L65" i="1" a="1"/>
  <c r="L65" i="1" s="1"/>
  <c r="M65" i="1" a="1"/>
  <c r="M65" i="1" s="1"/>
  <c r="N65" i="1" a="1"/>
  <c r="N65" i="1" s="1"/>
  <c r="O65" i="1" a="1"/>
  <c r="O65" i="1" s="1"/>
  <c r="P65" i="1" a="1"/>
  <c r="P65" i="1" s="1"/>
  <c r="Q65" i="1" a="1"/>
  <c r="Q65" i="1" s="1"/>
  <c r="R65" i="1" a="1"/>
  <c r="R65" i="1" s="1"/>
  <c r="S65" i="1" a="1"/>
  <c r="S65" i="1" s="1"/>
  <c r="T65" i="1" a="1"/>
  <c r="T65" i="1" s="1"/>
  <c r="U65" i="1" a="1"/>
  <c r="U65" i="1" s="1"/>
  <c r="C66" i="1" a="1"/>
  <c r="C66" i="1" s="1"/>
  <c r="D66" i="1" a="1"/>
  <c r="D66" i="1" s="1"/>
  <c r="E66" i="1" a="1"/>
  <c r="E66" i="1" s="1"/>
  <c r="F66" i="1" a="1"/>
  <c r="F66" i="1" s="1"/>
  <c r="G66" i="1" a="1"/>
  <c r="G66" i="1" s="1"/>
  <c r="H66" i="1" a="1"/>
  <c r="H66" i="1" s="1"/>
  <c r="I66" i="1" a="1"/>
  <c r="I66" i="1" s="1"/>
  <c r="J66" i="1" a="1"/>
  <c r="J66" i="1" s="1"/>
  <c r="K66" i="1" a="1"/>
  <c r="K66" i="1" s="1"/>
  <c r="L66" i="1" a="1"/>
  <c r="L66" i="1" s="1"/>
  <c r="M66" i="1" a="1"/>
  <c r="M66" i="1" s="1"/>
  <c r="N66" i="1" a="1"/>
  <c r="N66" i="1" s="1"/>
  <c r="O66" i="1" a="1"/>
  <c r="O66" i="1" s="1"/>
  <c r="P66" i="1" a="1"/>
  <c r="P66" i="1" s="1"/>
  <c r="Q66" i="1" a="1"/>
  <c r="Q66" i="1" s="1"/>
  <c r="R66" i="1" a="1"/>
  <c r="R66" i="1" s="1"/>
  <c r="S66" i="1" a="1"/>
  <c r="S66" i="1" s="1"/>
  <c r="T66" i="1" a="1"/>
  <c r="T66" i="1" s="1"/>
  <c r="U66" i="1" a="1"/>
  <c r="U66" i="1" s="1"/>
  <c r="C67" i="1" a="1"/>
  <c r="C67" i="1" s="1"/>
  <c r="D67" i="1" a="1"/>
  <c r="D67" i="1" s="1"/>
  <c r="E67" i="1" a="1"/>
  <c r="E67" i="1" s="1"/>
  <c r="F67" i="1" a="1"/>
  <c r="F67" i="1" s="1"/>
  <c r="G67" i="1" a="1"/>
  <c r="G67" i="1" s="1"/>
  <c r="H67" i="1" a="1"/>
  <c r="H67" i="1" s="1"/>
  <c r="I67" i="1" a="1"/>
  <c r="I67" i="1" s="1"/>
  <c r="J67" i="1" a="1"/>
  <c r="J67" i="1" s="1"/>
  <c r="K67" i="1" a="1"/>
  <c r="K67" i="1" s="1"/>
  <c r="L67" i="1" a="1"/>
  <c r="L67" i="1" s="1"/>
  <c r="M67" i="1" a="1"/>
  <c r="M67" i="1" s="1"/>
  <c r="N67" i="1" a="1"/>
  <c r="N67" i="1" s="1"/>
  <c r="O67" i="1" a="1"/>
  <c r="O67" i="1" s="1"/>
  <c r="P67" i="1" a="1"/>
  <c r="P67" i="1" s="1"/>
  <c r="Q67" i="1" a="1"/>
  <c r="Q67" i="1" s="1"/>
  <c r="R67" i="1" a="1"/>
  <c r="R67" i="1" s="1"/>
  <c r="S67" i="1" a="1"/>
  <c r="S67" i="1" s="1"/>
  <c r="T67" i="1" a="1"/>
  <c r="T67" i="1" s="1"/>
  <c r="U67" i="1" a="1"/>
  <c r="U67" i="1" s="1"/>
  <c r="C68" i="1" a="1"/>
  <c r="C68" i="1" s="1"/>
  <c r="D68" i="1" a="1"/>
  <c r="D68" i="1" s="1"/>
  <c r="E68" i="1" a="1"/>
  <c r="E68" i="1" s="1"/>
  <c r="F68" i="1" a="1"/>
  <c r="F68" i="1" s="1"/>
  <c r="G68" i="1" a="1"/>
  <c r="G68" i="1" s="1"/>
  <c r="H68" i="1" a="1"/>
  <c r="H68" i="1" s="1"/>
  <c r="I68" i="1" a="1"/>
  <c r="I68" i="1" s="1"/>
  <c r="J68" i="1" a="1"/>
  <c r="J68" i="1" s="1"/>
  <c r="K68" i="1" a="1"/>
  <c r="K68" i="1" s="1"/>
  <c r="L68" i="1" a="1"/>
  <c r="L68" i="1" s="1"/>
  <c r="M68" i="1" a="1"/>
  <c r="M68" i="1" s="1"/>
  <c r="N68" i="1" a="1"/>
  <c r="N68" i="1" s="1"/>
  <c r="O68" i="1" a="1"/>
  <c r="O68" i="1" s="1"/>
  <c r="P68" i="1" a="1"/>
  <c r="P68" i="1" s="1"/>
  <c r="Q68" i="1" a="1"/>
  <c r="Q68" i="1" s="1"/>
  <c r="R68" i="1" a="1"/>
  <c r="R68" i="1" s="1"/>
  <c r="S68" i="1" a="1"/>
  <c r="S68" i="1" s="1"/>
  <c r="T68" i="1" a="1"/>
  <c r="T68" i="1" s="1"/>
  <c r="U68" i="1" a="1"/>
  <c r="U68" i="1" s="1"/>
  <c r="C69" i="1" a="1"/>
  <c r="C69" i="1" s="1"/>
  <c r="D69" i="1" a="1"/>
  <c r="D69" i="1" s="1"/>
  <c r="E69" i="1" a="1"/>
  <c r="E69" i="1" s="1"/>
  <c r="F69" i="1" a="1"/>
  <c r="F69" i="1" s="1"/>
  <c r="G69" i="1" a="1"/>
  <c r="G69" i="1" s="1"/>
  <c r="H69" i="1" a="1"/>
  <c r="H69" i="1" s="1"/>
  <c r="I69" i="1" a="1"/>
  <c r="I69" i="1" s="1"/>
  <c r="J69" i="1" a="1"/>
  <c r="J69" i="1" s="1"/>
  <c r="K69" i="1" a="1"/>
  <c r="K69" i="1" s="1"/>
  <c r="L69" i="1" a="1"/>
  <c r="L69" i="1" s="1"/>
  <c r="M69" i="1" a="1"/>
  <c r="M69" i="1" s="1"/>
  <c r="N69" i="1" a="1"/>
  <c r="N69" i="1" s="1"/>
  <c r="O69" i="1" a="1"/>
  <c r="O69" i="1" s="1"/>
  <c r="P69" i="1" a="1"/>
  <c r="P69" i="1" s="1"/>
  <c r="Q69" i="1" a="1"/>
  <c r="Q69" i="1" s="1"/>
  <c r="R69" i="1" a="1"/>
  <c r="R69" i="1" s="1"/>
  <c r="S69" i="1" a="1"/>
  <c r="S69" i="1" s="1"/>
  <c r="T69" i="1" a="1"/>
  <c r="T69" i="1" s="1"/>
  <c r="U69" i="1" a="1"/>
  <c r="U69" i="1" s="1"/>
  <c r="C70" i="1" a="1"/>
  <c r="C70" i="1" s="1"/>
  <c r="D70" i="1" a="1"/>
  <c r="D70" i="1" s="1"/>
  <c r="E70" i="1" a="1"/>
  <c r="E70" i="1" s="1"/>
  <c r="F70" i="1" a="1"/>
  <c r="F70" i="1" s="1"/>
  <c r="G70" i="1" a="1"/>
  <c r="G70" i="1" s="1"/>
  <c r="H70" i="1" a="1"/>
  <c r="H70" i="1" s="1"/>
  <c r="I70" i="1" a="1"/>
  <c r="I70" i="1" s="1"/>
  <c r="J70" i="1" a="1"/>
  <c r="J70" i="1" s="1"/>
  <c r="K70" i="1" a="1"/>
  <c r="K70" i="1" s="1"/>
  <c r="L70" i="1" a="1"/>
  <c r="L70" i="1" s="1"/>
  <c r="M70" i="1" a="1"/>
  <c r="M70" i="1"/>
  <c r="N70" i="1" a="1"/>
  <c r="N70" i="1" s="1"/>
  <c r="O70" i="1" a="1"/>
  <c r="O70" i="1" s="1"/>
  <c r="P70" i="1" a="1"/>
  <c r="P70" i="1" s="1"/>
  <c r="Q70" i="1" a="1"/>
  <c r="Q70" i="1" s="1"/>
  <c r="R70" i="1" a="1"/>
  <c r="R70" i="1" s="1"/>
  <c r="S70" i="1" a="1"/>
  <c r="S70" i="1" s="1"/>
  <c r="T70" i="1" a="1"/>
  <c r="T70" i="1" s="1"/>
  <c r="U70" i="1" a="1"/>
  <c r="U70" i="1" s="1"/>
  <c r="C71" i="1" a="1"/>
  <c r="C71" i="1" s="1"/>
  <c r="D71" i="1" a="1"/>
  <c r="D71" i="1" s="1"/>
  <c r="E71" i="1" a="1"/>
  <c r="E71" i="1" s="1"/>
  <c r="F71" i="1" a="1"/>
  <c r="F71" i="1" s="1"/>
  <c r="G71" i="1" a="1"/>
  <c r="G71" i="1" s="1"/>
  <c r="H71" i="1" a="1"/>
  <c r="H71" i="1" s="1"/>
  <c r="I71" i="1" a="1"/>
  <c r="I71" i="1" s="1"/>
  <c r="J71" i="1" a="1"/>
  <c r="J71" i="1" s="1"/>
  <c r="K71" i="1" a="1"/>
  <c r="K71" i="1" s="1"/>
  <c r="L71" i="1" a="1"/>
  <c r="L71" i="1" s="1"/>
  <c r="M71" i="1" a="1"/>
  <c r="M71" i="1" s="1"/>
  <c r="N71" i="1" a="1"/>
  <c r="N71" i="1" s="1"/>
  <c r="O71" i="1" a="1"/>
  <c r="O71" i="1" s="1"/>
  <c r="P71" i="1" a="1"/>
  <c r="P71" i="1" s="1"/>
  <c r="Q71" i="1" a="1"/>
  <c r="Q71" i="1" s="1"/>
  <c r="R71" i="1" a="1"/>
  <c r="R71" i="1" s="1"/>
  <c r="S71" i="1" a="1"/>
  <c r="S71" i="1" s="1"/>
  <c r="T71" i="1" a="1"/>
  <c r="T71" i="1" s="1"/>
  <c r="U71" i="1" a="1"/>
  <c r="U71" i="1" s="1"/>
  <c r="C72" i="1" a="1"/>
  <c r="C72" i="1" s="1"/>
  <c r="D72" i="1" a="1"/>
  <c r="D72" i="1" s="1"/>
  <c r="E72" i="1" a="1"/>
  <c r="E72" i="1" s="1"/>
  <c r="F72" i="1" a="1"/>
  <c r="F72" i="1" s="1"/>
  <c r="G72" i="1" a="1"/>
  <c r="G72" i="1" s="1"/>
  <c r="H72" i="1" a="1"/>
  <c r="H72" i="1" s="1"/>
  <c r="I72" i="1" a="1"/>
  <c r="I72" i="1" s="1"/>
  <c r="J72" i="1" a="1"/>
  <c r="J72" i="1" s="1"/>
  <c r="K72" i="1" a="1"/>
  <c r="K72" i="1" s="1"/>
  <c r="L72" i="1" a="1"/>
  <c r="L72" i="1" s="1"/>
  <c r="M72" i="1" a="1"/>
  <c r="M72" i="1" s="1"/>
  <c r="N72" i="1" a="1"/>
  <c r="N72" i="1" s="1"/>
  <c r="O72" i="1" a="1"/>
  <c r="O72" i="1" s="1"/>
  <c r="P72" i="1" a="1"/>
  <c r="P72" i="1" s="1"/>
  <c r="Q72" i="1" a="1"/>
  <c r="Q72" i="1" s="1"/>
  <c r="R72" i="1" a="1"/>
  <c r="R72" i="1" s="1"/>
  <c r="S72" i="1" a="1"/>
  <c r="S72" i="1" s="1"/>
  <c r="T72" i="1" a="1"/>
  <c r="T72" i="1" s="1"/>
  <c r="U72" i="1" a="1"/>
  <c r="U72" i="1" s="1"/>
  <c r="C73" i="1" a="1"/>
  <c r="C73" i="1" s="1"/>
  <c r="D73" i="1" a="1"/>
  <c r="D73" i="1" s="1"/>
  <c r="E73" i="1" a="1"/>
  <c r="E73" i="1" s="1"/>
  <c r="F73" i="1" a="1"/>
  <c r="F73" i="1" s="1"/>
  <c r="G73" i="1" a="1"/>
  <c r="G73" i="1" s="1"/>
  <c r="H73" i="1" a="1"/>
  <c r="H73" i="1" s="1"/>
  <c r="I73" i="1" a="1"/>
  <c r="I73" i="1" s="1"/>
  <c r="J73" i="1" a="1"/>
  <c r="J73" i="1" s="1"/>
  <c r="K73" i="1" a="1"/>
  <c r="K73" i="1" s="1"/>
  <c r="L73" i="1" a="1"/>
  <c r="L73" i="1" s="1"/>
  <c r="M73" i="1" a="1"/>
  <c r="M73" i="1" s="1"/>
  <c r="N73" i="1" a="1"/>
  <c r="N73" i="1" s="1"/>
  <c r="O73" i="1" a="1"/>
  <c r="O73" i="1" s="1"/>
  <c r="P73" i="1" a="1"/>
  <c r="P73" i="1" s="1"/>
  <c r="Q73" i="1" a="1"/>
  <c r="Q73" i="1" s="1"/>
  <c r="R73" i="1" a="1"/>
  <c r="R73" i="1" s="1"/>
  <c r="S73" i="1" a="1"/>
  <c r="S73" i="1" s="1"/>
  <c r="T73" i="1" a="1"/>
  <c r="T73" i="1" s="1"/>
  <c r="U73" i="1" a="1"/>
  <c r="U73" i="1" s="1"/>
  <c r="C74" i="1" a="1"/>
  <c r="C74" i="1" s="1"/>
  <c r="D74" i="1" a="1"/>
  <c r="D74" i="1" s="1"/>
  <c r="E74" i="1" a="1"/>
  <c r="E74" i="1" s="1"/>
  <c r="F74" i="1" a="1"/>
  <c r="F74" i="1" s="1"/>
  <c r="G74" i="1" a="1"/>
  <c r="G74" i="1" s="1"/>
  <c r="H74" i="1" a="1"/>
  <c r="H74" i="1" s="1"/>
  <c r="I74" i="1" a="1"/>
  <c r="I74" i="1" s="1"/>
  <c r="J74" i="1" a="1"/>
  <c r="J74" i="1" s="1"/>
  <c r="K74" i="1" a="1"/>
  <c r="K74" i="1" s="1"/>
  <c r="L74" i="1" a="1"/>
  <c r="L74" i="1" s="1"/>
  <c r="M74" i="1" a="1"/>
  <c r="M74" i="1" s="1"/>
  <c r="N74" i="1" a="1"/>
  <c r="N74" i="1" s="1"/>
  <c r="O74" i="1" a="1"/>
  <c r="O74" i="1" s="1"/>
  <c r="P74" i="1" a="1"/>
  <c r="P74" i="1" s="1"/>
  <c r="Q74" i="1" a="1"/>
  <c r="Q74" i="1" s="1"/>
  <c r="R74" i="1" a="1"/>
  <c r="R74" i="1" s="1"/>
  <c r="S74" i="1" a="1"/>
  <c r="S74" i="1" s="1"/>
  <c r="T74" i="1" a="1"/>
  <c r="T74" i="1" s="1"/>
  <c r="U74" i="1" a="1"/>
  <c r="U74" i="1" s="1"/>
  <c r="C75" i="1" a="1"/>
  <c r="C75" i="1" s="1"/>
  <c r="D75" i="1" a="1"/>
  <c r="D75" i="1" s="1"/>
  <c r="E75" i="1" a="1"/>
  <c r="E75" i="1" s="1"/>
  <c r="F75" i="1" a="1"/>
  <c r="F75" i="1"/>
  <c r="G75" i="1" a="1"/>
  <c r="G75" i="1" s="1"/>
  <c r="H75" i="1" a="1"/>
  <c r="H75" i="1" s="1"/>
  <c r="I75" i="1" a="1"/>
  <c r="I75" i="1" s="1"/>
  <c r="J75" i="1" a="1"/>
  <c r="J75" i="1" s="1"/>
  <c r="K75" i="1" a="1"/>
  <c r="K75" i="1" s="1"/>
  <c r="L75" i="1" a="1"/>
  <c r="L75" i="1" s="1"/>
  <c r="M75" i="1" a="1"/>
  <c r="M75" i="1" s="1"/>
  <c r="N75" i="1" a="1"/>
  <c r="N75" i="1" s="1"/>
  <c r="O75" i="1" a="1"/>
  <c r="O75" i="1" s="1"/>
  <c r="P75" i="1" a="1"/>
  <c r="P75" i="1" s="1"/>
  <c r="Q75" i="1" a="1"/>
  <c r="Q75" i="1" s="1"/>
  <c r="R75" i="1" a="1"/>
  <c r="R75" i="1" s="1"/>
  <c r="S75" i="1" a="1"/>
  <c r="S75" i="1" s="1"/>
  <c r="T75" i="1" a="1"/>
  <c r="T75" i="1" s="1"/>
  <c r="U75" i="1" a="1"/>
  <c r="U75" i="1" s="1"/>
  <c r="C76" i="1" a="1"/>
  <c r="C76" i="1" s="1"/>
  <c r="D76" i="1" a="1"/>
  <c r="D76" i="1" s="1"/>
  <c r="E76" i="1" a="1"/>
  <c r="E76" i="1" s="1"/>
  <c r="F76" i="1" a="1"/>
  <c r="F76" i="1" s="1"/>
  <c r="G76" i="1" a="1"/>
  <c r="G76" i="1" s="1"/>
  <c r="H76" i="1" a="1"/>
  <c r="H76" i="1" s="1"/>
  <c r="I76" i="1" a="1"/>
  <c r="I76" i="1" s="1"/>
  <c r="J76" i="1" a="1"/>
  <c r="J76" i="1" s="1"/>
  <c r="K76" i="1" a="1"/>
  <c r="K76" i="1" s="1"/>
  <c r="L76" i="1" a="1"/>
  <c r="L76" i="1" s="1"/>
  <c r="M76" i="1" a="1"/>
  <c r="M76" i="1" s="1"/>
  <c r="N76" i="1" a="1"/>
  <c r="N76" i="1" s="1"/>
  <c r="O76" i="1" a="1"/>
  <c r="O76" i="1" s="1"/>
  <c r="P76" i="1" a="1"/>
  <c r="P76" i="1" s="1"/>
  <c r="Q76" i="1" a="1"/>
  <c r="Q76" i="1" s="1"/>
  <c r="R76" i="1" a="1"/>
  <c r="R76" i="1" s="1"/>
  <c r="S76" i="1" a="1"/>
  <c r="S76" i="1" s="1"/>
  <c r="T76" i="1" a="1"/>
  <c r="T76" i="1" s="1"/>
  <c r="U76" i="1" a="1"/>
  <c r="U76" i="1" s="1"/>
  <c r="C77" i="1" a="1"/>
  <c r="C77" i="1" s="1"/>
  <c r="D77" i="1" a="1"/>
  <c r="D77" i="1" s="1"/>
  <c r="E77" i="1" a="1"/>
  <c r="E77" i="1" s="1"/>
  <c r="F77" i="1" a="1"/>
  <c r="F77" i="1" s="1"/>
  <c r="G77" i="1" a="1"/>
  <c r="G77" i="1" s="1"/>
  <c r="H77" i="1" a="1"/>
  <c r="H77" i="1" s="1"/>
  <c r="I77" i="1" a="1"/>
  <c r="I77" i="1" s="1"/>
  <c r="J77" i="1" a="1"/>
  <c r="J77" i="1" s="1"/>
  <c r="K77" i="1" a="1"/>
  <c r="K77" i="1" s="1"/>
  <c r="L77" i="1" a="1"/>
  <c r="L77" i="1" s="1"/>
  <c r="M77" i="1" a="1"/>
  <c r="M77" i="1" s="1"/>
  <c r="N77" i="1" a="1"/>
  <c r="N77" i="1" s="1"/>
  <c r="O77" i="1" a="1"/>
  <c r="O77" i="1" s="1"/>
  <c r="P77" i="1" a="1"/>
  <c r="P77" i="1" s="1"/>
  <c r="Q77" i="1" a="1"/>
  <c r="Q77" i="1" s="1"/>
  <c r="R77" i="1" a="1"/>
  <c r="R77" i="1" s="1"/>
  <c r="S77" i="1" a="1"/>
  <c r="S77" i="1" s="1"/>
  <c r="T77" i="1" a="1"/>
  <c r="T77" i="1" s="1"/>
  <c r="U77" i="1" a="1"/>
  <c r="U77" i="1" s="1"/>
  <c r="C78" i="1" a="1"/>
  <c r="C78" i="1" s="1"/>
  <c r="D78" i="1" a="1"/>
  <c r="D78" i="1" s="1"/>
  <c r="E78" i="1" a="1"/>
  <c r="E78" i="1" s="1"/>
  <c r="F78" i="1" a="1"/>
  <c r="F78" i="1" s="1"/>
  <c r="G78" i="1" a="1"/>
  <c r="G78" i="1" s="1"/>
  <c r="H78" i="1" a="1"/>
  <c r="H78" i="1" s="1"/>
  <c r="I78" i="1" a="1"/>
  <c r="I78" i="1" s="1"/>
  <c r="J78" i="1" a="1"/>
  <c r="J78" i="1" s="1"/>
  <c r="K78" i="1" a="1"/>
  <c r="K78" i="1" s="1"/>
  <c r="L78" i="1" a="1"/>
  <c r="L78" i="1" s="1"/>
  <c r="M78" i="1" a="1"/>
  <c r="M78" i="1" s="1"/>
  <c r="N78" i="1" a="1"/>
  <c r="N78" i="1" s="1"/>
  <c r="O78" i="1" a="1"/>
  <c r="O78" i="1" s="1"/>
  <c r="P78" i="1" a="1"/>
  <c r="P78" i="1" s="1"/>
  <c r="Q78" i="1" a="1"/>
  <c r="Q78" i="1" s="1"/>
  <c r="R78" i="1" a="1"/>
  <c r="R78" i="1" s="1"/>
  <c r="S78" i="1" a="1"/>
  <c r="S78" i="1" s="1"/>
  <c r="T78" i="1" a="1"/>
  <c r="T78" i="1" s="1"/>
  <c r="U78" i="1" a="1"/>
  <c r="U78" i="1" s="1"/>
  <c r="C79" i="1" a="1"/>
  <c r="C79" i="1" s="1"/>
  <c r="D79" i="1" a="1"/>
  <c r="D79" i="1" s="1"/>
  <c r="E79" i="1" a="1"/>
  <c r="E79" i="1" s="1"/>
  <c r="F79" i="1" a="1"/>
  <c r="F79" i="1" s="1"/>
  <c r="G79" i="1" a="1"/>
  <c r="G79" i="1" s="1"/>
  <c r="H79" i="1" a="1"/>
  <c r="H79" i="1" s="1"/>
  <c r="I79" i="1" a="1"/>
  <c r="I79" i="1" s="1"/>
  <c r="J79" i="1" a="1"/>
  <c r="J79" i="1" s="1"/>
  <c r="K79" i="1" a="1"/>
  <c r="K79" i="1" s="1"/>
  <c r="L79" i="1" a="1"/>
  <c r="L79" i="1" s="1"/>
  <c r="M79" i="1" a="1"/>
  <c r="M79" i="1" s="1"/>
  <c r="N79" i="1" a="1"/>
  <c r="N79" i="1"/>
  <c r="O79" i="1" a="1"/>
  <c r="O79" i="1" s="1"/>
  <c r="P79" i="1" a="1"/>
  <c r="P79" i="1" s="1"/>
  <c r="Q79" i="1" a="1"/>
  <c r="Q79" i="1" s="1"/>
  <c r="R79" i="1" a="1"/>
  <c r="R79" i="1" s="1"/>
  <c r="S79" i="1" a="1"/>
  <c r="S79" i="1" s="1"/>
  <c r="T79" i="1" a="1"/>
  <c r="T79" i="1" s="1"/>
  <c r="U79" i="1" a="1"/>
  <c r="U79" i="1" s="1"/>
  <c r="C80" i="1" a="1"/>
  <c r="C80" i="1" s="1"/>
  <c r="D80" i="1" a="1"/>
  <c r="D80" i="1" s="1"/>
  <c r="E80" i="1" a="1"/>
  <c r="E80" i="1" s="1"/>
  <c r="F80" i="1" a="1"/>
  <c r="F80" i="1" s="1"/>
  <c r="G80" i="1" a="1"/>
  <c r="G80" i="1" s="1"/>
  <c r="H80" i="1" a="1"/>
  <c r="H80" i="1" s="1"/>
  <c r="I80" i="1" a="1"/>
  <c r="I80" i="1" s="1"/>
  <c r="J80" i="1" a="1"/>
  <c r="J80" i="1" s="1"/>
  <c r="K80" i="1" a="1"/>
  <c r="K80" i="1" s="1"/>
  <c r="L80" i="1" a="1"/>
  <c r="L80" i="1" s="1"/>
  <c r="M80" i="1" a="1"/>
  <c r="M80" i="1" s="1"/>
  <c r="N80" i="1" a="1"/>
  <c r="N80" i="1" s="1"/>
  <c r="O80" i="1" a="1"/>
  <c r="O80" i="1"/>
  <c r="P80" i="1" a="1"/>
  <c r="P80" i="1" s="1"/>
  <c r="Q80" i="1" a="1"/>
  <c r="Q80" i="1" s="1"/>
  <c r="R80" i="1" a="1"/>
  <c r="R80" i="1" s="1"/>
  <c r="S80" i="1" a="1"/>
  <c r="S80" i="1" s="1"/>
  <c r="T80" i="1" a="1"/>
  <c r="T80" i="1" s="1"/>
  <c r="U80" i="1" a="1"/>
  <c r="U80" i="1" s="1"/>
  <c r="C81" i="1" a="1"/>
  <c r="C81" i="1" s="1"/>
  <c r="D81" i="1" a="1"/>
  <c r="D81" i="1" s="1"/>
  <c r="E81" i="1" a="1"/>
  <c r="E81" i="1" s="1"/>
  <c r="F81" i="1" a="1"/>
  <c r="F81" i="1" s="1"/>
  <c r="G81" i="1" a="1"/>
  <c r="G81" i="1" s="1"/>
  <c r="H81" i="1" a="1"/>
  <c r="H81" i="1" s="1"/>
  <c r="I81" i="1" a="1"/>
  <c r="I81" i="1" s="1"/>
  <c r="J81" i="1" a="1"/>
  <c r="J81" i="1" s="1"/>
  <c r="K81" i="1" a="1"/>
  <c r="K81" i="1" s="1"/>
  <c r="L81" i="1" a="1"/>
  <c r="L81" i="1" s="1"/>
  <c r="M81" i="1" a="1"/>
  <c r="M81" i="1" s="1"/>
  <c r="N81" i="1" a="1"/>
  <c r="N81" i="1" s="1"/>
  <c r="O81" i="1" a="1"/>
  <c r="O81" i="1" s="1"/>
  <c r="P81" i="1" a="1"/>
  <c r="P81" i="1" s="1"/>
  <c r="Q81" i="1" a="1"/>
  <c r="Q81" i="1" s="1"/>
  <c r="R81" i="1" a="1"/>
  <c r="R81" i="1" s="1"/>
  <c r="S81" i="1" a="1"/>
  <c r="S81" i="1" s="1"/>
  <c r="T81" i="1" a="1"/>
  <c r="T81" i="1" s="1"/>
  <c r="U81" i="1" a="1"/>
  <c r="U81" i="1" s="1"/>
  <c r="C82" i="1" a="1"/>
  <c r="C82" i="1" s="1"/>
  <c r="D82" i="1" a="1"/>
  <c r="D82" i="1" s="1"/>
  <c r="E82" i="1" a="1"/>
  <c r="E82" i="1" s="1"/>
  <c r="F82" i="1" a="1"/>
  <c r="F82" i="1" s="1"/>
  <c r="G82" i="1" a="1"/>
  <c r="G82" i="1" s="1"/>
  <c r="H82" i="1" a="1"/>
  <c r="H82" i="1" s="1"/>
  <c r="I82" i="1" a="1"/>
  <c r="I82" i="1" s="1"/>
  <c r="J82" i="1" a="1"/>
  <c r="J82" i="1" s="1"/>
  <c r="K82" i="1" a="1"/>
  <c r="K82" i="1" s="1"/>
  <c r="L82" i="1" a="1"/>
  <c r="L82" i="1" s="1"/>
  <c r="M82" i="1" a="1"/>
  <c r="M82" i="1" s="1"/>
  <c r="N82" i="1" a="1"/>
  <c r="N82" i="1" s="1"/>
  <c r="O82" i="1" a="1"/>
  <c r="O82" i="1" s="1"/>
  <c r="P82" i="1" a="1"/>
  <c r="P82" i="1" s="1"/>
  <c r="Q82" i="1" a="1"/>
  <c r="Q82" i="1" s="1"/>
  <c r="R82" i="1" a="1"/>
  <c r="R82" i="1" s="1"/>
  <c r="S82" i="1" a="1"/>
  <c r="S82" i="1" s="1"/>
  <c r="T82" i="1" a="1"/>
  <c r="T82" i="1" s="1"/>
  <c r="U82" i="1" a="1"/>
  <c r="U82" i="1" s="1"/>
  <c r="C83" i="1" a="1"/>
  <c r="C83" i="1" s="1"/>
  <c r="D83" i="1" a="1"/>
  <c r="D83" i="1" s="1"/>
  <c r="E83" i="1" a="1"/>
  <c r="E83" i="1" s="1"/>
  <c r="F83" i="1" a="1"/>
  <c r="F83" i="1" s="1"/>
  <c r="G83" i="1" a="1"/>
  <c r="G83" i="1" s="1"/>
  <c r="H83" i="1" a="1"/>
  <c r="H83" i="1" s="1"/>
  <c r="I83" i="1" a="1"/>
  <c r="I83" i="1" s="1"/>
  <c r="J83" i="1" a="1"/>
  <c r="J83" i="1" s="1"/>
  <c r="K83" i="1" a="1"/>
  <c r="K83" i="1" s="1"/>
  <c r="L83" i="1" a="1"/>
  <c r="L83" i="1" s="1"/>
  <c r="M83" i="1" a="1"/>
  <c r="M83" i="1" s="1"/>
  <c r="N83" i="1" a="1"/>
  <c r="N83" i="1" s="1"/>
  <c r="O83" i="1" a="1"/>
  <c r="O83" i="1" s="1"/>
  <c r="P83" i="1" a="1"/>
  <c r="P83" i="1" s="1"/>
  <c r="Q83" i="1" a="1"/>
  <c r="Q83" i="1" s="1"/>
  <c r="R83" i="1" a="1"/>
  <c r="R83" i="1" s="1"/>
  <c r="S83" i="1" a="1"/>
  <c r="S83" i="1" s="1"/>
  <c r="T83" i="1" a="1"/>
  <c r="T83" i="1" s="1"/>
  <c r="U83" i="1" a="1"/>
  <c r="U83" i="1" s="1"/>
  <c r="C84" i="1" a="1"/>
  <c r="C84" i="1" s="1"/>
  <c r="D84" i="1" a="1"/>
  <c r="D84" i="1" s="1"/>
  <c r="E84" i="1" a="1"/>
  <c r="E84" i="1" s="1"/>
  <c r="F84" i="1" a="1"/>
  <c r="F84" i="1" s="1"/>
  <c r="G84" i="1" a="1"/>
  <c r="G84" i="1" s="1"/>
  <c r="H84" i="1" a="1"/>
  <c r="H84" i="1" s="1"/>
  <c r="I84" i="1" a="1"/>
  <c r="I84" i="1" s="1"/>
  <c r="J84" i="1" a="1"/>
  <c r="J84" i="1" s="1"/>
  <c r="K84" i="1" a="1"/>
  <c r="K84" i="1" s="1"/>
  <c r="L84" i="1" a="1"/>
  <c r="L84" i="1" s="1"/>
  <c r="M84" i="1" a="1"/>
  <c r="M84" i="1" s="1"/>
  <c r="N84" i="1" a="1"/>
  <c r="N84" i="1" s="1"/>
  <c r="O84" i="1" a="1"/>
  <c r="O84" i="1" s="1"/>
  <c r="P84" i="1" a="1"/>
  <c r="P84" i="1" s="1"/>
  <c r="Q84" i="1" a="1"/>
  <c r="Q84" i="1" s="1"/>
  <c r="R84" i="1" a="1"/>
  <c r="R84" i="1" s="1"/>
  <c r="S84" i="1" a="1"/>
  <c r="S84" i="1" s="1"/>
  <c r="T84" i="1" a="1"/>
  <c r="T84" i="1" s="1"/>
  <c r="U84" i="1" a="1"/>
  <c r="U84" i="1" s="1"/>
  <c r="C85" i="1" a="1"/>
  <c r="C85" i="1" s="1"/>
  <c r="D85" i="1" a="1"/>
  <c r="D85" i="1" s="1"/>
  <c r="E85" i="1" a="1"/>
  <c r="E85" i="1" s="1"/>
  <c r="F85" i="1" a="1"/>
  <c r="F85" i="1" s="1"/>
  <c r="G85" i="1" a="1"/>
  <c r="G85" i="1" s="1"/>
  <c r="H85" i="1" a="1"/>
  <c r="H85" i="1" s="1"/>
  <c r="I85" i="1" a="1"/>
  <c r="I85" i="1" s="1"/>
  <c r="J85" i="1" a="1"/>
  <c r="J85" i="1" s="1"/>
  <c r="K85" i="1" a="1"/>
  <c r="K85" i="1" s="1"/>
  <c r="L85" i="1" a="1"/>
  <c r="L85" i="1" s="1"/>
  <c r="M85" i="1" a="1"/>
  <c r="M85" i="1" s="1"/>
  <c r="N85" i="1" a="1"/>
  <c r="N85" i="1" s="1"/>
  <c r="O85" i="1" a="1"/>
  <c r="O85" i="1" s="1"/>
  <c r="P85" i="1" a="1"/>
  <c r="P85" i="1" s="1"/>
  <c r="Q85" i="1" a="1"/>
  <c r="Q85" i="1" s="1"/>
  <c r="R85" i="1" a="1"/>
  <c r="R85" i="1" s="1"/>
  <c r="S85" i="1" a="1"/>
  <c r="S85" i="1" s="1"/>
  <c r="T85" i="1" a="1"/>
  <c r="T85" i="1" s="1"/>
  <c r="U85" i="1" a="1"/>
  <c r="U85" i="1" s="1"/>
  <c r="C86" i="1" a="1"/>
  <c r="C86" i="1" s="1"/>
  <c r="D86" i="1" a="1"/>
  <c r="D86" i="1" s="1"/>
  <c r="E86" i="1" a="1"/>
  <c r="E86" i="1" s="1"/>
  <c r="F86" i="1" a="1"/>
  <c r="F86" i="1" s="1"/>
  <c r="G86" i="1" a="1"/>
  <c r="G86" i="1" s="1"/>
  <c r="H86" i="1" a="1"/>
  <c r="H86" i="1" s="1"/>
  <c r="I86" i="1" a="1"/>
  <c r="I86" i="1" s="1"/>
  <c r="J86" i="1" a="1"/>
  <c r="J86" i="1" s="1"/>
  <c r="K86" i="1" a="1"/>
  <c r="K86" i="1" s="1"/>
  <c r="L86" i="1" a="1"/>
  <c r="L86" i="1" s="1"/>
  <c r="M86" i="1" a="1"/>
  <c r="M86" i="1" s="1"/>
  <c r="N86" i="1" a="1"/>
  <c r="N86" i="1" s="1"/>
  <c r="O86" i="1" a="1"/>
  <c r="O86" i="1" s="1"/>
  <c r="P86" i="1" a="1"/>
  <c r="P86" i="1" s="1"/>
  <c r="Q86" i="1" a="1"/>
  <c r="Q86" i="1" s="1"/>
  <c r="R86" i="1" a="1"/>
  <c r="R86" i="1" s="1"/>
  <c r="S86" i="1" a="1"/>
  <c r="S86" i="1" s="1"/>
  <c r="T86" i="1" a="1"/>
  <c r="T86" i="1" s="1"/>
  <c r="U86" i="1" a="1"/>
  <c r="U86" i="1" s="1"/>
  <c r="C87" i="1" a="1"/>
  <c r="C87" i="1" s="1"/>
  <c r="D87" i="1" a="1"/>
  <c r="D87" i="1" s="1"/>
  <c r="E87" i="1" a="1"/>
  <c r="E87" i="1" s="1"/>
  <c r="F87" i="1" a="1"/>
  <c r="F87" i="1" s="1"/>
  <c r="G87" i="1" a="1"/>
  <c r="G87" i="1" s="1"/>
  <c r="H87" i="1" a="1"/>
  <c r="H87" i="1" s="1"/>
  <c r="I87" i="1" a="1"/>
  <c r="I87" i="1" s="1"/>
  <c r="J87" i="1" a="1"/>
  <c r="J87" i="1" s="1"/>
  <c r="K87" i="1" a="1"/>
  <c r="K87" i="1" s="1"/>
  <c r="L87" i="1" a="1"/>
  <c r="L87" i="1" s="1"/>
  <c r="M87" i="1" a="1"/>
  <c r="M87" i="1" s="1"/>
  <c r="N87" i="1" a="1"/>
  <c r="N87" i="1" s="1"/>
  <c r="O87" i="1" a="1"/>
  <c r="O87" i="1" s="1"/>
  <c r="P87" i="1" a="1"/>
  <c r="P87" i="1" s="1"/>
  <c r="Q87" i="1" a="1"/>
  <c r="Q87" i="1" s="1"/>
  <c r="R87" i="1" a="1"/>
  <c r="R87" i="1" s="1"/>
  <c r="S87" i="1" a="1"/>
  <c r="S87" i="1" s="1"/>
  <c r="T87" i="1" a="1"/>
  <c r="T87" i="1" s="1"/>
  <c r="U87" i="1" a="1"/>
  <c r="U87" i="1" s="1"/>
  <c r="C88" i="1" a="1"/>
  <c r="C88" i="1" s="1"/>
  <c r="D88" i="1" a="1"/>
  <c r="D88" i="1" s="1"/>
  <c r="E88" i="1" a="1"/>
  <c r="E88" i="1" s="1"/>
  <c r="F88" i="1" a="1"/>
  <c r="F88" i="1" s="1"/>
  <c r="G88" i="1" a="1"/>
  <c r="G88" i="1" s="1"/>
  <c r="H88" i="1" a="1"/>
  <c r="H88" i="1" s="1"/>
  <c r="I88" i="1" a="1"/>
  <c r="I88" i="1" s="1"/>
  <c r="J88" i="1" a="1"/>
  <c r="J88" i="1" s="1"/>
  <c r="K88" i="1" a="1"/>
  <c r="K88" i="1" s="1"/>
  <c r="L88" i="1" a="1"/>
  <c r="L88" i="1" s="1"/>
  <c r="M88" i="1" a="1"/>
  <c r="M88" i="1" s="1"/>
  <c r="N88" i="1" a="1"/>
  <c r="N88" i="1" s="1"/>
  <c r="O88" i="1" a="1"/>
  <c r="O88" i="1" s="1"/>
  <c r="P88" i="1" a="1"/>
  <c r="P88" i="1" s="1"/>
  <c r="Q88" i="1" a="1"/>
  <c r="Q88" i="1" s="1"/>
  <c r="R88" i="1" a="1"/>
  <c r="R88" i="1" s="1"/>
  <c r="S88" i="1" a="1"/>
  <c r="S88" i="1" s="1"/>
  <c r="T88" i="1" a="1"/>
  <c r="T88" i="1" s="1"/>
  <c r="U88" i="1" a="1"/>
  <c r="U88" i="1" s="1"/>
  <c r="C89" i="1" a="1"/>
  <c r="C89" i="1" s="1"/>
  <c r="D89" i="1" a="1"/>
  <c r="D89" i="1" s="1"/>
  <c r="E89" i="1" a="1"/>
  <c r="E89" i="1" s="1"/>
  <c r="F89" i="1" a="1"/>
  <c r="F89" i="1" s="1"/>
  <c r="G89" i="1" a="1"/>
  <c r="G89" i="1" s="1"/>
  <c r="H89" i="1" a="1"/>
  <c r="H89" i="1" s="1"/>
  <c r="I89" i="1" a="1"/>
  <c r="I89" i="1" s="1"/>
  <c r="J89" i="1" a="1"/>
  <c r="J89" i="1" s="1"/>
  <c r="K89" i="1" a="1"/>
  <c r="K89" i="1" s="1"/>
  <c r="L89" i="1" a="1"/>
  <c r="L89" i="1" s="1"/>
  <c r="M89" i="1" a="1"/>
  <c r="M89" i="1" s="1"/>
  <c r="N89" i="1" a="1"/>
  <c r="N89" i="1" s="1"/>
  <c r="O89" i="1" a="1"/>
  <c r="O89" i="1" s="1"/>
  <c r="P89" i="1" a="1"/>
  <c r="P89" i="1" s="1"/>
  <c r="Q89" i="1" a="1"/>
  <c r="Q89" i="1" s="1"/>
  <c r="R89" i="1" a="1"/>
  <c r="R89" i="1" s="1"/>
  <c r="S89" i="1" a="1"/>
  <c r="S89" i="1" s="1"/>
  <c r="T89" i="1" a="1"/>
  <c r="T89" i="1" s="1"/>
  <c r="U89" i="1" a="1"/>
  <c r="U89" i="1" s="1"/>
  <c r="C90" i="1" a="1"/>
  <c r="C90" i="1" s="1"/>
  <c r="D90" i="1" a="1"/>
  <c r="D90" i="1" s="1"/>
  <c r="E90" i="1" a="1"/>
  <c r="E90" i="1" s="1"/>
  <c r="F90" i="1" a="1"/>
  <c r="F90" i="1" s="1"/>
  <c r="G90" i="1" a="1"/>
  <c r="G90" i="1" s="1"/>
  <c r="H90" i="1" a="1"/>
  <c r="H90" i="1" s="1"/>
  <c r="I90" i="1" a="1"/>
  <c r="I90" i="1" s="1"/>
  <c r="J90" i="1" a="1"/>
  <c r="J90" i="1" s="1"/>
  <c r="K90" i="1" a="1"/>
  <c r="K90" i="1" s="1"/>
  <c r="L90" i="1" a="1"/>
  <c r="L90" i="1" s="1"/>
  <c r="M90" i="1" a="1"/>
  <c r="M90" i="1" s="1"/>
  <c r="N90" i="1" a="1"/>
  <c r="N90" i="1" s="1"/>
  <c r="O90" i="1" a="1"/>
  <c r="O90" i="1" s="1"/>
  <c r="P90" i="1" a="1"/>
  <c r="P90" i="1" s="1"/>
  <c r="Q90" i="1" a="1"/>
  <c r="Q90" i="1" s="1"/>
  <c r="R90" i="1" a="1"/>
  <c r="R90" i="1" s="1"/>
  <c r="S90" i="1" a="1"/>
  <c r="S90" i="1" s="1"/>
  <c r="T90" i="1" a="1"/>
  <c r="T90" i="1" s="1"/>
  <c r="U90" i="1" a="1"/>
  <c r="U90" i="1" s="1"/>
  <c r="C91" i="1" a="1"/>
  <c r="C91" i="1" s="1"/>
  <c r="D91" i="1" a="1"/>
  <c r="D91" i="1" s="1"/>
  <c r="E91" i="1" a="1"/>
  <c r="E91" i="1" s="1"/>
  <c r="F91" i="1" a="1"/>
  <c r="F91" i="1" s="1"/>
  <c r="G91" i="1" a="1"/>
  <c r="G91" i="1" s="1"/>
  <c r="H91" i="1" a="1"/>
  <c r="H91" i="1" s="1"/>
  <c r="I91" i="1" a="1"/>
  <c r="I91" i="1" s="1"/>
  <c r="J91" i="1" a="1"/>
  <c r="J91" i="1" s="1"/>
  <c r="K91" i="1" a="1"/>
  <c r="K91" i="1" s="1"/>
  <c r="L91" i="1" a="1"/>
  <c r="L91" i="1" s="1"/>
  <c r="M91" i="1" a="1"/>
  <c r="M91" i="1" s="1"/>
  <c r="N91" i="1" a="1"/>
  <c r="N91" i="1" s="1"/>
  <c r="O91" i="1" a="1"/>
  <c r="O91" i="1" s="1"/>
  <c r="P91" i="1" a="1"/>
  <c r="P91" i="1" s="1"/>
  <c r="Q91" i="1" a="1"/>
  <c r="Q91" i="1" s="1"/>
  <c r="R91" i="1" a="1"/>
  <c r="R91" i="1" s="1"/>
  <c r="S91" i="1" a="1"/>
  <c r="S91" i="1" s="1"/>
  <c r="T91" i="1" a="1"/>
  <c r="T91" i="1" s="1"/>
  <c r="U91" i="1" a="1"/>
  <c r="U91" i="1" s="1"/>
  <c r="C92" i="1" a="1"/>
  <c r="C92" i="1" s="1"/>
  <c r="D92" i="1" a="1"/>
  <c r="D92" i="1" s="1"/>
  <c r="E92" i="1" a="1"/>
  <c r="E92" i="1" s="1"/>
  <c r="F92" i="1" a="1"/>
  <c r="F92" i="1" s="1"/>
  <c r="G92" i="1" a="1"/>
  <c r="G92" i="1" s="1"/>
  <c r="H92" i="1" a="1"/>
  <c r="H92" i="1" s="1"/>
  <c r="I92" i="1" a="1"/>
  <c r="I92" i="1" s="1"/>
  <c r="J92" i="1" a="1"/>
  <c r="J92" i="1" s="1"/>
  <c r="K92" i="1" a="1"/>
  <c r="K92" i="1" s="1"/>
  <c r="L92" i="1" a="1"/>
  <c r="L92" i="1" s="1"/>
  <c r="M92" i="1" a="1"/>
  <c r="M92" i="1" s="1"/>
  <c r="N92" i="1" a="1"/>
  <c r="N92" i="1" s="1"/>
  <c r="O92" i="1" a="1"/>
  <c r="O92" i="1"/>
  <c r="P92" i="1" a="1"/>
  <c r="P92" i="1" s="1"/>
  <c r="Q92" i="1" a="1"/>
  <c r="Q92" i="1" s="1"/>
  <c r="R92" i="1" a="1"/>
  <c r="R92" i="1" s="1"/>
  <c r="S92" i="1" a="1"/>
  <c r="S92" i="1" s="1"/>
  <c r="T92" i="1" a="1"/>
  <c r="T92" i="1" s="1"/>
  <c r="U92" i="1" a="1"/>
  <c r="U92" i="1" s="1"/>
  <c r="C93" i="1" a="1"/>
  <c r="C93" i="1" s="1"/>
  <c r="D93" i="1" a="1"/>
  <c r="D93" i="1" s="1"/>
  <c r="E93" i="1" a="1"/>
  <c r="E93" i="1" s="1"/>
  <c r="F93" i="1" a="1"/>
  <c r="F93" i="1" s="1"/>
  <c r="G93" i="1" a="1"/>
  <c r="G93" i="1" s="1"/>
  <c r="H93" i="1" a="1"/>
  <c r="H93" i="1" s="1"/>
  <c r="I93" i="1" a="1"/>
  <c r="I93" i="1" s="1"/>
  <c r="J93" i="1" a="1"/>
  <c r="J93" i="1" s="1"/>
  <c r="K93" i="1" a="1"/>
  <c r="K93" i="1" s="1"/>
  <c r="L93" i="1" a="1"/>
  <c r="L93" i="1" s="1"/>
  <c r="M93" i="1" a="1"/>
  <c r="M93" i="1" s="1"/>
  <c r="N93" i="1" a="1"/>
  <c r="N93" i="1" s="1"/>
  <c r="O93" i="1" a="1"/>
  <c r="O93" i="1" s="1"/>
  <c r="P93" i="1" a="1"/>
  <c r="P93" i="1" s="1"/>
  <c r="Q93" i="1" a="1"/>
  <c r="Q93" i="1" s="1"/>
  <c r="R93" i="1" a="1"/>
  <c r="R93" i="1" s="1"/>
  <c r="S93" i="1" a="1"/>
  <c r="S93" i="1" s="1"/>
  <c r="T93" i="1" a="1"/>
  <c r="T93" i="1" s="1"/>
  <c r="U93" i="1" a="1"/>
  <c r="U93" i="1" s="1"/>
  <c r="C94" i="1" a="1"/>
  <c r="C94" i="1" s="1"/>
  <c r="D94" i="1" a="1"/>
  <c r="D94" i="1" s="1"/>
  <c r="E94" i="1" a="1"/>
  <c r="E94" i="1" s="1"/>
  <c r="F94" i="1" a="1"/>
  <c r="F94" i="1" s="1"/>
  <c r="G94" i="1" a="1"/>
  <c r="G94" i="1" s="1"/>
  <c r="H94" i="1" a="1"/>
  <c r="H94" i="1" s="1"/>
  <c r="I94" i="1" a="1"/>
  <c r="I94" i="1" s="1"/>
  <c r="J94" i="1" a="1"/>
  <c r="J94" i="1" s="1"/>
  <c r="K94" i="1" a="1"/>
  <c r="K94" i="1" s="1"/>
  <c r="L94" i="1" a="1"/>
  <c r="L94" i="1" s="1"/>
  <c r="M94" i="1" a="1"/>
  <c r="M94" i="1" s="1"/>
  <c r="N94" i="1" a="1"/>
  <c r="N94" i="1" s="1"/>
  <c r="O94" i="1" a="1"/>
  <c r="O94" i="1" s="1"/>
  <c r="P94" i="1" a="1"/>
  <c r="P94" i="1" s="1"/>
  <c r="Q94" i="1" a="1"/>
  <c r="Q94" i="1"/>
  <c r="R94" i="1" a="1"/>
  <c r="R94" i="1" s="1"/>
  <c r="S94" i="1" a="1"/>
  <c r="S94" i="1" s="1"/>
  <c r="T94" i="1" a="1"/>
  <c r="T94" i="1" s="1"/>
  <c r="U94" i="1" a="1"/>
  <c r="U94" i="1" s="1"/>
  <c r="C95" i="1" a="1"/>
  <c r="C95" i="1" s="1"/>
  <c r="D95" i="1" a="1"/>
  <c r="D95" i="1" s="1"/>
  <c r="E95" i="1" a="1"/>
  <c r="E95" i="1" s="1"/>
  <c r="F95" i="1" a="1"/>
  <c r="F95" i="1" s="1"/>
  <c r="G95" i="1" a="1"/>
  <c r="G95" i="1" s="1"/>
  <c r="H95" i="1" a="1"/>
  <c r="H95" i="1" s="1"/>
  <c r="I95" i="1" a="1"/>
  <c r="I95" i="1" s="1"/>
  <c r="J95" i="1" a="1"/>
  <c r="J95" i="1" s="1"/>
  <c r="K95" i="1" a="1"/>
  <c r="K95" i="1" s="1"/>
  <c r="L95" i="1" a="1"/>
  <c r="L95" i="1" s="1"/>
  <c r="M95" i="1" a="1"/>
  <c r="M95" i="1" s="1"/>
  <c r="N95" i="1" a="1"/>
  <c r="N95" i="1" s="1"/>
  <c r="O95" i="1" a="1"/>
  <c r="O95" i="1" s="1"/>
  <c r="P95" i="1" a="1"/>
  <c r="P95" i="1" s="1"/>
  <c r="Q95" i="1" a="1"/>
  <c r="Q95" i="1" s="1"/>
  <c r="R95" i="1" a="1"/>
  <c r="R95" i="1" s="1"/>
  <c r="S95" i="1" a="1"/>
  <c r="S95" i="1" s="1"/>
  <c r="T95" i="1" a="1"/>
  <c r="T95" i="1" s="1"/>
  <c r="U95" i="1" a="1"/>
  <c r="U95" i="1" s="1"/>
  <c r="C96" i="1" a="1"/>
  <c r="C96" i="1" s="1"/>
  <c r="D96" i="1" a="1"/>
  <c r="D96" i="1" s="1"/>
  <c r="E96" i="1" a="1"/>
  <c r="E96" i="1" s="1"/>
  <c r="F96" i="1" a="1"/>
  <c r="F96" i="1" s="1"/>
  <c r="G96" i="1" a="1"/>
  <c r="G96" i="1" s="1"/>
  <c r="H96" i="1" a="1"/>
  <c r="H96" i="1" s="1"/>
  <c r="I96" i="1" a="1"/>
  <c r="I96" i="1" s="1"/>
  <c r="J96" i="1" a="1"/>
  <c r="J96" i="1" s="1"/>
  <c r="K96" i="1" a="1"/>
  <c r="K96" i="1" s="1"/>
  <c r="L96" i="1" a="1"/>
  <c r="L96" i="1" s="1"/>
  <c r="M96" i="1" a="1"/>
  <c r="M96" i="1" s="1"/>
  <c r="N96" i="1" a="1"/>
  <c r="N96" i="1" s="1"/>
  <c r="O96" i="1" a="1"/>
  <c r="O96" i="1" s="1"/>
  <c r="P96" i="1" a="1"/>
  <c r="P96" i="1" s="1"/>
  <c r="Q96" i="1" a="1"/>
  <c r="Q96" i="1" s="1"/>
  <c r="R96" i="1" a="1"/>
  <c r="R96" i="1" s="1"/>
  <c r="S96" i="1" a="1"/>
  <c r="S96" i="1" s="1"/>
  <c r="T96" i="1" a="1"/>
  <c r="T96" i="1" s="1"/>
  <c r="U96" i="1" a="1"/>
  <c r="U96" i="1" s="1"/>
  <c r="C97" i="1" a="1"/>
  <c r="C97" i="1" s="1"/>
  <c r="D97" i="1" a="1"/>
  <c r="D97" i="1" s="1"/>
  <c r="E97" i="1" a="1"/>
  <c r="E97" i="1" s="1"/>
  <c r="F97" i="1" a="1"/>
  <c r="F97" i="1" s="1"/>
  <c r="G97" i="1" a="1"/>
  <c r="G97" i="1" s="1"/>
  <c r="H97" i="1" a="1"/>
  <c r="H97" i="1" s="1"/>
  <c r="I97" i="1" a="1"/>
  <c r="I97" i="1" s="1"/>
  <c r="J97" i="1" a="1"/>
  <c r="J97" i="1" s="1"/>
  <c r="K97" i="1" a="1"/>
  <c r="K97" i="1" s="1"/>
  <c r="L97" i="1" a="1"/>
  <c r="L97" i="1" s="1"/>
  <c r="M97" i="1" a="1"/>
  <c r="M97" i="1" s="1"/>
  <c r="N97" i="1" a="1"/>
  <c r="N97" i="1" s="1"/>
  <c r="O97" i="1" a="1"/>
  <c r="O97" i="1" s="1"/>
  <c r="P97" i="1" a="1"/>
  <c r="P97" i="1" s="1"/>
  <c r="Q97" i="1" a="1"/>
  <c r="Q97" i="1" s="1"/>
  <c r="R97" i="1" a="1"/>
  <c r="R97" i="1" s="1"/>
  <c r="S97" i="1" a="1"/>
  <c r="S97" i="1" s="1"/>
  <c r="T97" i="1" a="1"/>
  <c r="T97" i="1" s="1"/>
  <c r="U97" i="1" a="1"/>
  <c r="U97" i="1" s="1"/>
  <c r="C98" i="1" a="1"/>
  <c r="C98" i="1" s="1"/>
  <c r="D98" i="1" a="1"/>
  <c r="D98" i="1" s="1"/>
  <c r="E98" i="1" a="1"/>
  <c r="E98" i="1" s="1"/>
  <c r="F98" i="1" a="1"/>
  <c r="F98" i="1" s="1"/>
  <c r="G98" i="1" a="1"/>
  <c r="G98" i="1" s="1"/>
  <c r="H98" i="1" a="1"/>
  <c r="H98" i="1" s="1"/>
  <c r="I98" i="1" a="1"/>
  <c r="I98" i="1" s="1"/>
  <c r="J98" i="1" a="1"/>
  <c r="J98" i="1" s="1"/>
  <c r="K98" i="1" a="1"/>
  <c r="K98" i="1" s="1"/>
  <c r="L98" i="1" a="1"/>
  <c r="L98" i="1" s="1"/>
  <c r="M98" i="1" a="1"/>
  <c r="M98" i="1" s="1"/>
  <c r="N98" i="1" a="1"/>
  <c r="N98" i="1" s="1"/>
  <c r="O98" i="1" a="1"/>
  <c r="O98" i="1" s="1"/>
  <c r="P98" i="1" a="1"/>
  <c r="P98" i="1" s="1"/>
  <c r="Q98" i="1" a="1"/>
  <c r="Q98" i="1" s="1"/>
  <c r="R98" i="1" a="1"/>
  <c r="R98" i="1" s="1"/>
  <c r="S98" i="1" a="1"/>
  <c r="S98" i="1" s="1"/>
  <c r="T98" i="1" a="1"/>
  <c r="T98" i="1" s="1"/>
  <c r="U98" i="1" a="1"/>
  <c r="U98" i="1" s="1"/>
  <c r="C99" i="1" a="1"/>
  <c r="C99" i="1" s="1"/>
  <c r="D99" i="1" a="1"/>
  <c r="D99" i="1" s="1"/>
  <c r="E99" i="1" a="1"/>
  <c r="E99" i="1" s="1"/>
  <c r="F99" i="1" a="1"/>
  <c r="F99" i="1" s="1"/>
  <c r="G99" i="1" a="1"/>
  <c r="G99" i="1" s="1"/>
  <c r="H99" i="1" a="1"/>
  <c r="H99" i="1" s="1"/>
  <c r="I99" i="1" a="1"/>
  <c r="I99" i="1" s="1"/>
  <c r="J99" i="1" a="1"/>
  <c r="J99" i="1" s="1"/>
  <c r="K99" i="1" a="1"/>
  <c r="K99" i="1" s="1"/>
  <c r="L99" i="1" a="1"/>
  <c r="L99" i="1" s="1"/>
  <c r="M99" i="1" a="1"/>
  <c r="M99" i="1" s="1"/>
  <c r="N99" i="1" a="1"/>
  <c r="N99" i="1" s="1"/>
  <c r="O99" i="1" a="1"/>
  <c r="O99" i="1" s="1"/>
  <c r="P99" i="1" a="1"/>
  <c r="P99" i="1" s="1"/>
  <c r="Q99" i="1" a="1"/>
  <c r="Q99" i="1" s="1"/>
  <c r="R99" i="1" a="1"/>
  <c r="R99" i="1" s="1"/>
  <c r="S99" i="1" a="1"/>
  <c r="S99" i="1" s="1"/>
  <c r="T99" i="1" a="1"/>
  <c r="T99" i="1"/>
  <c r="U99" i="1" a="1"/>
  <c r="U99" i="1" s="1"/>
  <c r="C100" i="1" a="1"/>
  <c r="C100" i="1" s="1"/>
  <c r="D100" i="1" a="1"/>
  <c r="D100" i="1" s="1"/>
  <c r="E100" i="1" a="1"/>
  <c r="E100" i="1" s="1"/>
  <c r="F100" i="1" a="1"/>
  <c r="F100" i="1" s="1"/>
  <c r="G100" i="1" a="1"/>
  <c r="G100" i="1" s="1"/>
  <c r="H100" i="1" a="1"/>
  <c r="H100" i="1" s="1"/>
  <c r="I100" i="1" a="1"/>
  <c r="I100" i="1" s="1"/>
  <c r="J100" i="1" a="1"/>
  <c r="J100" i="1" s="1"/>
  <c r="K100" i="1" a="1"/>
  <c r="K100" i="1" s="1"/>
  <c r="L100" i="1" a="1"/>
  <c r="L100" i="1" s="1"/>
  <c r="M100" i="1" a="1"/>
  <c r="M100" i="1" s="1"/>
  <c r="N100" i="1" a="1"/>
  <c r="N100" i="1" s="1"/>
  <c r="O100" i="1" a="1"/>
  <c r="O100" i="1" s="1"/>
  <c r="P100" i="1" a="1"/>
  <c r="P100" i="1" s="1"/>
  <c r="Q100" i="1" a="1"/>
  <c r="Q100" i="1" s="1"/>
  <c r="R100" i="1" a="1"/>
  <c r="R100" i="1" s="1"/>
  <c r="S100" i="1" a="1"/>
  <c r="S100" i="1" s="1"/>
  <c r="T100" i="1" a="1"/>
  <c r="T100" i="1" s="1"/>
  <c r="U100" i="1" a="1"/>
  <c r="U100" i="1" s="1"/>
  <c r="C101" i="1" a="1"/>
  <c r="C101" i="1" s="1"/>
  <c r="D101" i="1" a="1"/>
  <c r="D101" i="1" s="1"/>
  <c r="E101" i="1" a="1"/>
  <c r="E101" i="1" s="1"/>
  <c r="F101" i="1" a="1"/>
  <c r="F101" i="1" s="1"/>
  <c r="G101" i="1" a="1"/>
  <c r="G101" i="1" s="1"/>
  <c r="H101" i="1" a="1"/>
  <c r="H101" i="1" s="1"/>
  <c r="I101" i="1" a="1"/>
  <c r="I101" i="1" s="1"/>
  <c r="J101" i="1" a="1"/>
  <c r="J101" i="1" s="1"/>
  <c r="K101" i="1" a="1"/>
  <c r="K101" i="1" s="1"/>
  <c r="L101" i="1" a="1"/>
  <c r="L101" i="1" s="1"/>
  <c r="M101" i="1" a="1"/>
  <c r="M101" i="1" s="1"/>
  <c r="N101" i="1" a="1"/>
  <c r="N101" i="1" s="1"/>
  <c r="O101" i="1" a="1"/>
  <c r="O101" i="1" s="1"/>
  <c r="P101" i="1" a="1"/>
  <c r="P101" i="1" s="1"/>
  <c r="Q101" i="1" a="1"/>
  <c r="Q101" i="1" s="1"/>
  <c r="R101" i="1" a="1"/>
  <c r="R101" i="1" s="1"/>
  <c r="S101" i="1" a="1"/>
  <c r="S101" i="1" s="1"/>
  <c r="T101" i="1" a="1"/>
  <c r="T101" i="1" s="1"/>
  <c r="U101" i="1" a="1"/>
  <c r="U101" i="1" s="1"/>
  <c r="C102" i="1" a="1"/>
  <c r="C102" i="1" s="1"/>
  <c r="D102" i="1" a="1"/>
  <c r="D102" i="1" s="1"/>
  <c r="E102" i="1" a="1"/>
  <c r="E102" i="1" s="1"/>
  <c r="F102" i="1" a="1"/>
  <c r="F102" i="1" s="1"/>
  <c r="G102" i="1" a="1"/>
  <c r="G102" i="1" s="1"/>
  <c r="H102" i="1" a="1"/>
  <c r="H102" i="1" s="1"/>
  <c r="I102" i="1" a="1"/>
  <c r="I102" i="1" s="1"/>
  <c r="J102" i="1" a="1"/>
  <c r="J102" i="1" s="1"/>
  <c r="K102" i="1" a="1"/>
  <c r="K102" i="1" s="1"/>
  <c r="L102" i="1" a="1"/>
  <c r="L102" i="1" s="1"/>
  <c r="M102" i="1" a="1"/>
  <c r="M102" i="1" s="1"/>
  <c r="N102" i="1" a="1"/>
  <c r="N102" i="1" s="1"/>
  <c r="O102" i="1" a="1"/>
  <c r="O102" i="1" s="1"/>
  <c r="P102" i="1" a="1"/>
  <c r="P102" i="1" s="1"/>
  <c r="Q102" i="1" a="1"/>
  <c r="Q102" i="1" s="1"/>
  <c r="R102" i="1" a="1"/>
  <c r="R102" i="1" s="1"/>
  <c r="S102" i="1" a="1"/>
  <c r="S102" i="1" s="1"/>
  <c r="T102" i="1" a="1"/>
  <c r="T102" i="1" s="1"/>
  <c r="U102" i="1" a="1"/>
  <c r="U102" i="1" s="1"/>
  <c r="C103" i="1" a="1"/>
  <c r="C103" i="1" s="1"/>
  <c r="D103" i="1" a="1"/>
  <c r="D103" i="1" s="1"/>
  <c r="E103" i="1" a="1"/>
  <c r="E103" i="1" s="1"/>
  <c r="F103" i="1" a="1"/>
  <c r="F103" i="1" s="1"/>
  <c r="G103" i="1" a="1"/>
  <c r="G103" i="1" s="1"/>
  <c r="H103" i="1" a="1"/>
  <c r="H103" i="1" s="1"/>
  <c r="I103" i="1" a="1"/>
  <c r="I103" i="1" s="1"/>
  <c r="J103" i="1" a="1"/>
  <c r="J103" i="1" s="1"/>
  <c r="K103" i="1" a="1"/>
  <c r="K103" i="1" s="1"/>
  <c r="L103" i="1" a="1"/>
  <c r="L103" i="1" s="1"/>
  <c r="M103" i="1" a="1"/>
  <c r="M103" i="1" s="1"/>
  <c r="N103" i="1" a="1"/>
  <c r="N103" i="1" s="1"/>
  <c r="O103" i="1" a="1"/>
  <c r="O103" i="1" s="1"/>
  <c r="P103" i="1" a="1"/>
  <c r="P103" i="1" s="1"/>
  <c r="Q103" i="1" a="1"/>
  <c r="Q103" i="1" s="1"/>
  <c r="R103" i="1" a="1"/>
  <c r="R103" i="1" s="1"/>
  <c r="S103" i="1" a="1"/>
  <c r="S103" i="1" s="1"/>
  <c r="T103" i="1" a="1"/>
  <c r="T103" i="1" s="1"/>
  <c r="U103" i="1" a="1"/>
  <c r="U103" i="1" s="1"/>
  <c r="C104" i="1" a="1"/>
  <c r="C104" i="1" s="1"/>
  <c r="D104" i="1" a="1"/>
  <c r="D104" i="1" s="1"/>
  <c r="E104" i="1" a="1"/>
  <c r="E104" i="1" s="1"/>
  <c r="F104" i="1" a="1"/>
  <c r="F104" i="1" s="1"/>
  <c r="G104" i="1" a="1"/>
  <c r="G104" i="1" s="1"/>
  <c r="H104" i="1" a="1"/>
  <c r="H104" i="1" s="1"/>
  <c r="I104" i="1" a="1"/>
  <c r="I104" i="1" s="1"/>
  <c r="J104" i="1" a="1"/>
  <c r="J104" i="1" s="1"/>
  <c r="K104" i="1" a="1"/>
  <c r="K104" i="1" s="1"/>
  <c r="L104" i="1" a="1"/>
  <c r="L104" i="1" s="1"/>
  <c r="M104" i="1" a="1"/>
  <c r="M104" i="1" s="1"/>
  <c r="N104" i="1" a="1"/>
  <c r="N104" i="1" s="1"/>
  <c r="O104" i="1" a="1"/>
  <c r="O104" i="1" s="1"/>
  <c r="P104" i="1" a="1"/>
  <c r="P104" i="1" s="1"/>
  <c r="Q104" i="1" a="1"/>
  <c r="Q104" i="1" s="1"/>
  <c r="R104" i="1" a="1"/>
  <c r="R104" i="1" s="1"/>
  <c r="S104" i="1" a="1"/>
  <c r="S104" i="1" s="1"/>
  <c r="T104" i="1" a="1"/>
  <c r="T104" i="1" s="1"/>
  <c r="U104" i="1" a="1"/>
  <c r="U104" i="1" s="1"/>
  <c r="C105" i="1" a="1"/>
  <c r="C105" i="1" s="1"/>
  <c r="D105" i="1" a="1"/>
  <c r="D105" i="1" s="1"/>
  <c r="E105" i="1" a="1"/>
  <c r="E105" i="1" s="1"/>
  <c r="F105" i="1" a="1"/>
  <c r="F105" i="1" s="1"/>
  <c r="G105" i="1" a="1"/>
  <c r="G105" i="1" s="1"/>
  <c r="H105" i="1" a="1"/>
  <c r="H105" i="1" s="1"/>
  <c r="I105" i="1" a="1"/>
  <c r="I105" i="1" s="1"/>
  <c r="J105" i="1" a="1"/>
  <c r="J105" i="1" s="1"/>
  <c r="K105" i="1" a="1"/>
  <c r="K105" i="1" s="1"/>
  <c r="L105" i="1" a="1"/>
  <c r="L105" i="1" s="1"/>
  <c r="M105" i="1" a="1"/>
  <c r="M105" i="1" s="1"/>
  <c r="N105" i="1" a="1"/>
  <c r="N105" i="1" s="1"/>
  <c r="O105" i="1" a="1"/>
  <c r="O105" i="1" s="1"/>
  <c r="P105" i="1" a="1"/>
  <c r="P105" i="1" s="1"/>
  <c r="Q105" i="1" a="1"/>
  <c r="Q105" i="1" s="1"/>
  <c r="R105" i="1" a="1"/>
  <c r="R105" i="1" s="1"/>
  <c r="S105" i="1" a="1"/>
  <c r="S105" i="1" s="1"/>
  <c r="T105" i="1" a="1"/>
  <c r="T105" i="1" s="1"/>
  <c r="U105" i="1" a="1"/>
  <c r="U105" i="1" s="1"/>
  <c r="C106" i="1" a="1"/>
  <c r="C106" i="1" s="1"/>
  <c r="D106" i="1" a="1"/>
  <c r="D106" i="1" s="1"/>
  <c r="E106" i="1" a="1"/>
  <c r="E106" i="1" s="1"/>
  <c r="F106" i="1" a="1"/>
  <c r="F106" i="1" s="1"/>
  <c r="G106" i="1" a="1"/>
  <c r="G106" i="1" s="1"/>
  <c r="H106" i="1" a="1"/>
  <c r="H106" i="1" s="1"/>
  <c r="I106" i="1" a="1"/>
  <c r="I106" i="1" s="1"/>
  <c r="J106" i="1" a="1"/>
  <c r="J106" i="1" s="1"/>
  <c r="K106" i="1" a="1"/>
  <c r="K106" i="1" s="1"/>
  <c r="L106" i="1" a="1"/>
  <c r="L106" i="1" s="1"/>
  <c r="M106" i="1" a="1"/>
  <c r="M106" i="1" s="1"/>
  <c r="N106" i="1" a="1"/>
  <c r="N106" i="1" s="1"/>
  <c r="O106" i="1" a="1"/>
  <c r="O106" i="1" s="1"/>
  <c r="P106" i="1" a="1"/>
  <c r="P106" i="1" s="1"/>
  <c r="Q106" i="1" a="1"/>
  <c r="Q106" i="1" s="1"/>
  <c r="R106" i="1" a="1"/>
  <c r="R106" i="1" s="1"/>
  <c r="S106" i="1" a="1"/>
  <c r="S106" i="1" s="1"/>
  <c r="T106" i="1" a="1"/>
  <c r="T106" i="1" s="1"/>
  <c r="U106" i="1" a="1"/>
  <c r="U106" i="1" s="1"/>
  <c r="C107" i="1" a="1"/>
  <c r="C107" i="1" s="1"/>
  <c r="D107" i="1" a="1"/>
  <c r="D107" i="1" s="1"/>
  <c r="E107" i="1" a="1"/>
  <c r="E107" i="1" s="1"/>
  <c r="F107" i="1" a="1"/>
  <c r="F107" i="1" s="1"/>
  <c r="G107" i="1" a="1"/>
  <c r="G107" i="1" s="1"/>
  <c r="H107" i="1" a="1"/>
  <c r="H107" i="1" s="1"/>
  <c r="I107" i="1" a="1"/>
  <c r="I107" i="1" s="1"/>
  <c r="J107" i="1" a="1"/>
  <c r="J107" i="1" s="1"/>
  <c r="K107" i="1" a="1"/>
  <c r="K107" i="1" s="1"/>
  <c r="L107" i="1" a="1"/>
  <c r="L107" i="1" s="1"/>
  <c r="M107" i="1" a="1"/>
  <c r="M107" i="1" s="1"/>
  <c r="N107" i="1" a="1"/>
  <c r="N107" i="1" s="1"/>
  <c r="O107" i="1" a="1"/>
  <c r="O107" i="1" s="1"/>
  <c r="P107" i="1" a="1"/>
  <c r="P107" i="1" s="1"/>
  <c r="Q107" i="1" a="1"/>
  <c r="Q107" i="1" s="1"/>
  <c r="R107" i="1" a="1"/>
  <c r="R107" i="1" s="1"/>
  <c r="S107" i="1" a="1"/>
  <c r="S107" i="1" s="1"/>
  <c r="T107" i="1" a="1"/>
  <c r="T107" i="1" s="1"/>
  <c r="U107" i="1" a="1"/>
  <c r="U107" i="1" s="1"/>
  <c r="C108" i="1" a="1"/>
  <c r="C108" i="1" s="1"/>
  <c r="D108" i="1" a="1"/>
  <c r="D108" i="1" s="1"/>
  <c r="E108" i="1" a="1"/>
  <c r="E108" i="1" s="1"/>
  <c r="F108" i="1" a="1"/>
  <c r="F108" i="1" s="1"/>
  <c r="G108" i="1" a="1"/>
  <c r="G108" i="1" s="1"/>
  <c r="H108" i="1" a="1"/>
  <c r="H108" i="1" s="1"/>
  <c r="I108" i="1" a="1"/>
  <c r="I108" i="1" s="1"/>
  <c r="J108" i="1" a="1"/>
  <c r="J108" i="1" s="1"/>
  <c r="K108" i="1" a="1"/>
  <c r="K108" i="1" s="1"/>
  <c r="L108" i="1" a="1"/>
  <c r="L108" i="1" s="1"/>
  <c r="M108" i="1" a="1"/>
  <c r="M108" i="1" s="1"/>
  <c r="N108" i="1" a="1"/>
  <c r="N108" i="1" s="1"/>
  <c r="O108" i="1" a="1"/>
  <c r="O108" i="1" s="1"/>
  <c r="P108" i="1" a="1"/>
  <c r="P108" i="1" s="1"/>
  <c r="Q108" i="1" a="1"/>
  <c r="Q108" i="1" s="1"/>
  <c r="R108" i="1" a="1"/>
  <c r="R108" i="1" s="1"/>
  <c r="S108" i="1" a="1"/>
  <c r="S108" i="1" s="1"/>
  <c r="T108" i="1" a="1"/>
  <c r="T108" i="1" s="1"/>
  <c r="U108" i="1" a="1"/>
  <c r="U108" i="1" s="1"/>
  <c r="C109" i="1" a="1"/>
  <c r="C109" i="1" s="1"/>
  <c r="D109" i="1" a="1"/>
  <c r="D109" i="1" s="1"/>
  <c r="E109" i="1" a="1"/>
  <c r="E109" i="1" s="1"/>
  <c r="F109" i="1" a="1"/>
  <c r="F109" i="1" s="1"/>
  <c r="G109" i="1" a="1"/>
  <c r="G109" i="1" s="1"/>
  <c r="H109" i="1" a="1"/>
  <c r="H109" i="1" s="1"/>
  <c r="I109" i="1" a="1"/>
  <c r="I109" i="1" s="1"/>
  <c r="J109" i="1" a="1"/>
  <c r="J109" i="1" s="1"/>
  <c r="K109" i="1" a="1"/>
  <c r="K109" i="1" s="1"/>
  <c r="L109" i="1" a="1"/>
  <c r="L109" i="1" s="1"/>
  <c r="M109" i="1" a="1"/>
  <c r="M109" i="1" s="1"/>
  <c r="N109" i="1" a="1"/>
  <c r="N109" i="1" s="1"/>
  <c r="O109" i="1" a="1"/>
  <c r="O109" i="1" s="1"/>
  <c r="P109" i="1" a="1"/>
  <c r="P109" i="1" s="1"/>
  <c r="Q109" i="1" a="1"/>
  <c r="Q109" i="1" s="1"/>
  <c r="R109" i="1" a="1"/>
  <c r="R109" i="1" s="1"/>
  <c r="S109" i="1" a="1"/>
  <c r="S109" i="1" s="1"/>
  <c r="T109" i="1" a="1"/>
  <c r="T109" i="1" s="1"/>
  <c r="U109" i="1" a="1"/>
  <c r="U109" i="1" s="1"/>
  <c r="C110" i="1" a="1"/>
  <c r="C110" i="1" s="1"/>
  <c r="D110" i="1" a="1"/>
  <c r="D110" i="1" s="1"/>
  <c r="E110" i="1" a="1"/>
  <c r="E110" i="1" s="1"/>
  <c r="F110" i="1" a="1"/>
  <c r="F110" i="1" s="1"/>
  <c r="G110" i="1" a="1"/>
  <c r="G110" i="1" s="1"/>
  <c r="H110" i="1" a="1"/>
  <c r="H110" i="1" s="1"/>
  <c r="I110" i="1" a="1"/>
  <c r="I110" i="1" s="1"/>
  <c r="J110" i="1" a="1"/>
  <c r="J110" i="1" s="1"/>
  <c r="K110" i="1" a="1"/>
  <c r="K110" i="1" s="1"/>
  <c r="L110" i="1" a="1"/>
  <c r="L110" i="1" s="1"/>
  <c r="M110" i="1" a="1"/>
  <c r="M110" i="1" s="1"/>
  <c r="N110" i="1" a="1"/>
  <c r="N110" i="1" s="1"/>
  <c r="O110" i="1" a="1"/>
  <c r="O110" i="1" s="1"/>
  <c r="P110" i="1" a="1"/>
  <c r="P110" i="1" s="1"/>
  <c r="Q110" i="1" a="1"/>
  <c r="Q110" i="1" s="1"/>
  <c r="R110" i="1" a="1"/>
  <c r="R110" i="1" s="1"/>
  <c r="S110" i="1" a="1"/>
  <c r="S110" i="1" s="1"/>
  <c r="T110" i="1" a="1"/>
  <c r="T110" i="1" s="1"/>
  <c r="U110" i="1" a="1"/>
  <c r="U110" i="1" s="1"/>
  <c r="C111" i="1" a="1"/>
  <c r="C111" i="1" s="1"/>
  <c r="D111" i="1" a="1"/>
  <c r="D111" i="1" s="1"/>
  <c r="E111" i="1" a="1"/>
  <c r="E111" i="1" s="1"/>
  <c r="F111" i="1" a="1"/>
  <c r="F111" i="1" s="1"/>
  <c r="G111" i="1" a="1"/>
  <c r="G111" i="1" s="1"/>
  <c r="H111" i="1" a="1"/>
  <c r="H111" i="1" s="1"/>
  <c r="I111" i="1" a="1"/>
  <c r="I111" i="1" s="1"/>
  <c r="J111" i="1" a="1"/>
  <c r="J111" i="1" s="1"/>
  <c r="K111" i="1" a="1"/>
  <c r="K111" i="1" s="1"/>
  <c r="L111" i="1" a="1"/>
  <c r="L111" i="1" s="1"/>
  <c r="M111" i="1" a="1"/>
  <c r="M111" i="1" s="1"/>
  <c r="N111" i="1" a="1"/>
  <c r="N111" i="1" s="1"/>
  <c r="O111" i="1" a="1"/>
  <c r="O111" i="1" s="1"/>
  <c r="P111" i="1" a="1"/>
  <c r="P111" i="1" s="1"/>
  <c r="Q111" i="1" a="1"/>
  <c r="Q111" i="1" s="1"/>
  <c r="R111" i="1" a="1"/>
  <c r="R111" i="1" s="1"/>
  <c r="S111" i="1" a="1"/>
  <c r="S111" i="1" s="1"/>
  <c r="T111" i="1" a="1"/>
  <c r="T111" i="1" s="1"/>
  <c r="U111" i="1" a="1"/>
  <c r="U111" i="1" s="1"/>
  <c r="C112" i="1" a="1"/>
  <c r="C112" i="1" s="1"/>
  <c r="D112" i="1" a="1"/>
  <c r="D112" i="1" s="1"/>
  <c r="E112" i="1" a="1"/>
  <c r="E112" i="1" s="1"/>
  <c r="F112" i="1" a="1"/>
  <c r="F112" i="1" s="1"/>
  <c r="G112" i="1" a="1"/>
  <c r="G112" i="1" s="1"/>
  <c r="H112" i="1" a="1"/>
  <c r="H112" i="1" s="1"/>
  <c r="I112" i="1" a="1"/>
  <c r="I112" i="1" s="1"/>
  <c r="J112" i="1" a="1"/>
  <c r="J112" i="1" s="1"/>
  <c r="K112" i="1" a="1"/>
  <c r="K112" i="1" s="1"/>
  <c r="L112" i="1" a="1"/>
  <c r="L112" i="1" s="1"/>
  <c r="M112" i="1" a="1"/>
  <c r="M112" i="1" s="1"/>
  <c r="N112" i="1" a="1"/>
  <c r="N112" i="1" s="1"/>
  <c r="O112" i="1" a="1"/>
  <c r="O112" i="1" s="1"/>
  <c r="P112" i="1" a="1"/>
  <c r="P112" i="1" s="1"/>
  <c r="Q112" i="1" a="1"/>
  <c r="Q112" i="1" s="1"/>
  <c r="R112" i="1" a="1"/>
  <c r="R112" i="1" s="1"/>
  <c r="S112" i="1" a="1"/>
  <c r="S112" i="1" s="1"/>
  <c r="T112" i="1" a="1"/>
  <c r="T112" i="1" s="1"/>
  <c r="U112" i="1" a="1"/>
  <c r="U112" i="1" s="1"/>
  <c r="C113" i="1" a="1"/>
  <c r="C113" i="1" s="1"/>
  <c r="D113" i="1" a="1"/>
  <c r="D113" i="1" s="1"/>
  <c r="E113" i="1" a="1"/>
  <c r="E113" i="1" s="1"/>
  <c r="F113" i="1" a="1"/>
  <c r="F113" i="1" s="1"/>
  <c r="G113" i="1" a="1"/>
  <c r="G113" i="1" s="1"/>
  <c r="H113" i="1" a="1"/>
  <c r="H113" i="1" s="1"/>
  <c r="I113" i="1" a="1"/>
  <c r="I113" i="1" s="1"/>
  <c r="J113" i="1" a="1"/>
  <c r="J113" i="1" s="1"/>
  <c r="K113" i="1" a="1"/>
  <c r="K113" i="1" s="1"/>
  <c r="L113" i="1" a="1"/>
  <c r="L113" i="1" s="1"/>
  <c r="M113" i="1" a="1"/>
  <c r="M113" i="1" s="1"/>
  <c r="N113" i="1" a="1"/>
  <c r="N113" i="1" s="1"/>
  <c r="O113" i="1" a="1"/>
  <c r="O113" i="1" s="1"/>
  <c r="P113" i="1" a="1"/>
  <c r="P113" i="1" s="1"/>
  <c r="Q113" i="1" a="1"/>
  <c r="Q113" i="1" s="1"/>
  <c r="R113" i="1" a="1"/>
  <c r="R113" i="1" s="1"/>
  <c r="S113" i="1" a="1"/>
  <c r="S113" i="1" s="1"/>
  <c r="T113" i="1" a="1"/>
  <c r="T113" i="1" s="1"/>
  <c r="U113" i="1" a="1"/>
  <c r="U113" i="1" s="1"/>
  <c r="C114" i="1" a="1"/>
  <c r="C114" i="1" s="1"/>
  <c r="D114" i="1" a="1"/>
  <c r="D114" i="1" s="1"/>
  <c r="E114" i="1" a="1"/>
  <c r="E114" i="1" s="1"/>
  <c r="F114" i="1" a="1"/>
  <c r="F114" i="1" s="1"/>
  <c r="G114" i="1" a="1"/>
  <c r="G114" i="1" s="1"/>
  <c r="H114" i="1" a="1"/>
  <c r="H114" i="1" s="1"/>
  <c r="I114" i="1" a="1"/>
  <c r="I114" i="1" s="1"/>
  <c r="J114" i="1" a="1"/>
  <c r="J114" i="1" s="1"/>
  <c r="K114" i="1" a="1"/>
  <c r="K114" i="1" s="1"/>
  <c r="L114" i="1" a="1"/>
  <c r="L114" i="1" s="1"/>
  <c r="M114" i="1" a="1"/>
  <c r="M114" i="1" s="1"/>
  <c r="N114" i="1" a="1"/>
  <c r="N114" i="1" s="1"/>
  <c r="O114" i="1" a="1"/>
  <c r="O114" i="1" s="1"/>
  <c r="P114" i="1" a="1"/>
  <c r="P114" i="1" s="1"/>
  <c r="Q114" i="1" a="1"/>
  <c r="Q114" i="1" s="1"/>
  <c r="R114" i="1" a="1"/>
  <c r="R114" i="1" s="1"/>
  <c r="S114" i="1" a="1"/>
  <c r="S114" i="1" s="1"/>
  <c r="T114" i="1" a="1"/>
  <c r="T114" i="1" s="1"/>
  <c r="U114" i="1" a="1"/>
  <c r="U114" i="1" s="1"/>
  <c r="C115" i="1" a="1"/>
  <c r="C115" i="1" s="1"/>
  <c r="D115" i="1" a="1"/>
  <c r="D115" i="1" s="1"/>
  <c r="E115" i="1" a="1"/>
  <c r="E115" i="1" s="1"/>
  <c r="F115" i="1" a="1"/>
  <c r="F115" i="1" s="1"/>
  <c r="G115" i="1" a="1"/>
  <c r="G115" i="1" s="1"/>
  <c r="H115" i="1" a="1"/>
  <c r="H115" i="1" s="1"/>
  <c r="I115" i="1" a="1"/>
  <c r="I115" i="1" s="1"/>
  <c r="J115" i="1" a="1"/>
  <c r="J115" i="1" s="1"/>
  <c r="K115" i="1" a="1"/>
  <c r="K115" i="1" s="1"/>
  <c r="L115" i="1" a="1"/>
  <c r="L115" i="1" s="1"/>
  <c r="M115" i="1" a="1"/>
  <c r="M115" i="1" s="1"/>
  <c r="N115" i="1" a="1"/>
  <c r="N115" i="1" s="1"/>
  <c r="O115" i="1" a="1"/>
  <c r="O115" i="1" s="1"/>
  <c r="P115" i="1" a="1"/>
  <c r="P115" i="1" s="1"/>
  <c r="Q115" i="1" a="1"/>
  <c r="Q115" i="1" s="1"/>
  <c r="R115" i="1" a="1"/>
  <c r="R115" i="1" s="1"/>
  <c r="S115" i="1" a="1"/>
  <c r="S115" i="1" s="1"/>
  <c r="T115" i="1" a="1"/>
  <c r="T115" i="1" s="1"/>
  <c r="U115" i="1" a="1"/>
  <c r="U115" i="1" s="1"/>
  <c r="C116" i="1" a="1"/>
  <c r="C116" i="1" s="1"/>
  <c r="D116" i="1" a="1"/>
  <c r="D116" i="1" s="1"/>
  <c r="E116" i="1" a="1"/>
  <c r="E116" i="1" s="1"/>
  <c r="F116" i="1" a="1"/>
  <c r="F116" i="1" s="1"/>
  <c r="G116" i="1" a="1"/>
  <c r="G116" i="1" s="1"/>
  <c r="H116" i="1" a="1"/>
  <c r="H116" i="1" s="1"/>
  <c r="I116" i="1" a="1"/>
  <c r="I116" i="1" s="1"/>
  <c r="J116" i="1" a="1"/>
  <c r="J116" i="1" s="1"/>
  <c r="K116" i="1" a="1"/>
  <c r="K116" i="1" s="1"/>
  <c r="L116" i="1" a="1"/>
  <c r="L116" i="1" s="1"/>
  <c r="M116" i="1" a="1"/>
  <c r="M116" i="1" s="1"/>
  <c r="N116" i="1" a="1"/>
  <c r="N116" i="1" s="1"/>
  <c r="O116" i="1" a="1"/>
  <c r="O116" i="1" s="1"/>
  <c r="P116" i="1" a="1"/>
  <c r="P116" i="1" s="1"/>
  <c r="Q116" i="1" a="1"/>
  <c r="Q116" i="1" s="1"/>
  <c r="R116" i="1" a="1"/>
  <c r="R116" i="1" s="1"/>
  <c r="S116" i="1" a="1"/>
  <c r="S116" i="1" s="1"/>
  <c r="T116" i="1" a="1"/>
  <c r="T116" i="1" s="1"/>
  <c r="U116" i="1" a="1"/>
  <c r="U116" i="1" s="1"/>
  <c r="C117" i="1" a="1"/>
  <c r="C117" i="1" s="1"/>
  <c r="D117" i="1" a="1"/>
  <c r="D117" i="1" s="1"/>
  <c r="E117" i="1" a="1"/>
  <c r="E117" i="1" s="1"/>
  <c r="F117" i="1" a="1"/>
  <c r="F117" i="1" s="1"/>
  <c r="G117" i="1" a="1"/>
  <c r="G117" i="1" s="1"/>
  <c r="H117" i="1" a="1"/>
  <c r="H117" i="1" s="1"/>
  <c r="I117" i="1" a="1"/>
  <c r="I117" i="1" s="1"/>
  <c r="J117" i="1" a="1"/>
  <c r="J117" i="1" s="1"/>
  <c r="K117" i="1" a="1"/>
  <c r="K117" i="1" s="1"/>
  <c r="L117" i="1" a="1"/>
  <c r="L117" i="1" s="1"/>
  <c r="M117" i="1" a="1"/>
  <c r="M117" i="1" s="1"/>
  <c r="N117" i="1" a="1"/>
  <c r="N117" i="1" s="1"/>
  <c r="O117" i="1" a="1"/>
  <c r="O117" i="1" s="1"/>
  <c r="P117" i="1" a="1"/>
  <c r="P117" i="1" s="1"/>
  <c r="Q117" i="1" a="1"/>
  <c r="Q117" i="1" s="1"/>
  <c r="R117" i="1" a="1"/>
  <c r="R117" i="1" s="1"/>
  <c r="S117" i="1" a="1"/>
  <c r="S117" i="1" s="1"/>
  <c r="T117" i="1" a="1"/>
  <c r="T117" i="1" s="1"/>
  <c r="U117" i="1" a="1"/>
  <c r="U11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W12" i="1" s="1"/>
  <c r="B13" i="1" a="1"/>
  <c r="B13" i="1" s="1"/>
  <c r="B14" i="1" a="1"/>
  <c r="B14" i="1" s="1"/>
  <c r="B15" i="1" a="1"/>
  <c r="B15" i="1" s="1"/>
  <c r="X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W28" i="1" s="1"/>
  <c r="B29" i="1" a="1"/>
  <c r="B29" i="1" s="1"/>
  <c r="B30" i="1" a="1"/>
  <c r="B30" i="1" s="1"/>
  <c r="B31" i="1" a="1"/>
  <c r="B31" i="1" s="1"/>
  <c r="W31" i="1" s="1"/>
  <c r="B32" i="1" a="1"/>
  <c r="B32" i="1" s="1"/>
  <c r="W32" i="1" s="1"/>
  <c r="B33" i="1" a="1"/>
  <c r="B33" i="1" s="1"/>
  <c r="B34" i="1" a="1"/>
  <c r="B34" i="1" s="1"/>
  <c r="B35" i="1" a="1"/>
  <c r="B35" i="1" s="1"/>
  <c r="B36" i="1" a="1"/>
  <c r="B36" i="1" s="1"/>
  <c r="W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Z45" i="1" s="1"/>
  <c r="B46" i="1" a="1"/>
  <c r="B46" i="1" s="1"/>
  <c r="B47" i="1" a="1"/>
  <c r="B47" i="1" s="1"/>
  <c r="X47" i="1" s="1"/>
  <c r="B48" i="1" a="1"/>
  <c r="B48" i="1" s="1"/>
  <c r="W48" i="1" s="1"/>
  <c r="B49" i="1" a="1"/>
  <c r="B49" i="1" s="1"/>
  <c r="B50" i="1" a="1"/>
  <c r="B50" i="1" s="1"/>
  <c r="B51" i="1" a="1"/>
  <c r="B51" i="1" s="1"/>
  <c r="B52" i="1" a="1"/>
  <c r="B52" i="1" s="1"/>
  <c r="W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79" i="1" a="1"/>
  <c r="B79" i="1" s="1"/>
  <c r="B80" i="1" a="1"/>
  <c r="B80" i="1" s="1"/>
  <c r="W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Y85" i="1" s="1"/>
  <c r="B86" i="1" a="1"/>
  <c r="B86" i="1" s="1"/>
  <c r="B87" i="1" a="1"/>
  <c r="B87" i="1" s="1"/>
  <c r="X87" i="1" s="1"/>
  <c r="B88" i="1" a="1"/>
  <c r="B88" i="1" s="1"/>
  <c r="B89" i="1" a="1"/>
  <c r="B89" i="1" s="1"/>
  <c r="B90" i="1" a="1"/>
  <c r="B90" i="1" s="1"/>
  <c r="B91" i="1" a="1"/>
  <c r="B91" i="1" s="1"/>
  <c r="B92" i="1" a="1"/>
  <c r="B92" i="1" s="1"/>
  <c r="Z92" i="1" s="1"/>
  <c r="B93" i="1" a="1"/>
  <c r="B93" i="1" s="1"/>
  <c r="B94" i="1" a="1"/>
  <c r="B94" i="1" s="1"/>
  <c r="W94" i="1" s="1"/>
  <c r="B95" i="1" a="1"/>
  <c r="B95" i="1" s="1"/>
  <c r="B96" i="1" a="1"/>
  <c r="B96" i="1" s="1"/>
  <c r="B97" i="1" a="1"/>
  <c r="B97" i="1" s="1"/>
  <c r="X97" i="1" s="1"/>
  <c r="B98" i="1" a="1"/>
  <c r="B98" i="1" s="1"/>
  <c r="B99" i="1" a="1"/>
  <c r="B99" i="1" s="1"/>
  <c r="B100" i="1" a="1"/>
  <c r="B100" i="1" s="1"/>
  <c r="B101" i="1" a="1"/>
  <c r="B101" i="1" s="1"/>
  <c r="B102" i="1" a="1"/>
  <c r="B102" i="1" s="1"/>
  <c r="B103" i="1" a="1"/>
  <c r="B103" i="1" s="1"/>
  <c r="B104" i="1" a="1"/>
  <c r="B104" i="1" s="1"/>
  <c r="B105" i="1" a="1"/>
  <c r="B105" i="1" s="1"/>
  <c r="B106" i="1" a="1"/>
  <c r="B106" i="1" s="1"/>
  <c r="B107" i="1" a="1"/>
  <c r="B107" i="1" s="1"/>
  <c r="B108" i="1" a="1"/>
  <c r="B108" i="1" s="1"/>
  <c r="B109" i="1" a="1"/>
  <c r="B109" i="1" s="1"/>
  <c r="B110" i="1" a="1"/>
  <c r="B110" i="1" s="1"/>
  <c r="B111" i="1" a="1"/>
  <c r="B111" i="1" s="1"/>
  <c r="B112" i="1" a="1"/>
  <c r="B112" i="1" s="1"/>
  <c r="B113" i="1" a="1"/>
  <c r="B113" i="1" s="1"/>
  <c r="B114" i="1" a="1"/>
  <c r="B114" i="1" s="1"/>
  <c r="B115" i="1" a="1"/>
  <c r="B115" i="1" s="1"/>
  <c r="B116" i="1" a="1"/>
  <c r="B116" i="1" s="1"/>
  <c r="B117" i="1" a="1"/>
  <c r="B117" i="1" s="1"/>
  <c r="B7" i="1" a="1"/>
  <c r="B7" i="1" s="1"/>
  <c r="X90" i="1" l="1"/>
  <c r="AC119" i="1"/>
  <c r="AI118" i="1"/>
  <c r="AJ118" i="1"/>
  <c r="AK118" i="1"/>
  <c r="AH118" i="1"/>
  <c r="AG118" i="1"/>
  <c r="AI120" i="1"/>
  <c r="AH120" i="1"/>
  <c r="AJ120" i="1"/>
  <c r="AG120" i="1"/>
  <c r="AK120" i="1"/>
  <c r="AI119" i="1"/>
  <c r="AG119" i="1"/>
  <c r="AJ119" i="1"/>
  <c r="AH119" i="1"/>
  <c r="AK119" i="1"/>
  <c r="AD119" i="1"/>
  <c r="Z7" i="1"/>
  <c r="W7" i="1"/>
  <c r="AA7" i="1"/>
  <c r="X7" i="1"/>
  <c r="Y7" i="1"/>
  <c r="AE118" i="1"/>
  <c r="AF120" i="1"/>
  <c r="AD118" i="1"/>
  <c r="AE120" i="1"/>
  <c r="AD120" i="1"/>
  <c r="AF118" i="1"/>
  <c r="AC120" i="1"/>
  <c r="AF119" i="1"/>
  <c r="AC118" i="1"/>
  <c r="AE119" i="1"/>
  <c r="AA60" i="1"/>
  <c r="AA8" i="1"/>
  <c r="X35" i="1"/>
  <c r="Y89" i="1"/>
  <c r="AA24" i="1"/>
  <c r="Y96" i="1"/>
  <c r="W68" i="1"/>
  <c r="W64" i="1"/>
  <c r="AA44" i="1"/>
  <c r="Z84" i="1"/>
  <c r="Y91" i="1"/>
  <c r="X67" i="1"/>
  <c r="Z88" i="1"/>
  <c r="X83" i="1"/>
  <c r="X71" i="1"/>
  <c r="W98" i="1"/>
  <c r="X86" i="1"/>
  <c r="X82" i="1"/>
  <c r="Y74" i="1"/>
  <c r="Y70" i="1"/>
  <c r="Y58" i="1"/>
  <c r="Y54" i="1"/>
  <c r="AA76" i="1"/>
  <c r="X39" i="1"/>
  <c r="X93" i="1"/>
  <c r="Z77" i="1"/>
  <c r="Z61" i="1"/>
  <c r="Z95" i="1"/>
  <c r="X79" i="1"/>
  <c r="X63" i="1"/>
  <c r="X55" i="1"/>
  <c r="X51" i="1"/>
  <c r="Z115" i="1"/>
  <c r="X101" i="1"/>
  <c r="X113" i="1"/>
  <c r="X117" i="1"/>
  <c r="X109" i="1"/>
  <c r="Z107" i="1"/>
  <c r="X105" i="1"/>
  <c r="Z111" i="1"/>
  <c r="Z103" i="1"/>
  <c r="Z99" i="1"/>
  <c r="Y116" i="1"/>
  <c r="Y112" i="1"/>
  <c r="Y108" i="1"/>
  <c r="Y104" i="1"/>
  <c r="Y100" i="1"/>
  <c r="W114" i="1"/>
  <c r="W110" i="1"/>
  <c r="W106" i="1"/>
  <c r="W102" i="1"/>
  <c r="Z66" i="1"/>
  <c r="W66" i="1"/>
  <c r="AA66" i="1"/>
  <c r="X66" i="1"/>
  <c r="Z50" i="1"/>
  <c r="W50" i="1"/>
  <c r="AA50" i="1"/>
  <c r="X50" i="1"/>
  <c r="Z46" i="1"/>
  <c r="W46" i="1"/>
  <c r="AA46" i="1"/>
  <c r="X46" i="1"/>
  <c r="Z42" i="1"/>
  <c r="W42" i="1"/>
  <c r="AA42" i="1"/>
  <c r="X42" i="1"/>
  <c r="Z38" i="1"/>
  <c r="W38" i="1"/>
  <c r="AA38" i="1"/>
  <c r="X38" i="1"/>
  <c r="Z34" i="1"/>
  <c r="W34" i="1"/>
  <c r="AA34" i="1"/>
  <c r="X34" i="1"/>
  <c r="W30" i="1"/>
  <c r="AA30" i="1"/>
  <c r="X30" i="1"/>
  <c r="Y30" i="1"/>
  <c r="Z30" i="1"/>
  <c r="Z26" i="1"/>
  <c r="W26" i="1"/>
  <c r="AA26" i="1"/>
  <c r="X26" i="1"/>
  <c r="Y26" i="1"/>
  <c r="Z22" i="1"/>
  <c r="W22" i="1"/>
  <c r="AA22" i="1"/>
  <c r="X22" i="1"/>
  <c r="Y22" i="1"/>
  <c r="Z18" i="1"/>
  <c r="W18" i="1"/>
  <c r="AA18" i="1"/>
  <c r="X18" i="1"/>
  <c r="Z14" i="1"/>
  <c r="W14" i="1"/>
  <c r="AA14" i="1"/>
  <c r="X14" i="1"/>
  <c r="Y14" i="1"/>
  <c r="AA117" i="1"/>
  <c r="W117" i="1"/>
  <c r="X116" i="1"/>
  <c r="Y115" i="1"/>
  <c r="Z114" i="1"/>
  <c r="AA113" i="1"/>
  <c r="W113" i="1"/>
  <c r="X112" i="1"/>
  <c r="Y111" i="1"/>
  <c r="Z110" i="1"/>
  <c r="AA109" i="1"/>
  <c r="W109" i="1"/>
  <c r="X108" i="1"/>
  <c r="Y107" i="1"/>
  <c r="Z106" i="1"/>
  <c r="AA105" i="1"/>
  <c r="W105" i="1"/>
  <c r="X104" i="1"/>
  <c r="Y103" i="1"/>
  <c r="Z102" i="1"/>
  <c r="AA101" i="1"/>
  <c r="W101" i="1"/>
  <c r="AC101" i="1" s="1"/>
  <c r="X100" i="1"/>
  <c r="Y99" i="1"/>
  <c r="Z98" i="1"/>
  <c r="AA97" i="1"/>
  <c r="W97" i="1"/>
  <c r="AC97" i="1" s="1"/>
  <c r="X96" i="1"/>
  <c r="Y95" i="1"/>
  <c r="Z94" i="1"/>
  <c r="AA93" i="1"/>
  <c r="W93" i="1"/>
  <c r="W92" i="1"/>
  <c r="AA90" i="1"/>
  <c r="AA89" i="1"/>
  <c r="AA88" i="1"/>
  <c r="Z87" i="1"/>
  <c r="Z86" i="1"/>
  <c r="Z85" i="1"/>
  <c r="Y84" i="1"/>
  <c r="Y83" i="1"/>
  <c r="Y82" i="1"/>
  <c r="AA80" i="1"/>
  <c r="AA64" i="1"/>
  <c r="AA48" i="1"/>
  <c r="Y42" i="1"/>
  <c r="AA32" i="1"/>
  <c r="Z78" i="1"/>
  <c r="W78" i="1"/>
  <c r="AA78" i="1"/>
  <c r="X78" i="1"/>
  <c r="Z62" i="1"/>
  <c r="W62" i="1"/>
  <c r="AA62" i="1"/>
  <c r="X62" i="1"/>
  <c r="W81" i="1"/>
  <c r="X81" i="1"/>
  <c r="Y81" i="1"/>
  <c r="W77" i="1"/>
  <c r="AA77" i="1"/>
  <c r="X77" i="1"/>
  <c r="Y77" i="1"/>
  <c r="W73" i="1"/>
  <c r="AA73" i="1"/>
  <c r="X73" i="1"/>
  <c r="Y73" i="1"/>
  <c r="W69" i="1"/>
  <c r="AA69" i="1"/>
  <c r="X69" i="1"/>
  <c r="Y69" i="1"/>
  <c r="W65" i="1"/>
  <c r="AA65" i="1"/>
  <c r="X65" i="1"/>
  <c r="Y65" i="1"/>
  <c r="W61" i="1"/>
  <c r="AA61" i="1"/>
  <c r="X61" i="1"/>
  <c r="Y61" i="1"/>
  <c r="W57" i="1"/>
  <c r="AA57" i="1"/>
  <c r="X57" i="1"/>
  <c r="Y57" i="1"/>
  <c r="W53" i="1"/>
  <c r="AA53" i="1"/>
  <c r="X53" i="1"/>
  <c r="Y53" i="1"/>
  <c r="W49" i="1"/>
  <c r="AA49" i="1"/>
  <c r="X49" i="1"/>
  <c r="Y49" i="1"/>
  <c r="W45" i="1"/>
  <c r="AA45" i="1"/>
  <c r="X45" i="1"/>
  <c r="Y45" i="1"/>
  <c r="W41" i="1"/>
  <c r="AA41" i="1"/>
  <c r="X41" i="1"/>
  <c r="Y41" i="1"/>
  <c r="W37" i="1"/>
  <c r="AA37" i="1"/>
  <c r="X37" i="1"/>
  <c r="Y37" i="1"/>
  <c r="W33" i="1"/>
  <c r="AA33" i="1"/>
  <c r="X33" i="1"/>
  <c r="Y33" i="1"/>
  <c r="X29" i="1"/>
  <c r="Y29" i="1"/>
  <c r="AA29" i="1"/>
  <c r="W29" i="1"/>
  <c r="W25" i="1"/>
  <c r="AA25" i="1"/>
  <c r="X25" i="1"/>
  <c r="Y25" i="1"/>
  <c r="Z25" i="1"/>
  <c r="W21" i="1"/>
  <c r="AA21" i="1"/>
  <c r="X21" i="1"/>
  <c r="Y21" i="1"/>
  <c r="W17" i="1"/>
  <c r="AA17" i="1"/>
  <c r="X17" i="1"/>
  <c r="Y17" i="1"/>
  <c r="Z17" i="1"/>
  <c r="Y11" i="1"/>
  <c r="Z11" i="1"/>
  <c r="W11" i="1"/>
  <c r="AA11" i="1"/>
  <c r="X11" i="1"/>
  <c r="Z117" i="1"/>
  <c r="AA116" i="1"/>
  <c r="W116" i="1"/>
  <c r="X115" i="1"/>
  <c r="Y114" i="1"/>
  <c r="Z113" i="1"/>
  <c r="AA112" i="1"/>
  <c r="W112" i="1"/>
  <c r="X111" i="1"/>
  <c r="Y110" i="1"/>
  <c r="Z109" i="1"/>
  <c r="AA108" i="1"/>
  <c r="W108" i="1"/>
  <c r="X107" i="1"/>
  <c r="Y106" i="1"/>
  <c r="Z105" i="1"/>
  <c r="AA104" i="1"/>
  <c r="W104" i="1"/>
  <c r="X103" i="1"/>
  <c r="Y102" i="1"/>
  <c r="Z101" i="1"/>
  <c r="AA100" i="1"/>
  <c r="W100" i="1"/>
  <c r="X99" i="1"/>
  <c r="Y98" i="1"/>
  <c r="Z97" i="1"/>
  <c r="AA96" i="1"/>
  <c r="W96" i="1"/>
  <c r="X95" i="1"/>
  <c r="Y94" i="1"/>
  <c r="Z93" i="1"/>
  <c r="AA92" i="1"/>
  <c r="Z91" i="1"/>
  <c r="Z90" i="1"/>
  <c r="Z89" i="1"/>
  <c r="Y88" i="1"/>
  <c r="Y87" i="1"/>
  <c r="Y86" i="1"/>
  <c r="X85" i="1"/>
  <c r="X84" i="1"/>
  <c r="W82" i="1"/>
  <c r="Z73" i="1"/>
  <c r="Z57" i="1"/>
  <c r="Z41" i="1"/>
  <c r="Y38" i="1"/>
  <c r="Z10" i="1"/>
  <c r="W10" i="1"/>
  <c r="AA10" i="1"/>
  <c r="X10" i="1"/>
  <c r="Y10" i="1"/>
  <c r="Z74" i="1"/>
  <c r="W74" i="1"/>
  <c r="AA74" i="1"/>
  <c r="X74" i="1"/>
  <c r="Z58" i="1"/>
  <c r="W58" i="1"/>
  <c r="AA58" i="1"/>
  <c r="X58" i="1"/>
  <c r="AE84" i="1"/>
  <c r="X80" i="1"/>
  <c r="Y80" i="1"/>
  <c r="Z80" i="1"/>
  <c r="X76" i="1"/>
  <c r="Y76" i="1"/>
  <c r="Z76" i="1"/>
  <c r="X72" i="1"/>
  <c r="Y72" i="1"/>
  <c r="Z72" i="1"/>
  <c r="X68" i="1"/>
  <c r="Y68" i="1"/>
  <c r="Z68" i="1"/>
  <c r="X64" i="1"/>
  <c r="Y64" i="1"/>
  <c r="Z64" i="1"/>
  <c r="X60" i="1"/>
  <c r="Y60" i="1"/>
  <c r="Z60" i="1"/>
  <c r="X56" i="1"/>
  <c r="Y56" i="1"/>
  <c r="Z56" i="1"/>
  <c r="X52" i="1"/>
  <c r="Y52" i="1"/>
  <c r="Z52" i="1"/>
  <c r="X48" i="1"/>
  <c r="Y48" i="1"/>
  <c r="Z48" i="1"/>
  <c r="X44" i="1"/>
  <c r="Y44" i="1"/>
  <c r="Z44" i="1"/>
  <c r="X40" i="1"/>
  <c r="Y40" i="1"/>
  <c r="Z40" i="1"/>
  <c r="X36" i="1"/>
  <c r="Y36" i="1"/>
  <c r="Z36" i="1"/>
  <c r="X32" i="1"/>
  <c r="Y32" i="1"/>
  <c r="Z32" i="1"/>
  <c r="Y28" i="1"/>
  <c r="Z28" i="1"/>
  <c r="X28" i="1"/>
  <c r="AA28" i="1"/>
  <c r="X24" i="1"/>
  <c r="Y24" i="1"/>
  <c r="Z24" i="1"/>
  <c r="W24" i="1"/>
  <c r="X20" i="1"/>
  <c r="Y20" i="1"/>
  <c r="Z20" i="1"/>
  <c r="W20" i="1"/>
  <c r="AA20" i="1"/>
  <c r="X16" i="1"/>
  <c r="Y16" i="1"/>
  <c r="Z16" i="1"/>
  <c r="W16" i="1"/>
  <c r="AA16" i="1"/>
  <c r="W13" i="1"/>
  <c r="AA13" i="1"/>
  <c r="X13" i="1"/>
  <c r="Y13" i="1"/>
  <c r="Z13" i="1"/>
  <c r="Y117" i="1"/>
  <c r="Z116" i="1"/>
  <c r="AA115" i="1"/>
  <c r="W115" i="1"/>
  <c r="X114" i="1"/>
  <c r="Y113" i="1"/>
  <c r="Z112" i="1"/>
  <c r="AA111" i="1"/>
  <c r="W111" i="1"/>
  <c r="X110" i="1"/>
  <c r="Y109" i="1"/>
  <c r="Z108" i="1"/>
  <c r="AA107" i="1"/>
  <c r="W107" i="1"/>
  <c r="X106" i="1"/>
  <c r="Y105" i="1"/>
  <c r="Z104" i="1"/>
  <c r="AA103" i="1"/>
  <c r="W103" i="1"/>
  <c r="X102" i="1"/>
  <c r="Y101" i="1"/>
  <c r="Z100" i="1"/>
  <c r="AA99" i="1"/>
  <c r="W99" i="1"/>
  <c r="X98" i="1"/>
  <c r="Y97" i="1"/>
  <c r="Z96" i="1"/>
  <c r="AA95" i="1"/>
  <c r="W95" i="1"/>
  <c r="X94" i="1"/>
  <c r="Y93" i="1"/>
  <c r="Y92" i="1"/>
  <c r="Y90" i="1"/>
  <c r="X89" i="1"/>
  <c r="X88" i="1"/>
  <c r="W86" i="1"/>
  <c r="AC86" i="1" s="1"/>
  <c r="W85" i="1"/>
  <c r="W84" i="1"/>
  <c r="AA82" i="1"/>
  <c r="AA81" i="1"/>
  <c r="W76" i="1"/>
  <c r="AA72" i="1"/>
  <c r="Z69" i="1"/>
  <c r="Y66" i="1"/>
  <c r="W60" i="1"/>
  <c r="AA56" i="1"/>
  <c r="Z53" i="1"/>
  <c r="Y50" i="1"/>
  <c r="W44" i="1"/>
  <c r="AA40" i="1"/>
  <c r="Z37" i="1"/>
  <c r="Y34" i="1"/>
  <c r="Z21" i="1"/>
  <c r="Z70" i="1"/>
  <c r="W70" i="1"/>
  <c r="AA70" i="1"/>
  <c r="X70" i="1"/>
  <c r="Z54" i="1"/>
  <c r="W54" i="1"/>
  <c r="AA54" i="1"/>
  <c r="X54" i="1"/>
  <c r="X8" i="1"/>
  <c r="Y8" i="1"/>
  <c r="Z8" i="1"/>
  <c r="W8" i="1"/>
  <c r="W9" i="1"/>
  <c r="AA9" i="1"/>
  <c r="X9" i="1"/>
  <c r="Y9" i="1"/>
  <c r="Z9" i="1"/>
  <c r="W91" i="1"/>
  <c r="AA91" i="1"/>
  <c r="W87" i="1"/>
  <c r="AC87" i="1" s="1"/>
  <c r="AA87" i="1"/>
  <c r="W83" i="1"/>
  <c r="AC83" i="1" s="1"/>
  <c r="AA83" i="1"/>
  <c r="Y79" i="1"/>
  <c r="Z79" i="1"/>
  <c r="W79" i="1"/>
  <c r="AA79" i="1"/>
  <c r="Y75" i="1"/>
  <c r="Z75" i="1"/>
  <c r="W75" i="1"/>
  <c r="AA75" i="1"/>
  <c r="Y71" i="1"/>
  <c r="Z71" i="1"/>
  <c r="W71" i="1"/>
  <c r="AA71" i="1"/>
  <c r="Y67" i="1"/>
  <c r="Z67" i="1"/>
  <c r="W67" i="1"/>
  <c r="AA67" i="1"/>
  <c r="Y63" i="1"/>
  <c r="Z63" i="1"/>
  <c r="W63" i="1"/>
  <c r="AA63" i="1"/>
  <c r="Y59" i="1"/>
  <c r="Z59" i="1"/>
  <c r="W59" i="1"/>
  <c r="AA59" i="1"/>
  <c r="Y55" i="1"/>
  <c r="Z55" i="1"/>
  <c r="W55" i="1"/>
  <c r="AA55" i="1"/>
  <c r="Y51" i="1"/>
  <c r="Z51" i="1"/>
  <c r="W51" i="1"/>
  <c r="AC51" i="1" s="1"/>
  <c r="AA51" i="1"/>
  <c r="Y47" i="1"/>
  <c r="Z47" i="1"/>
  <c r="W47" i="1"/>
  <c r="AC47" i="1" s="1"/>
  <c r="AA47" i="1"/>
  <c r="Y43" i="1"/>
  <c r="Z43" i="1"/>
  <c r="W43" i="1"/>
  <c r="AA43" i="1"/>
  <c r="Y39" i="1"/>
  <c r="Z39" i="1"/>
  <c r="W39" i="1"/>
  <c r="AC39" i="1" s="1"/>
  <c r="AA39" i="1"/>
  <c r="Y35" i="1"/>
  <c r="Z35" i="1"/>
  <c r="W35" i="1"/>
  <c r="AA35" i="1"/>
  <c r="Z31" i="1"/>
  <c r="X31" i="1"/>
  <c r="Y31" i="1"/>
  <c r="AA31" i="1"/>
  <c r="Y27" i="1"/>
  <c r="Z27" i="1"/>
  <c r="W27" i="1"/>
  <c r="AA27" i="1"/>
  <c r="X27" i="1"/>
  <c r="Y23" i="1"/>
  <c r="Z23" i="1"/>
  <c r="W23" i="1"/>
  <c r="AA23" i="1"/>
  <c r="X23" i="1"/>
  <c r="Y19" i="1"/>
  <c r="Z19" i="1"/>
  <c r="W19" i="1"/>
  <c r="AA19" i="1"/>
  <c r="X19" i="1"/>
  <c r="Y15" i="1"/>
  <c r="Z15" i="1"/>
  <c r="W15" i="1"/>
  <c r="AC15" i="1" s="1"/>
  <c r="AA15" i="1"/>
  <c r="X12" i="1"/>
  <c r="Y12" i="1"/>
  <c r="Z12" i="1"/>
  <c r="AA12" i="1"/>
  <c r="AA114" i="1"/>
  <c r="AA110" i="1"/>
  <c r="AA106" i="1"/>
  <c r="AA102" i="1"/>
  <c r="AA98" i="1"/>
  <c r="AA94" i="1"/>
  <c r="X92" i="1"/>
  <c r="X91" i="1"/>
  <c r="W90" i="1"/>
  <c r="AC90" i="1" s="1"/>
  <c r="W89" i="1"/>
  <c r="W88" i="1"/>
  <c r="AA86" i="1"/>
  <c r="AA85" i="1"/>
  <c r="AA84" i="1"/>
  <c r="Z83" i="1"/>
  <c r="Z82" i="1"/>
  <c r="Z81" i="1"/>
  <c r="Y78" i="1"/>
  <c r="X75" i="1"/>
  <c r="W72" i="1"/>
  <c r="AA68" i="1"/>
  <c r="Z65" i="1"/>
  <c r="Y62" i="1"/>
  <c r="X59" i="1"/>
  <c r="W56" i="1"/>
  <c r="AA52" i="1"/>
  <c r="Z49" i="1"/>
  <c r="Y46" i="1"/>
  <c r="X43" i="1"/>
  <c r="W40" i="1"/>
  <c r="AA36" i="1"/>
  <c r="Z33" i="1"/>
  <c r="Z29" i="1"/>
  <c r="Y18" i="1"/>
  <c r="AC117" i="1" l="1"/>
  <c r="AG98" i="1"/>
  <c r="AK98" i="1"/>
  <c r="AH98" i="1"/>
  <c r="AI98" i="1"/>
  <c r="AJ98" i="1"/>
  <c r="AJ31" i="1"/>
  <c r="AG31" i="1"/>
  <c r="AK31" i="1"/>
  <c r="AH31" i="1"/>
  <c r="AI31" i="1"/>
  <c r="AJ43" i="1"/>
  <c r="AG43" i="1"/>
  <c r="AK43" i="1"/>
  <c r="AH43" i="1"/>
  <c r="AI43" i="1"/>
  <c r="AJ55" i="1"/>
  <c r="AG55" i="1"/>
  <c r="AK55" i="1"/>
  <c r="AH55" i="1"/>
  <c r="AI55" i="1"/>
  <c r="AJ67" i="1"/>
  <c r="AG67" i="1"/>
  <c r="AK67" i="1"/>
  <c r="AH67" i="1"/>
  <c r="AI67" i="1"/>
  <c r="AJ79" i="1"/>
  <c r="AG79" i="1"/>
  <c r="AK79" i="1"/>
  <c r="AH79" i="1"/>
  <c r="AI79" i="1"/>
  <c r="AG70" i="1"/>
  <c r="AK70" i="1"/>
  <c r="AH70" i="1"/>
  <c r="AI70" i="1"/>
  <c r="AJ70" i="1"/>
  <c r="AH81" i="1"/>
  <c r="AI81" i="1"/>
  <c r="AJ81" i="1"/>
  <c r="AG81" i="1"/>
  <c r="AK81" i="1"/>
  <c r="AG78" i="1"/>
  <c r="AK78" i="1"/>
  <c r="AH78" i="1"/>
  <c r="AI78" i="1"/>
  <c r="AJ78" i="1"/>
  <c r="AG14" i="1"/>
  <c r="AK14" i="1"/>
  <c r="AH14" i="1"/>
  <c r="AI14" i="1"/>
  <c r="AJ14" i="1"/>
  <c r="AI24" i="1"/>
  <c r="AJ24" i="1"/>
  <c r="AK24" i="1"/>
  <c r="AG24" i="1"/>
  <c r="AH24" i="1"/>
  <c r="AG86" i="1"/>
  <c r="AK86" i="1"/>
  <c r="AH86" i="1"/>
  <c r="AI86" i="1"/>
  <c r="AJ86" i="1"/>
  <c r="AG102" i="1"/>
  <c r="AK102" i="1"/>
  <c r="AH102" i="1"/>
  <c r="AI102" i="1"/>
  <c r="AJ102" i="1"/>
  <c r="AI12" i="1"/>
  <c r="AJ12" i="1"/>
  <c r="AG12" i="1"/>
  <c r="AH12" i="1"/>
  <c r="AK12" i="1"/>
  <c r="AJ15" i="1"/>
  <c r="AG15" i="1"/>
  <c r="AK15" i="1"/>
  <c r="AH15" i="1"/>
  <c r="AI15" i="1"/>
  <c r="AC79" i="1"/>
  <c r="AH9" i="1"/>
  <c r="AI9" i="1"/>
  <c r="AG9" i="1"/>
  <c r="AJ9" i="1"/>
  <c r="AK9" i="1"/>
  <c r="AG82" i="1"/>
  <c r="AK82" i="1"/>
  <c r="AH82" i="1"/>
  <c r="AI82" i="1"/>
  <c r="AJ82" i="1"/>
  <c r="AJ99" i="1"/>
  <c r="AG99" i="1"/>
  <c r="AK99" i="1"/>
  <c r="AH99" i="1"/>
  <c r="AI99" i="1"/>
  <c r="AJ115" i="1"/>
  <c r="AI115" i="1"/>
  <c r="AG115" i="1"/>
  <c r="AK115" i="1"/>
  <c r="AH115" i="1"/>
  <c r="AI16" i="1"/>
  <c r="AJ16" i="1"/>
  <c r="AK16" i="1"/>
  <c r="AG16" i="1"/>
  <c r="AH16" i="1"/>
  <c r="AG10" i="1"/>
  <c r="AK10" i="1"/>
  <c r="AH10" i="1"/>
  <c r="AI10" i="1"/>
  <c r="AJ10" i="1"/>
  <c r="AI92" i="1"/>
  <c r="AJ92" i="1"/>
  <c r="AG92" i="1"/>
  <c r="AK92" i="1"/>
  <c r="AH92" i="1"/>
  <c r="AG108" i="1"/>
  <c r="AI108" i="1"/>
  <c r="AJ108" i="1"/>
  <c r="AH108" i="1"/>
  <c r="AK108" i="1"/>
  <c r="AH17" i="1"/>
  <c r="AI17" i="1"/>
  <c r="AG17" i="1"/>
  <c r="AJ17" i="1"/>
  <c r="AK17" i="1"/>
  <c r="AH21" i="1"/>
  <c r="AI21" i="1"/>
  <c r="AJ21" i="1"/>
  <c r="AK21" i="1"/>
  <c r="AG21" i="1"/>
  <c r="AH29" i="1"/>
  <c r="AI29" i="1"/>
  <c r="AJ29" i="1"/>
  <c r="AK29" i="1"/>
  <c r="AG29" i="1"/>
  <c r="AI48" i="1"/>
  <c r="AJ48" i="1"/>
  <c r="AK48" i="1"/>
  <c r="AG48" i="1"/>
  <c r="AH48" i="1"/>
  <c r="AH101" i="1"/>
  <c r="AI101" i="1"/>
  <c r="AJ101" i="1"/>
  <c r="AG101" i="1"/>
  <c r="AK101" i="1"/>
  <c r="AI117" i="1"/>
  <c r="AJ117" i="1"/>
  <c r="AH117" i="1"/>
  <c r="AK117" i="1"/>
  <c r="AG117" i="1"/>
  <c r="AG22" i="1"/>
  <c r="AK22" i="1"/>
  <c r="AH22" i="1"/>
  <c r="AI22" i="1"/>
  <c r="AJ22" i="1"/>
  <c r="AJ7" i="1"/>
  <c r="AG7" i="1"/>
  <c r="AK7" i="1"/>
  <c r="AH7" i="1"/>
  <c r="AI7" i="1"/>
  <c r="AI68" i="1"/>
  <c r="AJ68" i="1"/>
  <c r="AG68" i="1"/>
  <c r="AH68" i="1"/>
  <c r="AK68" i="1"/>
  <c r="AJ27" i="1"/>
  <c r="AG27" i="1"/>
  <c r="AK27" i="1"/>
  <c r="AH27" i="1"/>
  <c r="AI27" i="1"/>
  <c r="AJ47" i="1"/>
  <c r="AG47" i="1"/>
  <c r="AK47" i="1"/>
  <c r="AH47" i="1"/>
  <c r="AI47" i="1"/>
  <c r="AJ59" i="1"/>
  <c r="AG59" i="1"/>
  <c r="AK59" i="1"/>
  <c r="AH59" i="1"/>
  <c r="AI59" i="1"/>
  <c r="AJ71" i="1"/>
  <c r="AG71" i="1"/>
  <c r="AK71" i="1"/>
  <c r="AH71" i="1"/>
  <c r="AI71" i="1"/>
  <c r="AJ91" i="1"/>
  <c r="AG91" i="1"/>
  <c r="AK91" i="1"/>
  <c r="AH91" i="1"/>
  <c r="AI91" i="1"/>
  <c r="AG54" i="1"/>
  <c r="AK54" i="1"/>
  <c r="AH54" i="1"/>
  <c r="AI54" i="1"/>
  <c r="AJ54" i="1"/>
  <c r="AJ111" i="1"/>
  <c r="AI111" i="1"/>
  <c r="AG111" i="1"/>
  <c r="AK111" i="1"/>
  <c r="AH111" i="1"/>
  <c r="AG58" i="1"/>
  <c r="AK58" i="1"/>
  <c r="AH58" i="1"/>
  <c r="AI58" i="1"/>
  <c r="AJ58" i="1"/>
  <c r="AI104" i="1"/>
  <c r="AJ104" i="1"/>
  <c r="AG104" i="1"/>
  <c r="AK104" i="1"/>
  <c r="AH104" i="1"/>
  <c r="AG62" i="1"/>
  <c r="AK62" i="1"/>
  <c r="AH62" i="1"/>
  <c r="AI62" i="1"/>
  <c r="AJ62" i="1"/>
  <c r="AH113" i="1"/>
  <c r="AG113" i="1"/>
  <c r="AI113" i="1"/>
  <c r="AJ113" i="1"/>
  <c r="AK113" i="1"/>
  <c r="AG18" i="1"/>
  <c r="AK18" i="1"/>
  <c r="AH18" i="1"/>
  <c r="AI18" i="1"/>
  <c r="AJ18" i="1"/>
  <c r="AI60" i="1"/>
  <c r="AJ60" i="1"/>
  <c r="AG60" i="1"/>
  <c r="AH60" i="1"/>
  <c r="AK60" i="1"/>
  <c r="AI36" i="1"/>
  <c r="AJ36" i="1"/>
  <c r="AG36" i="1"/>
  <c r="AH36" i="1"/>
  <c r="AK36" i="1"/>
  <c r="AG106" i="1"/>
  <c r="AK106" i="1"/>
  <c r="AH106" i="1"/>
  <c r="AI106" i="1"/>
  <c r="AJ106" i="1"/>
  <c r="AJ19" i="1"/>
  <c r="AG19" i="1"/>
  <c r="AK19" i="1"/>
  <c r="AH19" i="1"/>
  <c r="AI19" i="1"/>
  <c r="AJ87" i="1"/>
  <c r="AG87" i="1"/>
  <c r="AK87" i="1"/>
  <c r="AH87" i="1"/>
  <c r="AI87" i="1"/>
  <c r="AI40" i="1"/>
  <c r="AJ40" i="1"/>
  <c r="AK40" i="1"/>
  <c r="AG40" i="1"/>
  <c r="AH40" i="1"/>
  <c r="AI56" i="1"/>
  <c r="AJ56" i="1"/>
  <c r="AK56" i="1"/>
  <c r="AG56" i="1"/>
  <c r="AH56" i="1"/>
  <c r="AI72" i="1"/>
  <c r="AJ72" i="1"/>
  <c r="AK72" i="1"/>
  <c r="AG72" i="1"/>
  <c r="AH72" i="1"/>
  <c r="AJ103" i="1"/>
  <c r="AG103" i="1"/>
  <c r="AK103" i="1"/>
  <c r="AH103" i="1"/>
  <c r="AI103" i="1"/>
  <c r="AI20" i="1"/>
  <c r="AJ20" i="1"/>
  <c r="AG20" i="1"/>
  <c r="AH20" i="1"/>
  <c r="AK20" i="1"/>
  <c r="AI96" i="1"/>
  <c r="AJ96" i="1"/>
  <c r="AG96" i="1"/>
  <c r="AK96" i="1"/>
  <c r="AH96" i="1"/>
  <c r="AI112" i="1"/>
  <c r="AJ112" i="1"/>
  <c r="AG112" i="1"/>
  <c r="AK112" i="1"/>
  <c r="AH112" i="1"/>
  <c r="AJ11" i="1"/>
  <c r="AG11" i="1"/>
  <c r="AK11" i="1"/>
  <c r="AH11" i="1"/>
  <c r="AI11" i="1"/>
  <c r="AH25" i="1"/>
  <c r="AI25" i="1"/>
  <c r="AG25" i="1"/>
  <c r="AJ25" i="1"/>
  <c r="AK25" i="1"/>
  <c r="AH33" i="1"/>
  <c r="AI33" i="1"/>
  <c r="AG33" i="1"/>
  <c r="AJ33" i="1"/>
  <c r="AK33" i="1"/>
  <c r="AH37" i="1"/>
  <c r="AI37" i="1"/>
  <c r="AJ37" i="1"/>
  <c r="AK37" i="1"/>
  <c r="AG37" i="1"/>
  <c r="AH41" i="1"/>
  <c r="AI41" i="1"/>
  <c r="AG41" i="1"/>
  <c r="AJ41" i="1"/>
  <c r="AK41" i="1"/>
  <c r="AH45" i="1"/>
  <c r="AI45" i="1"/>
  <c r="AJ45" i="1"/>
  <c r="AK45" i="1"/>
  <c r="AG45" i="1"/>
  <c r="AH49" i="1"/>
  <c r="AI49" i="1"/>
  <c r="AG49" i="1"/>
  <c r="AJ49" i="1"/>
  <c r="AK49" i="1"/>
  <c r="AH53" i="1"/>
  <c r="AI53" i="1"/>
  <c r="AJ53" i="1"/>
  <c r="AK53" i="1"/>
  <c r="AG53" i="1"/>
  <c r="AH57" i="1"/>
  <c r="AI57" i="1"/>
  <c r="AG57" i="1"/>
  <c r="AJ57" i="1"/>
  <c r="AK57" i="1"/>
  <c r="AH61" i="1"/>
  <c r="AI61" i="1"/>
  <c r="AJ61" i="1"/>
  <c r="AK61" i="1"/>
  <c r="AG61" i="1"/>
  <c r="AH65" i="1"/>
  <c r="AI65" i="1"/>
  <c r="AG65" i="1"/>
  <c r="AJ65" i="1"/>
  <c r="AK65" i="1"/>
  <c r="AH69" i="1"/>
  <c r="AI69" i="1"/>
  <c r="AJ69" i="1"/>
  <c r="AK69" i="1"/>
  <c r="AG69" i="1"/>
  <c r="AH73" i="1"/>
  <c r="AI73" i="1"/>
  <c r="AG73" i="1"/>
  <c r="AJ73" i="1"/>
  <c r="AK73" i="1"/>
  <c r="AH77" i="1"/>
  <c r="AI77" i="1"/>
  <c r="AJ77" i="1"/>
  <c r="AG77" i="1"/>
  <c r="AK77" i="1"/>
  <c r="AI64" i="1"/>
  <c r="AJ64" i="1"/>
  <c r="AK64" i="1"/>
  <c r="AG64" i="1"/>
  <c r="AH64" i="1"/>
  <c r="AI88" i="1"/>
  <c r="AJ88" i="1"/>
  <c r="AG88" i="1"/>
  <c r="AK88" i="1"/>
  <c r="AH88" i="1"/>
  <c r="AC93" i="1"/>
  <c r="AH105" i="1"/>
  <c r="AI105" i="1"/>
  <c r="AJ105" i="1"/>
  <c r="AK105" i="1"/>
  <c r="AG105" i="1"/>
  <c r="AC109" i="1"/>
  <c r="AG26" i="1"/>
  <c r="AK26" i="1"/>
  <c r="AH26" i="1"/>
  <c r="AI26" i="1"/>
  <c r="AJ26" i="1"/>
  <c r="AI76" i="1"/>
  <c r="AJ76" i="1"/>
  <c r="AG76" i="1"/>
  <c r="AK76" i="1"/>
  <c r="AH76" i="1"/>
  <c r="AH85" i="1"/>
  <c r="AI85" i="1"/>
  <c r="AJ85" i="1"/>
  <c r="AK85" i="1"/>
  <c r="AG85" i="1"/>
  <c r="AG114" i="1"/>
  <c r="AK114" i="1"/>
  <c r="AH114" i="1"/>
  <c r="AJ114" i="1"/>
  <c r="AI114" i="1"/>
  <c r="AJ35" i="1"/>
  <c r="AG35" i="1"/>
  <c r="AK35" i="1"/>
  <c r="AH35" i="1"/>
  <c r="AI35" i="1"/>
  <c r="AJ39" i="1"/>
  <c r="AG39" i="1"/>
  <c r="AK39" i="1"/>
  <c r="AH39" i="1"/>
  <c r="AI39" i="1"/>
  <c r="AJ51" i="1"/>
  <c r="AG51" i="1"/>
  <c r="AK51" i="1"/>
  <c r="AH51" i="1"/>
  <c r="AI51" i="1"/>
  <c r="AJ63" i="1"/>
  <c r="AG63" i="1"/>
  <c r="AK63" i="1"/>
  <c r="AH63" i="1"/>
  <c r="AI63" i="1"/>
  <c r="AJ75" i="1"/>
  <c r="AG75" i="1"/>
  <c r="AK75" i="1"/>
  <c r="AH75" i="1"/>
  <c r="AI75" i="1"/>
  <c r="AJ83" i="1"/>
  <c r="AG83" i="1"/>
  <c r="AK83" i="1"/>
  <c r="AH83" i="1"/>
  <c r="AI83" i="1"/>
  <c r="AJ95" i="1"/>
  <c r="AG95" i="1"/>
  <c r="AK95" i="1"/>
  <c r="AH95" i="1"/>
  <c r="AI95" i="1"/>
  <c r="AG74" i="1"/>
  <c r="AK74" i="1"/>
  <c r="AH74" i="1"/>
  <c r="AI74" i="1"/>
  <c r="AJ74" i="1"/>
  <c r="AG90" i="1"/>
  <c r="AK90" i="1"/>
  <c r="AH90" i="1"/>
  <c r="AI90" i="1"/>
  <c r="AJ90" i="1"/>
  <c r="AH97" i="1"/>
  <c r="AI97" i="1"/>
  <c r="AJ97" i="1"/>
  <c r="AG97" i="1"/>
  <c r="AK97" i="1"/>
  <c r="AG30" i="1"/>
  <c r="AK30" i="1"/>
  <c r="AH30" i="1"/>
  <c r="AI30" i="1"/>
  <c r="AJ30" i="1"/>
  <c r="AI44" i="1"/>
  <c r="AJ44" i="1"/>
  <c r="AG44" i="1"/>
  <c r="AH44" i="1"/>
  <c r="AK44" i="1"/>
  <c r="AI52" i="1"/>
  <c r="AJ52" i="1"/>
  <c r="AG52" i="1"/>
  <c r="AH52" i="1"/>
  <c r="AK52" i="1"/>
  <c r="AI84" i="1"/>
  <c r="AJ84" i="1"/>
  <c r="AG84" i="1"/>
  <c r="AK84" i="1"/>
  <c r="AH84" i="1"/>
  <c r="AG94" i="1"/>
  <c r="AK94" i="1"/>
  <c r="AH94" i="1"/>
  <c r="AI94" i="1"/>
  <c r="AJ94" i="1"/>
  <c r="AG110" i="1"/>
  <c r="AK110" i="1"/>
  <c r="AH110" i="1"/>
  <c r="AJ110" i="1"/>
  <c r="AI110" i="1"/>
  <c r="AJ23" i="1"/>
  <c r="AG23" i="1"/>
  <c r="AK23" i="1"/>
  <c r="AH23" i="1"/>
  <c r="AI23" i="1"/>
  <c r="AJ107" i="1"/>
  <c r="AG107" i="1"/>
  <c r="AK107" i="1"/>
  <c r="AH107" i="1"/>
  <c r="AI107" i="1"/>
  <c r="AH13" i="1"/>
  <c r="AI13" i="1"/>
  <c r="AJ13" i="1"/>
  <c r="AK13" i="1"/>
  <c r="AG13" i="1"/>
  <c r="AI28" i="1"/>
  <c r="AJ28" i="1"/>
  <c r="AG28" i="1"/>
  <c r="AH28" i="1"/>
  <c r="AK28" i="1"/>
  <c r="AI100" i="1"/>
  <c r="AJ100" i="1"/>
  <c r="AG100" i="1"/>
  <c r="AK100" i="1"/>
  <c r="AH100" i="1"/>
  <c r="AI116" i="1"/>
  <c r="AJ116" i="1"/>
  <c r="AG116" i="1"/>
  <c r="AK116" i="1"/>
  <c r="AH116" i="1"/>
  <c r="AI32" i="1"/>
  <c r="AJ32" i="1"/>
  <c r="AK32" i="1"/>
  <c r="AG32" i="1"/>
  <c r="AH32" i="1"/>
  <c r="AI80" i="1"/>
  <c r="AJ80" i="1"/>
  <c r="AG80" i="1"/>
  <c r="AK80" i="1"/>
  <c r="AH80" i="1"/>
  <c r="AH89" i="1"/>
  <c r="AI89" i="1"/>
  <c r="AJ89" i="1"/>
  <c r="AK89" i="1"/>
  <c r="AG89" i="1"/>
  <c r="AH93" i="1"/>
  <c r="AI93" i="1"/>
  <c r="AJ93" i="1"/>
  <c r="AG93" i="1"/>
  <c r="AK93" i="1"/>
  <c r="AH109" i="1"/>
  <c r="AG109" i="1"/>
  <c r="AI109" i="1"/>
  <c r="AJ109" i="1"/>
  <c r="AK109" i="1"/>
  <c r="AG34" i="1"/>
  <c r="AK34" i="1"/>
  <c r="AH34" i="1"/>
  <c r="AI34" i="1"/>
  <c r="AJ34" i="1"/>
  <c r="AG38" i="1"/>
  <c r="AK38" i="1"/>
  <c r="AH38" i="1"/>
  <c r="AI38" i="1"/>
  <c r="AJ38" i="1"/>
  <c r="AG42" i="1"/>
  <c r="AK42" i="1"/>
  <c r="AH42" i="1"/>
  <c r="AI42" i="1"/>
  <c r="AJ42" i="1"/>
  <c r="AG46" i="1"/>
  <c r="AK46" i="1"/>
  <c r="AH46" i="1"/>
  <c r="AI46" i="1"/>
  <c r="AJ46" i="1"/>
  <c r="AG50" i="1"/>
  <c r="AK50" i="1"/>
  <c r="AH50" i="1"/>
  <c r="AI50" i="1"/>
  <c r="AJ50" i="1"/>
  <c r="AG66" i="1"/>
  <c r="AK66" i="1"/>
  <c r="AH66" i="1"/>
  <c r="AI66" i="1"/>
  <c r="AJ66" i="1"/>
  <c r="AI8" i="1"/>
  <c r="AJ8" i="1"/>
  <c r="AK8" i="1"/>
  <c r="AG8" i="1"/>
  <c r="AH8" i="1"/>
  <c r="AC35" i="1"/>
  <c r="AC71" i="1"/>
  <c r="AC113" i="1"/>
  <c r="AC82" i="1"/>
  <c r="AC105" i="1"/>
  <c r="AC55" i="1"/>
  <c r="AC67" i="1"/>
  <c r="AF85" i="1"/>
  <c r="AF114" i="1"/>
  <c r="AD35" i="1"/>
  <c r="AD47" i="1"/>
  <c r="AD55" i="1"/>
  <c r="AD67" i="1"/>
  <c r="AD79" i="1"/>
  <c r="AF72" i="1"/>
  <c r="AC94" i="1"/>
  <c r="AF103" i="1"/>
  <c r="AC110" i="1"/>
  <c r="AF16" i="1"/>
  <c r="AD24" i="1"/>
  <c r="AC32" i="1"/>
  <c r="AC64" i="1"/>
  <c r="AC80" i="1"/>
  <c r="AF10" i="1"/>
  <c r="AF92" i="1"/>
  <c r="AE11" i="1"/>
  <c r="AC21" i="1"/>
  <c r="AD33" i="1"/>
  <c r="AD41" i="1"/>
  <c r="AD53" i="1"/>
  <c r="AD61" i="1"/>
  <c r="AD69" i="1"/>
  <c r="AD104" i="1"/>
  <c r="AE33" i="1"/>
  <c r="AD46" i="1"/>
  <c r="AC59" i="1"/>
  <c r="AE82" i="1"/>
  <c r="AF86" i="1"/>
  <c r="AC91" i="1"/>
  <c r="AF102" i="1"/>
  <c r="AC12" i="1"/>
  <c r="AD15" i="1"/>
  <c r="AE19" i="1"/>
  <c r="AF91" i="1"/>
  <c r="AE8" i="1"/>
  <c r="AE21" i="1"/>
  <c r="AD90" i="1"/>
  <c r="AC98" i="1"/>
  <c r="AD101" i="1"/>
  <c r="AE104" i="1"/>
  <c r="AF107" i="1"/>
  <c r="AC114" i="1"/>
  <c r="AD117" i="1"/>
  <c r="AC20" i="1"/>
  <c r="AC24" i="1"/>
  <c r="AE36" i="1"/>
  <c r="AD40" i="1"/>
  <c r="AE52" i="1"/>
  <c r="AD56" i="1"/>
  <c r="AE68" i="1"/>
  <c r="AE58" i="1"/>
  <c r="AE74" i="1"/>
  <c r="AE57" i="1"/>
  <c r="AD85" i="1"/>
  <c r="AE89" i="1"/>
  <c r="AC11" i="1"/>
  <c r="AC25" i="1"/>
  <c r="AC33" i="1"/>
  <c r="AC37" i="1"/>
  <c r="AC41" i="1"/>
  <c r="AD83" i="1"/>
  <c r="AC43" i="1"/>
  <c r="AE81" i="1"/>
  <c r="AF98" i="1"/>
  <c r="AE15" i="1"/>
  <c r="AC27" i="1"/>
  <c r="AE31" i="1"/>
  <c r="AD39" i="1"/>
  <c r="AD9" i="1"/>
  <c r="AC70" i="1"/>
  <c r="AF56" i="1"/>
  <c r="AD97" i="1"/>
  <c r="AE116" i="1"/>
  <c r="AD13" i="1"/>
  <c r="AD20" i="1"/>
  <c r="AC48" i="1"/>
  <c r="AD7" i="1"/>
  <c r="AC17" i="1"/>
  <c r="AD45" i="1"/>
  <c r="AD57" i="1"/>
  <c r="AD73" i="1"/>
  <c r="AD81" i="1"/>
  <c r="AD42" i="1"/>
  <c r="AE49" i="1"/>
  <c r="AC75" i="1"/>
  <c r="AE83" i="1"/>
  <c r="AC92" i="1"/>
  <c r="AF106" i="1"/>
  <c r="AC63" i="1"/>
  <c r="AD34" i="1"/>
  <c r="AD50" i="1"/>
  <c r="AD66" i="1"/>
  <c r="AF95" i="1"/>
  <c r="AC102" i="1"/>
  <c r="AD105" i="1"/>
  <c r="AE108" i="1"/>
  <c r="AF111" i="1"/>
  <c r="AD10" i="1"/>
  <c r="AE73" i="1"/>
  <c r="AD86" i="1"/>
  <c r="AE17" i="1"/>
  <c r="AF25" i="1"/>
  <c r="AF45" i="1"/>
  <c r="AF61" i="1"/>
  <c r="AF77" i="1"/>
  <c r="AF88" i="1"/>
  <c r="AE29" i="1"/>
  <c r="AF68" i="1"/>
  <c r="AD12" i="1"/>
  <c r="AF23" i="1"/>
  <c r="AD51" i="1"/>
  <c r="AD63" i="1"/>
  <c r="AD71" i="1"/>
  <c r="AC54" i="1"/>
  <c r="AF40" i="1"/>
  <c r="AD89" i="1"/>
  <c r="AE100" i="1"/>
  <c r="AD113" i="1"/>
  <c r="AE41" i="1"/>
  <c r="AE88" i="1"/>
  <c r="AD25" i="1"/>
  <c r="AD37" i="1"/>
  <c r="AD49" i="1"/>
  <c r="AD65" i="1"/>
  <c r="AD77" i="1"/>
  <c r="AD82" i="1"/>
  <c r="AF36" i="1"/>
  <c r="AD62" i="1"/>
  <c r="AD18" i="1"/>
  <c r="AF52" i="1"/>
  <c r="AE65" i="1"/>
  <c r="AD78" i="1"/>
  <c r="AF84" i="1"/>
  <c r="AF94" i="1"/>
  <c r="AF110" i="1"/>
  <c r="AC31" i="1"/>
  <c r="AF87" i="1"/>
  <c r="AE54" i="1"/>
  <c r="AE70" i="1"/>
  <c r="AE37" i="1"/>
  <c r="AE53" i="1"/>
  <c r="AE69" i="1"/>
  <c r="AD93" i="1"/>
  <c r="AE96" i="1"/>
  <c r="AF99" i="1"/>
  <c r="AC106" i="1"/>
  <c r="AD109" i="1"/>
  <c r="AE112" i="1"/>
  <c r="AF115" i="1"/>
  <c r="AC28" i="1"/>
  <c r="AC36" i="1"/>
  <c r="AC52" i="1"/>
  <c r="AC68" i="1"/>
  <c r="AD38" i="1"/>
  <c r="AD87" i="1"/>
  <c r="AE91" i="1"/>
  <c r="AC62" i="1"/>
  <c r="AC78" i="1"/>
  <c r="AE85" i="1"/>
  <c r="AD100" i="1"/>
  <c r="AE103" i="1"/>
  <c r="AD116" i="1"/>
  <c r="AD22" i="1"/>
  <c r="AD72" i="1"/>
  <c r="AF26" i="1"/>
  <c r="AC34" i="1"/>
  <c r="AC38" i="1"/>
  <c r="AC42" i="1"/>
  <c r="AC46" i="1"/>
  <c r="AF19" i="1"/>
  <c r="AC23" i="1"/>
  <c r="AC50" i="1"/>
  <c r="AC45" i="1"/>
  <c r="AC49" i="1"/>
  <c r="AC53" i="1"/>
  <c r="AC57" i="1"/>
  <c r="AC61" i="1"/>
  <c r="AC65" i="1"/>
  <c r="AC69" i="1"/>
  <c r="AD29" i="1"/>
  <c r="AE7" i="1"/>
  <c r="AE12" i="1"/>
  <c r="AE27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9" i="1"/>
  <c r="AC8" i="1"/>
  <c r="AE13" i="1"/>
  <c r="AD16" i="1"/>
  <c r="AE20" i="1"/>
  <c r="AE24" i="1"/>
  <c r="AD32" i="1"/>
  <c r="AE44" i="1"/>
  <c r="AD48" i="1"/>
  <c r="AE60" i="1"/>
  <c r="AD64" i="1"/>
  <c r="AE76" i="1"/>
  <c r="AD80" i="1"/>
  <c r="AD14" i="1"/>
  <c r="AD30" i="1"/>
  <c r="AC66" i="1"/>
  <c r="AD75" i="1"/>
  <c r="AF83" i="1"/>
  <c r="AF17" i="1"/>
  <c r="AC73" i="1"/>
  <c r="AC77" i="1"/>
  <c r="AC81" i="1"/>
  <c r="AC58" i="1"/>
  <c r="AC74" i="1"/>
  <c r="AF22" i="1"/>
  <c r="AC26" i="1"/>
  <c r="AE30" i="1"/>
  <c r="AF31" i="1"/>
  <c r="AF39" i="1"/>
  <c r="AF47" i="1"/>
  <c r="AF55" i="1"/>
  <c r="AF63" i="1"/>
  <c r="AF75" i="1"/>
  <c r="AF12" i="1"/>
  <c r="AF15" i="1"/>
  <c r="AC19" i="1"/>
  <c r="AD19" i="1"/>
  <c r="AE23" i="1"/>
  <c r="AD31" i="1"/>
  <c r="AF9" i="1"/>
  <c r="AD8" i="1"/>
  <c r="AF81" i="1"/>
  <c r="AD92" i="1"/>
  <c r="AF13" i="1"/>
  <c r="AE16" i="1"/>
  <c r="AF28" i="1"/>
  <c r="AE32" i="1"/>
  <c r="AD36" i="1"/>
  <c r="AC40" i="1"/>
  <c r="AE48" i="1"/>
  <c r="AD52" i="1"/>
  <c r="AC56" i="1"/>
  <c r="AE64" i="1"/>
  <c r="AD68" i="1"/>
  <c r="AC72" i="1"/>
  <c r="AE80" i="1"/>
  <c r="AC10" i="1"/>
  <c r="AC95" i="1"/>
  <c r="AD98" i="1"/>
  <c r="AE101" i="1"/>
  <c r="AF104" i="1"/>
  <c r="AC111" i="1"/>
  <c r="AD114" i="1"/>
  <c r="AE117" i="1"/>
  <c r="AD17" i="1"/>
  <c r="AD21" i="1"/>
  <c r="AE25" i="1"/>
  <c r="AC29" i="1"/>
  <c r="AF48" i="1"/>
  <c r="AE87" i="1"/>
  <c r="AD95" i="1"/>
  <c r="AE98" i="1"/>
  <c r="AF101" i="1"/>
  <c r="AC108" i="1"/>
  <c r="AD111" i="1"/>
  <c r="AE114" i="1"/>
  <c r="AF117" i="1"/>
  <c r="AF14" i="1"/>
  <c r="AF18" i="1"/>
  <c r="AC22" i="1"/>
  <c r="AD26" i="1"/>
  <c r="AE26" i="1"/>
  <c r="AF30" i="1"/>
  <c r="AF44" i="1"/>
  <c r="AD70" i="1"/>
  <c r="AD91" i="1"/>
  <c r="AD23" i="1"/>
  <c r="AF82" i="1"/>
  <c r="AC88" i="1"/>
  <c r="AE92" i="1"/>
  <c r="AC84" i="1"/>
  <c r="AD88" i="1"/>
  <c r="AC99" i="1"/>
  <c r="AD102" i="1"/>
  <c r="AE105" i="1"/>
  <c r="AF108" i="1"/>
  <c r="AC115" i="1"/>
  <c r="AE62" i="1"/>
  <c r="AE78" i="1"/>
  <c r="AF64" i="1"/>
  <c r="AD84" i="1"/>
  <c r="AC96" i="1"/>
  <c r="AD99" i="1"/>
  <c r="AE102" i="1"/>
  <c r="AF105" i="1"/>
  <c r="AC112" i="1"/>
  <c r="AD115" i="1"/>
  <c r="AC7" i="1"/>
  <c r="AE34" i="1"/>
  <c r="AE38" i="1"/>
  <c r="AE42" i="1"/>
  <c r="AE46" i="1"/>
  <c r="AE50" i="1"/>
  <c r="AE66" i="1"/>
  <c r="AF60" i="1"/>
  <c r="AE45" i="1"/>
  <c r="AE115" i="1"/>
  <c r="AD74" i="1"/>
  <c r="AE99" i="1"/>
  <c r="AD27" i="1"/>
  <c r="AD43" i="1"/>
  <c r="AD59" i="1"/>
  <c r="AC89" i="1"/>
  <c r="AC16" i="1"/>
  <c r="AE28" i="1"/>
  <c r="AE40" i="1"/>
  <c r="AD44" i="1"/>
  <c r="AE56" i="1"/>
  <c r="AD60" i="1"/>
  <c r="AE72" i="1"/>
  <c r="AD76" i="1"/>
  <c r="AC85" i="1"/>
  <c r="AE93" i="1"/>
  <c r="AF96" i="1"/>
  <c r="AC103" i="1"/>
  <c r="AD106" i="1"/>
  <c r="AE109" i="1"/>
  <c r="AF112" i="1"/>
  <c r="AD11" i="1"/>
  <c r="AF21" i="1"/>
  <c r="AF29" i="1"/>
  <c r="AF32" i="1"/>
  <c r="AF80" i="1"/>
  <c r="AF89" i="1"/>
  <c r="AF93" i="1"/>
  <c r="AC100" i="1"/>
  <c r="AD103" i="1"/>
  <c r="AE106" i="1"/>
  <c r="AF109" i="1"/>
  <c r="AC116" i="1"/>
  <c r="AE14" i="1"/>
  <c r="AE18" i="1"/>
  <c r="AF76" i="1"/>
  <c r="AD108" i="1"/>
  <c r="AE61" i="1"/>
  <c r="AD54" i="1"/>
  <c r="AE111" i="1"/>
  <c r="AE95" i="1"/>
  <c r="AF27" i="1"/>
  <c r="AF35" i="1"/>
  <c r="AF43" i="1"/>
  <c r="AF51" i="1"/>
  <c r="AF59" i="1"/>
  <c r="AF67" i="1"/>
  <c r="AF71" i="1"/>
  <c r="AF79" i="1"/>
  <c r="AC9" i="1"/>
  <c r="AF54" i="1"/>
  <c r="AF70" i="1"/>
  <c r="AC13" i="1"/>
  <c r="AF20" i="1"/>
  <c r="AD28" i="1"/>
  <c r="AC44" i="1"/>
  <c r="AC60" i="1"/>
  <c r="AC76" i="1"/>
  <c r="AF58" i="1"/>
  <c r="AF74" i="1"/>
  <c r="AE10" i="1"/>
  <c r="AE90" i="1"/>
  <c r="AD94" i="1"/>
  <c r="AE97" i="1"/>
  <c r="AF100" i="1"/>
  <c r="AC107" i="1"/>
  <c r="AD110" i="1"/>
  <c r="AE113" i="1"/>
  <c r="AF116" i="1"/>
  <c r="AF11" i="1"/>
  <c r="AF33" i="1"/>
  <c r="AF37" i="1"/>
  <c r="AF41" i="1"/>
  <c r="AF49" i="1"/>
  <c r="AF53" i="1"/>
  <c r="AF57" i="1"/>
  <c r="AF65" i="1"/>
  <c r="AF69" i="1"/>
  <c r="AF73" i="1"/>
  <c r="AF62" i="1"/>
  <c r="AF78" i="1"/>
  <c r="AE86" i="1"/>
  <c r="AF90" i="1"/>
  <c r="AE94" i="1"/>
  <c r="AF97" i="1"/>
  <c r="AC104" i="1"/>
  <c r="AD107" i="1"/>
  <c r="AE110" i="1"/>
  <c r="AF113" i="1"/>
  <c r="AC14" i="1"/>
  <c r="AC18" i="1"/>
  <c r="AE22" i="1"/>
  <c r="AC30" i="1"/>
  <c r="AF34" i="1"/>
  <c r="AF38" i="1"/>
  <c r="AF42" i="1"/>
  <c r="AF46" i="1"/>
  <c r="AF50" i="1"/>
  <c r="AF66" i="1"/>
  <c r="AF24" i="1"/>
  <c r="AD96" i="1"/>
  <c r="AD112" i="1"/>
  <c r="AE77" i="1"/>
  <c r="AF7" i="1"/>
  <c r="AD58" i="1"/>
  <c r="AF8" i="1"/>
  <c r="AE107" i="1"/>
  <c r="AI3" i="1" l="1"/>
  <c r="AJ3" i="1"/>
  <c r="AH3" i="1"/>
  <c r="AH4" i="1"/>
  <c r="AH5" i="1" s="1"/>
  <c r="AJ4" i="1"/>
  <c r="AJ5" i="1" s="1"/>
  <c r="AK3" i="1"/>
  <c r="AK4" i="1"/>
  <c r="AK5" i="1" s="1"/>
  <c r="AG3" i="1"/>
  <c r="AI4" i="1"/>
  <c r="AI5" i="1" s="1"/>
  <c r="AG4" i="1"/>
  <c r="AG5" i="1" s="1"/>
  <c r="AE4" i="1"/>
  <c r="AD4" i="1"/>
  <c r="AF4" i="1"/>
  <c r="AC4" i="1"/>
  <c r="M2" i="1" l="1"/>
</calcChain>
</file>

<file path=xl/sharedStrings.xml><?xml version="1.0" encoding="utf-8"?>
<sst xmlns="http://schemas.openxmlformats.org/spreadsheetml/2006/main" count="20412" uniqueCount="2482">
  <si>
    <t>Case</t>
  </si>
  <si>
    <t>Multi-Start Run</t>
  </si>
  <si>
    <t>Economic Objective Function (M$/d)</t>
  </si>
  <si>
    <t>Optimizer Objective Function (M$/d)</t>
  </si>
  <si>
    <t>Infeasibility Breaker Cost (M$/d)</t>
  </si>
  <si>
    <t>Solution Time (s)</t>
  </si>
  <si>
    <t>Optimizer MIP Nodes</t>
  </si>
  <si>
    <t>Optimizer Iterations</t>
  </si>
  <si>
    <t>Optimizer Convergence Status</t>
  </si>
  <si>
    <t>Base Blend</t>
  </si>
  <si>
    <t>10</t>
  </si>
  <si>
    <t>0.000</t>
  </si>
  <si>
    <t>0</t>
  </si>
  <si>
    <t>41</t>
  </si>
  <si>
    <t>Fully converged</t>
  </si>
  <si>
    <t>8</t>
  </si>
  <si>
    <t>33</t>
  </si>
  <si>
    <t>13</t>
  </si>
  <si>
    <t>40</t>
  </si>
  <si>
    <t>1</t>
  </si>
  <si>
    <t>60</t>
  </si>
  <si>
    <t>17</t>
  </si>
  <si>
    <t>43</t>
  </si>
  <si>
    <t>12</t>
  </si>
  <si>
    <t>2</t>
  </si>
  <si>
    <t>35</t>
  </si>
  <si>
    <t>5</t>
  </si>
  <si>
    <t>47</t>
  </si>
  <si>
    <t>7</t>
  </si>
  <si>
    <t>18</t>
  </si>
  <si>
    <t>37</t>
  </si>
  <si>
    <t>6</t>
  </si>
  <si>
    <t>53</t>
  </si>
  <si>
    <t>15</t>
  </si>
  <si>
    <t>48</t>
  </si>
  <si>
    <t>9</t>
  </si>
  <si>
    <t>19</t>
  </si>
  <si>
    <t>69</t>
  </si>
  <si>
    <t>14</t>
  </si>
  <si>
    <t>16</t>
  </si>
  <si>
    <t>54</t>
  </si>
  <si>
    <t>20</t>
  </si>
  <si>
    <t>46</t>
  </si>
  <si>
    <t>3</t>
  </si>
  <si>
    <t>49</t>
  </si>
  <si>
    <t>4</t>
  </si>
  <si>
    <t>11</t>
  </si>
  <si>
    <t>36</t>
  </si>
  <si>
    <t>57</t>
  </si>
  <si>
    <t>34</t>
  </si>
  <si>
    <t>44</t>
  </si>
  <si>
    <t>42</t>
  </si>
  <si>
    <t>Infeasible</t>
  </si>
  <si>
    <t>61</t>
  </si>
  <si>
    <t>71</t>
  </si>
  <si>
    <t>31</t>
  </si>
  <si>
    <t>51</t>
  </si>
  <si>
    <t>77</t>
  </si>
  <si>
    <t>50</t>
  </si>
  <si>
    <t>27</t>
  </si>
  <si>
    <t>28</t>
  </si>
  <si>
    <t>26</t>
  </si>
  <si>
    <t>45</t>
  </si>
  <si>
    <t>30</t>
  </si>
  <si>
    <t>39</t>
  </si>
  <si>
    <t>64</t>
  </si>
  <si>
    <t>38</t>
  </si>
  <si>
    <t>58</t>
  </si>
  <si>
    <t>63</t>
  </si>
  <si>
    <t>52</t>
  </si>
  <si>
    <t>74</t>
  </si>
  <si>
    <t>67</t>
  </si>
  <si>
    <t>72</t>
  </si>
  <si>
    <t>70</t>
  </si>
  <si>
    <t>65</t>
  </si>
  <si>
    <t>80</t>
  </si>
  <si>
    <t>32</t>
  </si>
  <si>
    <t>22</t>
  </si>
  <si>
    <t>25</t>
  </si>
  <si>
    <t>55</t>
  </si>
  <si>
    <t>29</t>
  </si>
  <si>
    <t>96</t>
  </si>
  <si>
    <t>88</t>
  </si>
  <si>
    <t>76</t>
  </si>
  <si>
    <t>73</t>
  </si>
  <si>
    <t>129</t>
  </si>
  <si>
    <t>157.16</t>
  </si>
  <si>
    <t>59</t>
  </si>
  <si>
    <t>51.81</t>
  </si>
  <si>
    <t>56</t>
  </si>
  <si>
    <t>101</t>
  </si>
  <si>
    <t>81</t>
  </si>
  <si>
    <t>74.73</t>
  </si>
  <si>
    <t>62</t>
  </si>
  <si>
    <t>68</t>
  </si>
  <si>
    <t>92</t>
  </si>
  <si>
    <t>80.08</t>
  </si>
  <si>
    <t>82</t>
  </si>
  <si>
    <t>79</t>
  </si>
  <si>
    <t>94</t>
  </si>
  <si>
    <t>77.05</t>
  </si>
  <si>
    <t>21</t>
  </si>
  <si>
    <t>86</t>
  </si>
  <si>
    <t>75</t>
  </si>
  <si>
    <t>23</t>
  </si>
  <si>
    <t>84.11</t>
  </si>
  <si>
    <t>66</t>
  </si>
  <si>
    <t>78.72</t>
  </si>
  <si>
    <t>82.61</t>
  </si>
  <si>
    <t>141</t>
  </si>
  <si>
    <t>87</t>
  </si>
  <si>
    <t>85</t>
  </si>
  <si>
    <t>78</t>
  </si>
  <si>
    <t>84.40</t>
  </si>
  <si>
    <t>65.97</t>
  </si>
  <si>
    <t>Failed to converge</t>
  </si>
  <si>
    <t>83</t>
  </si>
  <si>
    <t>90.88</t>
  </si>
  <si>
    <t>72.50</t>
  </si>
  <si>
    <t>91</t>
  </si>
  <si>
    <t>72.14</t>
  </si>
  <si>
    <t>87.65</t>
  </si>
  <si>
    <t>114</t>
  </si>
  <si>
    <t>80.31</t>
  </si>
  <si>
    <t>100</t>
  </si>
  <si>
    <t>66.74</t>
  </si>
  <si>
    <t>101.05</t>
  </si>
  <si>
    <t>90</t>
  </si>
  <si>
    <t>89</t>
  </si>
  <si>
    <t>65.15</t>
  </si>
  <si>
    <t>81.83</t>
  </si>
  <si>
    <t>118</t>
  </si>
  <si>
    <t>93</t>
  </si>
  <si>
    <t>84</t>
  </si>
  <si>
    <t>98</t>
  </si>
  <si>
    <t>71.59</t>
  </si>
  <si>
    <t>92.40</t>
  </si>
  <si>
    <t>79.74</t>
  </si>
  <si>
    <t>68.53</t>
  </si>
  <si>
    <t>79.63</t>
  </si>
  <si>
    <t>103</t>
  </si>
  <si>
    <t>70.37</t>
  </si>
  <si>
    <t>95</t>
  </si>
  <si>
    <t>131.95</t>
  </si>
  <si>
    <t>8-4</t>
  </si>
  <si>
    <t>12-8</t>
  </si>
  <si>
    <t>16-12</t>
  </si>
  <si>
    <t>20-16</t>
  </si>
  <si>
    <t>Absolute delta's (m$/day)</t>
  </si>
  <si>
    <t>red = larger than 0.002</t>
  </si>
  <si>
    <t>Nr of outliers:</t>
  </si>
  <si>
    <t>Solution for each Multi-start</t>
  </si>
  <si>
    <t>0 means that the case was infeasible</t>
  </si>
  <si>
    <t>Copy Paste Candidates here:</t>
  </si>
  <si>
    <t>1.888</t>
  </si>
  <si>
    <t>40.40</t>
  </si>
  <si>
    <t>1.909</t>
  </si>
  <si>
    <t>40.51</t>
  </si>
  <si>
    <t>1.850</t>
  </si>
  <si>
    <t>52.90</t>
  </si>
  <si>
    <t>57.10</t>
  </si>
  <si>
    <t>55.97</t>
  </si>
  <si>
    <t>61.57</t>
  </si>
  <si>
    <t>1.892</t>
  </si>
  <si>
    <t>47.33</t>
  </si>
  <si>
    <t>39.95</t>
  </si>
  <si>
    <t>42.89</t>
  </si>
  <si>
    <t>1.910</t>
  </si>
  <si>
    <t>55.90</t>
  </si>
  <si>
    <t>1.905</t>
  </si>
  <si>
    <t>61.48</t>
  </si>
  <si>
    <t>43.95</t>
  </si>
  <si>
    <t>37.07</t>
  </si>
  <si>
    <t>74.92</t>
  </si>
  <si>
    <t>42.87</t>
  </si>
  <si>
    <t>1.890</t>
  </si>
  <si>
    <t>40.25</t>
  </si>
  <si>
    <t>46.24</t>
  </si>
  <si>
    <t>48.17</t>
  </si>
  <si>
    <t>33.06</t>
  </si>
  <si>
    <t>36.96</t>
  </si>
  <si>
    <t>Akpo [Candidate]</t>
  </si>
  <si>
    <t>2.485</t>
  </si>
  <si>
    <t>44.57</t>
  </si>
  <si>
    <t>50.30</t>
  </si>
  <si>
    <t>2.477</t>
  </si>
  <si>
    <t>59.59</t>
  </si>
  <si>
    <t>2.484</t>
  </si>
  <si>
    <t>50.17</t>
  </si>
  <si>
    <t>72.84</t>
  </si>
  <si>
    <t>2.481</t>
  </si>
  <si>
    <t>62.59</t>
  </si>
  <si>
    <t>2.487</t>
  </si>
  <si>
    <t>63.66</t>
  </si>
  <si>
    <t>38.20</t>
  </si>
  <si>
    <t>2.467</t>
  </si>
  <si>
    <t>39.97</t>
  </si>
  <si>
    <t>2.451</t>
  </si>
  <si>
    <t>30.23</t>
  </si>
  <si>
    <t>58.26</t>
  </si>
  <si>
    <t>2.483</t>
  </si>
  <si>
    <t>49.97</t>
  </si>
  <si>
    <t>2.471</t>
  </si>
  <si>
    <t>42.30</t>
  </si>
  <si>
    <t>2.470</t>
  </si>
  <si>
    <t>62.98</t>
  </si>
  <si>
    <t>48.46</t>
  </si>
  <si>
    <t>2.465</t>
  </si>
  <si>
    <t>55.36</t>
  </si>
  <si>
    <t>49.64</t>
  </si>
  <si>
    <t>68.43</t>
  </si>
  <si>
    <t>41.46</t>
  </si>
  <si>
    <t>38.34</t>
  </si>
  <si>
    <t>Alvheim Blend [Candidate]</t>
  </si>
  <si>
    <t>2.526</t>
  </si>
  <si>
    <t>66.14</t>
  </si>
  <si>
    <t>2.531</t>
  </si>
  <si>
    <t>73.21</t>
  </si>
  <si>
    <t>2.546</t>
  </si>
  <si>
    <t>57.91</t>
  </si>
  <si>
    <t>2.529</t>
  </si>
  <si>
    <t>36.90</t>
  </si>
  <si>
    <t>2.549</t>
  </si>
  <si>
    <t>49.57</t>
  </si>
  <si>
    <t>2.545</t>
  </si>
  <si>
    <t>61.60</t>
  </si>
  <si>
    <t>61.91</t>
  </si>
  <si>
    <t>2.548</t>
  </si>
  <si>
    <t>54.83</t>
  </si>
  <si>
    <t>39.32</t>
  </si>
  <si>
    <t>49.18</t>
  </si>
  <si>
    <t>2.552</t>
  </si>
  <si>
    <t>49.60</t>
  </si>
  <si>
    <t>63.11</t>
  </si>
  <si>
    <t>35.34</t>
  </si>
  <si>
    <t>60.49</t>
  </si>
  <si>
    <t>31.55</t>
  </si>
  <si>
    <t>52.28</t>
  </si>
  <si>
    <t>29.65</t>
  </si>
  <si>
    <t>36.86</t>
  </si>
  <si>
    <t>2.492</t>
  </si>
  <si>
    <t>36.07</t>
  </si>
  <si>
    <t>2.547</t>
  </si>
  <si>
    <t>Azeri [Candidate]</t>
  </si>
  <si>
    <t>2.520</t>
  </si>
  <si>
    <t>38.52</t>
  </si>
  <si>
    <t>70.84</t>
  </si>
  <si>
    <t>76.00</t>
  </si>
  <si>
    <t>2.519</t>
  </si>
  <si>
    <t>51.01</t>
  </si>
  <si>
    <t>59.37</t>
  </si>
  <si>
    <t>2.499</t>
  </si>
  <si>
    <t>52.91</t>
  </si>
  <si>
    <t>56.88</t>
  </si>
  <si>
    <t>2.523</t>
  </si>
  <si>
    <t>52.21</t>
  </si>
  <si>
    <t>2.504</t>
  </si>
  <si>
    <t>53.68</t>
  </si>
  <si>
    <t>2.397</t>
  </si>
  <si>
    <t>35.35</t>
  </si>
  <si>
    <t>33.63</t>
  </si>
  <si>
    <t>33.29</t>
  </si>
  <si>
    <t>52.57</t>
  </si>
  <si>
    <t>50.81</t>
  </si>
  <si>
    <t>48.62</t>
  </si>
  <si>
    <t>43.02</t>
  </si>
  <si>
    <t>39.49</t>
  </si>
  <si>
    <t>62.64</t>
  </si>
  <si>
    <t>2.516</t>
  </si>
  <si>
    <t>62.12</t>
  </si>
  <si>
    <t>57.77</t>
  </si>
  <si>
    <t>Kirishi HS AtRes [Candidate]</t>
  </si>
  <si>
    <t>2.086</t>
  </si>
  <si>
    <t>54.05</t>
  </si>
  <si>
    <t>2.107</t>
  </si>
  <si>
    <t>48.34</t>
  </si>
  <si>
    <t>67.51</t>
  </si>
  <si>
    <t>74.09</t>
  </si>
  <si>
    <t>2.140</t>
  </si>
  <si>
    <t>64.06</t>
  </si>
  <si>
    <t>2.167</t>
  </si>
  <si>
    <t>60.24</t>
  </si>
  <si>
    <t>2.098</t>
  </si>
  <si>
    <t>2.100</t>
  </si>
  <si>
    <t>27.32</t>
  </si>
  <si>
    <t>43.43</t>
  </si>
  <si>
    <t>2.111</t>
  </si>
  <si>
    <t>58.16</t>
  </si>
  <si>
    <t>54.45</t>
  </si>
  <si>
    <t>60.59</t>
  </si>
  <si>
    <t>2.136</t>
  </si>
  <si>
    <t>55.74</t>
  </si>
  <si>
    <t>2.125</t>
  </si>
  <si>
    <t>66.48</t>
  </si>
  <si>
    <t>60.75</t>
  </si>
  <si>
    <t>2.130</t>
  </si>
  <si>
    <t>62.35</t>
  </si>
  <si>
    <t>2.139</t>
  </si>
  <si>
    <t>28.14</t>
  </si>
  <si>
    <t>2.150</t>
  </si>
  <si>
    <t>2.163</t>
  </si>
  <si>
    <t>47.11</t>
  </si>
  <si>
    <t>2.165</t>
  </si>
  <si>
    <t>50.63</t>
  </si>
  <si>
    <t>2.142</t>
  </si>
  <si>
    <t>2.160</t>
  </si>
  <si>
    <t>26.88</t>
  </si>
  <si>
    <t>Slavyansky HS AtRes [Candidate]</t>
  </si>
  <si>
    <t>1.958</t>
  </si>
  <si>
    <t>1.922</t>
  </si>
  <si>
    <t>58.71</t>
  </si>
  <si>
    <t>2.474</t>
  </si>
  <si>
    <t>53.79</t>
  </si>
  <si>
    <t>64.21</t>
  </si>
  <si>
    <t>2.478</t>
  </si>
  <si>
    <t>43.82</t>
  </si>
  <si>
    <t>2.473</t>
  </si>
  <si>
    <t>66.15</t>
  </si>
  <si>
    <t>31.88</t>
  </si>
  <si>
    <t>2.393</t>
  </si>
  <si>
    <t>2.400</t>
  </si>
  <si>
    <t>41.32</t>
  </si>
  <si>
    <t>2.486</t>
  </si>
  <si>
    <t>59.32</t>
  </si>
  <si>
    <t>33.75</t>
  </si>
  <si>
    <t>44.12</t>
  </si>
  <si>
    <t>46.25</t>
  </si>
  <si>
    <t>59.33</t>
  </si>
  <si>
    <t>59.79</t>
  </si>
  <si>
    <t>40.81</t>
  </si>
  <si>
    <t>41.49</t>
  </si>
  <si>
    <t>2.348</t>
  </si>
  <si>
    <t>2.343</t>
  </si>
  <si>
    <t>68.38</t>
  </si>
  <si>
    <t>43.17</t>
  </si>
  <si>
    <t>49.86</t>
  </si>
  <si>
    <t>53.52</t>
  </si>
  <si>
    <t>2.476</t>
  </si>
  <si>
    <t>48.23</t>
  </si>
  <si>
    <t>Tuapse HS AtRes [Candidate]</t>
  </si>
  <si>
    <t>2.016</t>
  </si>
  <si>
    <t>111.88</t>
  </si>
  <si>
    <t>2.155</t>
  </si>
  <si>
    <t>80.07</t>
  </si>
  <si>
    <t>2.164</t>
  </si>
  <si>
    <t>66.19</t>
  </si>
  <si>
    <t>62.99</t>
  </si>
  <si>
    <t>45.22</t>
  </si>
  <si>
    <t>54.91</t>
  </si>
  <si>
    <t>2.170</t>
  </si>
  <si>
    <t>60.68</t>
  </si>
  <si>
    <t>2.169</t>
  </si>
  <si>
    <t>57.47</t>
  </si>
  <si>
    <t>2.141</t>
  </si>
  <si>
    <t>54.14</t>
  </si>
  <si>
    <t>2.088</t>
  </si>
  <si>
    <t>46.29</t>
  </si>
  <si>
    <t>47.93</t>
  </si>
  <si>
    <t>57.14</t>
  </si>
  <si>
    <t>2.144</t>
  </si>
  <si>
    <t>35.85</t>
  </si>
  <si>
    <t>2.126</t>
  </si>
  <si>
    <t>29.41</t>
  </si>
  <si>
    <t>38.98</t>
  </si>
  <si>
    <t>76.82</t>
  </si>
  <si>
    <t>60.17</t>
  </si>
  <si>
    <t>40.47</t>
  </si>
  <si>
    <t>1.362</t>
  </si>
  <si>
    <t>1.956</t>
  </si>
  <si>
    <t>36.14</t>
  </si>
  <si>
    <t>84.10</t>
  </si>
  <si>
    <t>Coco [Candidate]</t>
  </si>
  <si>
    <t>53.03</t>
  </si>
  <si>
    <t>2.559</t>
  </si>
  <si>
    <t>52.42</t>
  </si>
  <si>
    <t>87.33</t>
  </si>
  <si>
    <t>2.544</t>
  </si>
  <si>
    <t>69.48</t>
  </si>
  <si>
    <t>2.561</t>
  </si>
  <si>
    <t>41.48</t>
  </si>
  <si>
    <t>2.562</t>
  </si>
  <si>
    <t>34.18</t>
  </si>
  <si>
    <t>2.566</t>
  </si>
  <si>
    <t>32.30</t>
  </si>
  <si>
    <t>43.94</t>
  </si>
  <si>
    <t>31.94</t>
  </si>
  <si>
    <t>44.88</t>
  </si>
  <si>
    <t>2.515</t>
  </si>
  <si>
    <t>49.35</t>
  </si>
  <si>
    <t>40.84</t>
  </si>
  <si>
    <t>2.528</t>
  </si>
  <si>
    <t>39.91</t>
  </si>
  <si>
    <t>62.68</t>
  </si>
  <si>
    <t>2.505</t>
  </si>
  <si>
    <t>42.46</t>
  </si>
  <si>
    <t>49.99</t>
  </si>
  <si>
    <t>57.17</t>
  </si>
  <si>
    <t>2.522</t>
  </si>
  <si>
    <t>2.524</t>
  </si>
  <si>
    <t>69.07</t>
  </si>
  <si>
    <t>41.43</t>
  </si>
  <si>
    <t>73.09</t>
  </si>
  <si>
    <t>Arab Heavy [Candidate]</t>
  </si>
  <si>
    <t>2.117</t>
  </si>
  <si>
    <t>50.04</t>
  </si>
  <si>
    <t>2.105</t>
  </si>
  <si>
    <t>60.89</t>
  </si>
  <si>
    <t>43.03</t>
  </si>
  <si>
    <t>86.41</t>
  </si>
  <si>
    <t>2.099</t>
  </si>
  <si>
    <t>46.11</t>
  </si>
  <si>
    <t>102.39</t>
  </si>
  <si>
    <t>49.73</t>
  </si>
  <si>
    <t>2.122</t>
  </si>
  <si>
    <t>45.87</t>
  </si>
  <si>
    <t>53.35</t>
  </si>
  <si>
    <t>2.114</t>
  </si>
  <si>
    <t>41.06</t>
  </si>
  <si>
    <t>1.916</t>
  </si>
  <si>
    <t>41.44</t>
  </si>
  <si>
    <t>2.104</t>
  </si>
  <si>
    <t>51.94</t>
  </si>
  <si>
    <t>52.25</t>
  </si>
  <si>
    <t>2.063</t>
  </si>
  <si>
    <t>2.090</t>
  </si>
  <si>
    <t>35.82</t>
  </si>
  <si>
    <t>47.56</t>
  </si>
  <si>
    <t>61.67</t>
  </si>
  <si>
    <t>69.61</t>
  </si>
  <si>
    <t>2.084</t>
  </si>
  <si>
    <t>38.26</t>
  </si>
  <si>
    <t>77.95</t>
  </si>
  <si>
    <t>Anasuria [Candidate]</t>
  </si>
  <si>
    <t>2.497</t>
  </si>
  <si>
    <t>69.32</t>
  </si>
  <si>
    <t>59.66</t>
  </si>
  <si>
    <t>39.24</t>
  </si>
  <si>
    <t>59.22</t>
  </si>
  <si>
    <t>2.495</t>
  </si>
  <si>
    <t>2.500</t>
  </si>
  <si>
    <t>59.26</t>
  </si>
  <si>
    <t>71.23</t>
  </si>
  <si>
    <t>72.66</t>
  </si>
  <si>
    <t>2.498</t>
  </si>
  <si>
    <t>63.80</t>
  </si>
  <si>
    <t>51.37</t>
  </si>
  <si>
    <t>36.61</t>
  </si>
  <si>
    <t>29.83</t>
  </si>
  <si>
    <t>2.496</t>
  </si>
  <si>
    <t>63.16</t>
  </si>
  <si>
    <t>55.00</t>
  </si>
  <si>
    <t>49.21</t>
  </si>
  <si>
    <t>1.758</t>
  </si>
  <si>
    <t>1.721</t>
  </si>
  <si>
    <t>84.52</t>
  </si>
  <si>
    <t>2.475</t>
  </si>
  <si>
    <t>56.16</t>
  </si>
  <si>
    <t>32.80</t>
  </si>
  <si>
    <t>2.494</t>
  </si>
  <si>
    <t>37.82</t>
  </si>
  <si>
    <t>42.54</t>
  </si>
  <si>
    <t>Rabi Light [Candidate]</t>
  </si>
  <si>
    <t>2.555</t>
  </si>
  <si>
    <t>48.72</t>
  </si>
  <si>
    <t>2.533</t>
  </si>
  <si>
    <t>42.62</t>
  </si>
  <si>
    <t>57.42</t>
  </si>
  <si>
    <t>2.550</t>
  </si>
  <si>
    <t>51.00</t>
  </si>
  <si>
    <t>57.89</t>
  </si>
  <si>
    <t>89.60</t>
  </si>
  <si>
    <t>37.91</t>
  </si>
  <si>
    <t>66.81</t>
  </si>
  <si>
    <t>32.14</t>
  </si>
  <si>
    <t>51.71</t>
  </si>
  <si>
    <t>2.513</t>
  </si>
  <si>
    <t>2.518</t>
  </si>
  <si>
    <t>53.90</t>
  </si>
  <si>
    <t>91.57</t>
  </si>
  <si>
    <t>39.96</t>
  </si>
  <si>
    <t>66.33</t>
  </si>
  <si>
    <t>44.69</t>
  </si>
  <si>
    <t>67.15</t>
  </si>
  <si>
    <t>2.535</t>
  </si>
  <si>
    <t>60.84</t>
  </si>
  <si>
    <t>63.20</t>
  </si>
  <si>
    <t>44.17</t>
  </si>
  <si>
    <t>47.70</t>
  </si>
  <si>
    <t>Cabinda [Candidate]</t>
  </si>
  <si>
    <t>2.541</t>
  </si>
  <si>
    <t>59.64</t>
  </si>
  <si>
    <t>2.525</t>
  </si>
  <si>
    <t>64.08</t>
  </si>
  <si>
    <t>51.19</t>
  </si>
  <si>
    <t>47.86</t>
  </si>
  <si>
    <t>2.468</t>
  </si>
  <si>
    <t>21.46</t>
  </si>
  <si>
    <t>53.12</t>
  </si>
  <si>
    <t>2.534</t>
  </si>
  <si>
    <t>2.536</t>
  </si>
  <si>
    <t>30.62</t>
  </si>
  <si>
    <t>55.60</t>
  </si>
  <si>
    <t>2.540</t>
  </si>
  <si>
    <t>49.16</t>
  </si>
  <si>
    <t>49.07</t>
  </si>
  <si>
    <t>61.03</t>
  </si>
  <si>
    <t>2.539</t>
  </si>
  <si>
    <t>46.63</t>
  </si>
  <si>
    <t>67.77</t>
  </si>
  <si>
    <t>62.41</t>
  </si>
  <si>
    <t>64.58</t>
  </si>
  <si>
    <t>42.34</t>
  </si>
  <si>
    <t>2.489</t>
  </si>
  <si>
    <t>46.13</t>
  </si>
  <si>
    <t>1.816</t>
  </si>
  <si>
    <t>2.754</t>
  </si>
  <si>
    <t>36.22</t>
  </si>
  <si>
    <t>EA Field [Candidate]</t>
  </si>
  <si>
    <t>48.14</t>
  </si>
  <si>
    <t>3.181</t>
  </si>
  <si>
    <t>3.209</t>
  </si>
  <si>
    <t>34.89</t>
  </si>
  <si>
    <t>2.543</t>
  </si>
  <si>
    <t>61.09</t>
  </si>
  <si>
    <t>45.38</t>
  </si>
  <si>
    <t>60.22</t>
  </si>
  <si>
    <t>2.538</t>
  </si>
  <si>
    <t>59.18</t>
  </si>
  <si>
    <t>48.83</t>
  </si>
  <si>
    <t>2.502</t>
  </si>
  <si>
    <t>60.43</t>
  </si>
  <si>
    <t>42.40</t>
  </si>
  <si>
    <t>2.527</t>
  </si>
  <si>
    <t>36.38</t>
  </si>
  <si>
    <t>44.39</t>
  </si>
  <si>
    <t>37.56</t>
  </si>
  <si>
    <t>47.07</t>
  </si>
  <si>
    <t>71.00</t>
  </si>
  <si>
    <t>32.63</t>
  </si>
  <si>
    <t>53.36</t>
  </si>
  <si>
    <t>2.542</t>
  </si>
  <si>
    <t>71.18</t>
  </si>
  <si>
    <t>Ormen Lange Condensate [Candidate]</t>
  </si>
  <si>
    <t>2.402</t>
  </si>
  <si>
    <t>2.401</t>
  </si>
  <si>
    <t>105.02</t>
  </si>
  <si>
    <t>107.79</t>
  </si>
  <si>
    <t>2.405</t>
  </si>
  <si>
    <t>53.82</t>
  </si>
  <si>
    <t>66.20</t>
  </si>
  <si>
    <t>69.66</t>
  </si>
  <si>
    <t>57.58</t>
  </si>
  <si>
    <t>2.381</t>
  </si>
  <si>
    <t>40.64</t>
  </si>
  <si>
    <t>2.386</t>
  </si>
  <si>
    <t>48.12</t>
  </si>
  <si>
    <t>43.83</t>
  </si>
  <si>
    <t>50.94</t>
  </si>
  <si>
    <t>54.67</t>
  </si>
  <si>
    <t>58.79</t>
  </si>
  <si>
    <t>2.388</t>
  </si>
  <si>
    <t>77.04</t>
  </si>
  <si>
    <t>46.89</t>
  </si>
  <si>
    <t>74.82</t>
  </si>
  <si>
    <t>108.17</t>
  </si>
  <si>
    <t>51.16</t>
  </si>
  <si>
    <t>Saturno Blend [Candidate]</t>
  </si>
  <si>
    <t>71.31</t>
  </si>
  <si>
    <t>2.387</t>
  </si>
  <si>
    <t>2.373</t>
  </si>
  <si>
    <t>38.28</t>
  </si>
  <si>
    <t>43.92</t>
  </si>
  <si>
    <t>2.433</t>
  </si>
  <si>
    <t>59.48</t>
  </si>
  <si>
    <t>70.19</t>
  </si>
  <si>
    <t>67.33</t>
  </si>
  <si>
    <t>55.78</t>
  </si>
  <si>
    <t>80.91</t>
  </si>
  <si>
    <t>2.435</t>
  </si>
  <si>
    <t>48.42</t>
  </si>
  <si>
    <t>72.94</t>
  </si>
  <si>
    <t>2.368</t>
  </si>
  <si>
    <t>2.362</t>
  </si>
  <si>
    <t>30.52</t>
  </si>
  <si>
    <t>2.479</t>
  </si>
  <si>
    <t>59.84</t>
  </si>
  <si>
    <t>51.85</t>
  </si>
  <si>
    <t>75.22</t>
  </si>
  <si>
    <t>49.89</t>
  </si>
  <si>
    <t>58.88</t>
  </si>
  <si>
    <t>127.24</t>
  </si>
  <si>
    <t>80.69</t>
  </si>
  <si>
    <t>61.68</t>
  </si>
  <si>
    <t>Basrah Heavy [Candidate]</t>
  </si>
  <si>
    <t>2.009</t>
  </si>
  <si>
    <t>34.30</t>
  </si>
  <si>
    <t>1.995</t>
  </si>
  <si>
    <t>46.09</t>
  </si>
  <si>
    <t>33.92</t>
  </si>
  <si>
    <t>2.010</t>
  </si>
  <si>
    <t>61.46</t>
  </si>
  <si>
    <t>45.63</t>
  </si>
  <si>
    <t>50.31</t>
  </si>
  <si>
    <t>1.999</t>
  </si>
  <si>
    <t>35.81</t>
  </si>
  <si>
    <t>46.93</t>
  </si>
  <si>
    <t>60.21</t>
  </si>
  <si>
    <t>48.75</t>
  </si>
  <si>
    <t>30.07</t>
  </si>
  <si>
    <t>1.971</t>
  </si>
  <si>
    <t>1.970</t>
  </si>
  <si>
    <t>25.52</t>
  </si>
  <si>
    <t>37.45</t>
  </si>
  <si>
    <t>45.37</t>
  </si>
  <si>
    <t>1.996</t>
  </si>
  <si>
    <t>44.32</t>
  </si>
  <si>
    <t>1.826</t>
  </si>
  <si>
    <t>1.809</t>
  </si>
  <si>
    <t>61.37</t>
  </si>
  <si>
    <t>Vasconia [Candidate]</t>
  </si>
  <si>
    <t>2.443</t>
  </si>
  <si>
    <t>47.96</t>
  </si>
  <si>
    <t>2.450</t>
  </si>
  <si>
    <t>54.28</t>
  </si>
  <si>
    <t>2.445</t>
  </si>
  <si>
    <t>2.449</t>
  </si>
  <si>
    <t>47.12</t>
  </si>
  <si>
    <t>46.75</t>
  </si>
  <si>
    <t>2.441</t>
  </si>
  <si>
    <t>71.85</t>
  </si>
  <si>
    <t>2.374</t>
  </si>
  <si>
    <t>57.12</t>
  </si>
  <si>
    <t>2.438</t>
  </si>
  <si>
    <t>41.33</t>
  </si>
  <si>
    <t>63.86</t>
  </si>
  <si>
    <t>2.377</t>
  </si>
  <si>
    <t>47.97</t>
  </si>
  <si>
    <t>48.13</t>
  </si>
  <si>
    <t>2.454</t>
  </si>
  <si>
    <t>42.99</t>
  </si>
  <si>
    <t>46.04</t>
  </si>
  <si>
    <t>69.73</t>
  </si>
  <si>
    <t>64.12</t>
  </si>
  <si>
    <t>33.51</t>
  </si>
  <si>
    <t>54.76</t>
  </si>
  <si>
    <t>42.63</t>
  </si>
  <si>
    <t>38.01</t>
  </si>
  <si>
    <t>54.10</t>
  </si>
  <si>
    <t>Basrah Light [Candidate]</t>
  </si>
  <si>
    <t>2.121</t>
  </si>
  <si>
    <t>2.196</t>
  </si>
  <si>
    <t>26.92</t>
  </si>
  <si>
    <t>55.50</t>
  </si>
  <si>
    <t>2.154</t>
  </si>
  <si>
    <t>44.05</t>
  </si>
  <si>
    <t>2.176</t>
  </si>
  <si>
    <t>53.45</t>
  </si>
  <si>
    <t>69.99</t>
  </si>
  <si>
    <t>2.178</t>
  </si>
  <si>
    <t>50.73</t>
  </si>
  <si>
    <t>2.162</t>
  </si>
  <si>
    <t>55.91</t>
  </si>
  <si>
    <t>64.10</t>
  </si>
  <si>
    <t>64.46</t>
  </si>
  <si>
    <t>2.158</t>
  </si>
  <si>
    <t>116.54</t>
  </si>
  <si>
    <t>38.38</t>
  </si>
  <si>
    <t>2.133</t>
  </si>
  <si>
    <t>29.90</t>
  </si>
  <si>
    <t>2.168</t>
  </si>
  <si>
    <t>68.10</t>
  </si>
  <si>
    <t>2.173</t>
  </si>
  <si>
    <t>43.74</t>
  </si>
  <si>
    <t>2.148</t>
  </si>
  <si>
    <t>72.20</t>
  </si>
  <si>
    <t>53.55</t>
  </si>
  <si>
    <t>1.928</t>
  </si>
  <si>
    <t>121.20</t>
  </si>
  <si>
    <t>58.49</t>
  </si>
  <si>
    <t>Bonga [Candidate]</t>
  </si>
  <si>
    <t>59.13</t>
  </si>
  <si>
    <t>47.66</t>
  </si>
  <si>
    <t>41.08</t>
  </si>
  <si>
    <t>76.45</t>
  </si>
  <si>
    <t>74.95</t>
  </si>
  <si>
    <t>45.54</t>
  </si>
  <si>
    <t>2.537</t>
  </si>
  <si>
    <t>80.34</t>
  </si>
  <si>
    <t>59.77</t>
  </si>
  <si>
    <t>31.91</t>
  </si>
  <si>
    <t>42.14</t>
  </si>
  <si>
    <t>51.05</t>
  </si>
  <si>
    <t>2.532</t>
  </si>
  <si>
    <t>2.512</t>
  </si>
  <si>
    <t>32.62</t>
  </si>
  <si>
    <t>39.64</t>
  </si>
  <si>
    <t>2.493</t>
  </si>
  <si>
    <t>50.02</t>
  </si>
  <si>
    <t>59.08</t>
  </si>
  <si>
    <t>37.76</t>
  </si>
  <si>
    <t>2.506</t>
  </si>
  <si>
    <t>29.69</t>
  </si>
  <si>
    <t>2.521</t>
  </si>
  <si>
    <t>54.42</t>
  </si>
  <si>
    <t>72.30</t>
  </si>
  <si>
    <t>45.62</t>
  </si>
  <si>
    <t>Doba Blend [Candidate]</t>
  </si>
  <si>
    <t>2.583</t>
  </si>
  <si>
    <t>55.42</t>
  </si>
  <si>
    <t>2.589</t>
  </si>
  <si>
    <t>53.98</t>
  </si>
  <si>
    <t>2.573</t>
  </si>
  <si>
    <t>60.86</t>
  </si>
  <si>
    <t>52.16</t>
  </si>
  <si>
    <t>38.55</t>
  </si>
  <si>
    <t>64.87</t>
  </si>
  <si>
    <t>2.588</t>
  </si>
  <si>
    <t>53.57</t>
  </si>
  <si>
    <t>54.44</t>
  </si>
  <si>
    <t>2.591</t>
  </si>
  <si>
    <t>59.47</t>
  </si>
  <si>
    <t>2.576</t>
  </si>
  <si>
    <t>78.18</t>
  </si>
  <si>
    <t>50.07</t>
  </si>
  <si>
    <t>52.73</t>
  </si>
  <si>
    <t>67.42</t>
  </si>
  <si>
    <t>69.10</t>
  </si>
  <si>
    <t>2.587</t>
  </si>
  <si>
    <t>61.78</t>
  </si>
  <si>
    <t>40.96</t>
  </si>
  <si>
    <t>47.30</t>
  </si>
  <si>
    <t>62.18</t>
  </si>
  <si>
    <t>2.578</t>
  </si>
  <si>
    <t>53.38</t>
  </si>
  <si>
    <t>1.663</t>
  </si>
  <si>
    <t>2.844</t>
  </si>
  <si>
    <t>77.74</t>
  </si>
  <si>
    <t>Flotta Gold [Candidate]</t>
  </si>
  <si>
    <t>39.72</t>
  </si>
  <si>
    <t>66.08</t>
  </si>
  <si>
    <t>41.68</t>
  </si>
  <si>
    <t>2.370</t>
  </si>
  <si>
    <t>2.328</t>
  </si>
  <si>
    <t>29.96</t>
  </si>
  <si>
    <t>41.10</t>
  </si>
  <si>
    <t>56.39</t>
  </si>
  <si>
    <t>35.14</t>
  </si>
  <si>
    <t>2.490</t>
  </si>
  <si>
    <t>78.49</t>
  </si>
  <si>
    <t>53.08</t>
  </si>
  <si>
    <t>50.67</t>
  </si>
  <si>
    <t>2.482</t>
  </si>
  <si>
    <t>39.57</t>
  </si>
  <si>
    <t>2.428</t>
  </si>
  <si>
    <t>56.11</t>
  </si>
  <si>
    <t>36.15</t>
  </si>
  <si>
    <t>69.05</t>
  </si>
  <si>
    <t>42.93</t>
  </si>
  <si>
    <t>2.488</t>
  </si>
  <si>
    <t>55.04</t>
  </si>
  <si>
    <t>86.11</t>
  </si>
  <si>
    <t>32.05</t>
  </si>
  <si>
    <t>2.375</t>
  </si>
  <si>
    <t>2.372</t>
  </si>
  <si>
    <t>24.38</t>
  </si>
  <si>
    <t>Gullfaks [Candidate]</t>
  </si>
  <si>
    <t>2.508</t>
  </si>
  <si>
    <t>27.91</t>
  </si>
  <si>
    <t>30.03</t>
  </si>
  <si>
    <t>57.57</t>
  </si>
  <si>
    <t>77.89</t>
  </si>
  <si>
    <t>79.03</t>
  </si>
  <si>
    <t>42.48</t>
  </si>
  <si>
    <t>67.53</t>
  </si>
  <si>
    <t>40.59</t>
  </si>
  <si>
    <t>42.91</t>
  </si>
  <si>
    <t>51.23</t>
  </si>
  <si>
    <t>2.503</t>
  </si>
  <si>
    <t>46.84</t>
  </si>
  <si>
    <t>2.507</t>
  </si>
  <si>
    <t>89.35</t>
  </si>
  <si>
    <t>55.94</t>
  </si>
  <si>
    <t>50.36</t>
  </si>
  <si>
    <t>2.501</t>
  </si>
  <si>
    <t>38.56</t>
  </si>
  <si>
    <t>36.98</t>
  </si>
  <si>
    <t>41.97</t>
  </si>
  <si>
    <t>51.43</t>
  </si>
  <si>
    <t>32.61</t>
  </si>
  <si>
    <t>76.79</t>
  </si>
  <si>
    <t>Light Louisiana Sweet [Candidate]</t>
  </si>
  <si>
    <t>45.12</t>
  </si>
  <si>
    <t>41.56</t>
  </si>
  <si>
    <t>48.25</t>
  </si>
  <si>
    <t>48.74</t>
  </si>
  <si>
    <t>43.54</t>
  </si>
  <si>
    <t>66.94</t>
  </si>
  <si>
    <t>68.74</t>
  </si>
  <si>
    <t>60.51</t>
  </si>
  <si>
    <t>64.78</t>
  </si>
  <si>
    <t>40.62</t>
  </si>
  <si>
    <t>42.74</t>
  </si>
  <si>
    <t>42.94</t>
  </si>
  <si>
    <t>46.32</t>
  </si>
  <si>
    <t>54.01</t>
  </si>
  <si>
    <t>55.01</t>
  </si>
  <si>
    <t>27.90</t>
  </si>
  <si>
    <t>63.93</t>
  </si>
  <si>
    <t>54.15</t>
  </si>
  <si>
    <t>57.00</t>
  </si>
  <si>
    <t>Brent [Candidate]</t>
  </si>
  <si>
    <t>57.27</t>
  </si>
  <si>
    <t>43.14</t>
  </si>
  <si>
    <t>49.74</t>
  </si>
  <si>
    <t>60.83</t>
  </si>
  <si>
    <t>44.16</t>
  </si>
  <si>
    <t>56.97</t>
  </si>
  <si>
    <t>45.80</t>
  </si>
  <si>
    <t>30.99</t>
  </si>
  <si>
    <t>37.21</t>
  </si>
  <si>
    <t>74.01</t>
  </si>
  <si>
    <t>65.21</t>
  </si>
  <si>
    <t>40.73</t>
  </si>
  <si>
    <t>2.469</t>
  </si>
  <si>
    <t>51.12</t>
  </si>
  <si>
    <t>55.20</t>
  </si>
  <si>
    <t>43.68</t>
  </si>
  <si>
    <t>22.89</t>
  </si>
  <si>
    <t>55.83</t>
  </si>
  <si>
    <t>37.99</t>
  </si>
  <si>
    <t>Grane [Candidate]</t>
  </si>
  <si>
    <t>36.23</t>
  </si>
  <si>
    <t>100.98</t>
  </si>
  <si>
    <t>191</t>
  </si>
  <si>
    <t>40.13</t>
  </si>
  <si>
    <t>41.25</t>
  </si>
  <si>
    <t>2.517</t>
  </si>
  <si>
    <t>41.12</t>
  </si>
  <si>
    <t>2.514</t>
  </si>
  <si>
    <t>46.02</t>
  </si>
  <si>
    <t>53.56</t>
  </si>
  <si>
    <t>56.04</t>
  </si>
  <si>
    <t>2.509</t>
  </si>
  <si>
    <t>49.48</t>
  </si>
  <si>
    <t>34.17</t>
  </si>
  <si>
    <t>49.46</t>
  </si>
  <si>
    <t>3.169</t>
  </si>
  <si>
    <t>3.159</t>
  </si>
  <si>
    <t>43.97</t>
  </si>
  <si>
    <t>67.20</t>
  </si>
  <si>
    <t>43.07</t>
  </si>
  <si>
    <t>49.75</t>
  </si>
  <si>
    <t>38.42</t>
  </si>
  <si>
    <t>56.18</t>
  </si>
  <si>
    <t>41.52</t>
  </si>
  <si>
    <t>1.491</t>
  </si>
  <si>
    <t>1.454</t>
  </si>
  <si>
    <t>Oseberg [Candidate]</t>
  </si>
  <si>
    <t>46.15</t>
  </si>
  <si>
    <t>2.480</t>
  </si>
  <si>
    <t>76.04</t>
  </si>
  <si>
    <t>46.01</t>
  </si>
  <si>
    <t>62.03</t>
  </si>
  <si>
    <t>69.87</t>
  </si>
  <si>
    <t>62.36</t>
  </si>
  <si>
    <t>36.28</t>
  </si>
  <si>
    <t>2.392</t>
  </si>
  <si>
    <t>2.367</t>
  </si>
  <si>
    <t>29.92</t>
  </si>
  <si>
    <t>48.65</t>
  </si>
  <si>
    <t>73.59</t>
  </si>
  <si>
    <t>39.71</t>
  </si>
  <si>
    <t>65.24</t>
  </si>
  <si>
    <t>54.34</t>
  </si>
  <si>
    <t>51.73</t>
  </si>
  <si>
    <t>2.491</t>
  </si>
  <si>
    <t>56.86</t>
  </si>
  <si>
    <t>2.458</t>
  </si>
  <si>
    <t>43.88</t>
  </si>
  <si>
    <t>Pazflor [Candidate]</t>
  </si>
  <si>
    <t>86.59</t>
  </si>
  <si>
    <t>47.74</t>
  </si>
  <si>
    <t>50.49</t>
  </si>
  <si>
    <t>40.23</t>
  </si>
  <si>
    <t>25.40</t>
  </si>
  <si>
    <t>52.89</t>
  </si>
  <si>
    <t>42.19</t>
  </si>
  <si>
    <t>58.78</t>
  </si>
  <si>
    <t>36.41</t>
  </si>
  <si>
    <t>37.32</t>
  </si>
  <si>
    <t>65.99</t>
  </si>
  <si>
    <t>48.86</t>
  </si>
  <si>
    <t>68.83</t>
  </si>
  <si>
    <t>77.45</t>
  </si>
  <si>
    <t>50.22</t>
  </si>
  <si>
    <t>37.38</t>
  </si>
  <si>
    <t>55.80</t>
  </si>
  <si>
    <t>55.22</t>
  </si>
  <si>
    <t>Roncador Heavy [Candidate]</t>
  </si>
  <si>
    <t>51.47</t>
  </si>
  <si>
    <t>3.260</t>
  </si>
  <si>
    <t>32.02</t>
  </si>
  <si>
    <t>2.530</t>
  </si>
  <si>
    <t>45.94</t>
  </si>
  <si>
    <t>69.84</t>
  </si>
  <si>
    <t>99.08</t>
  </si>
  <si>
    <t>48.11</t>
  </si>
  <si>
    <t>128.12</t>
  </si>
  <si>
    <t>54.08</t>
  </si>
  <si>
    <t>81.40</t>
  </si>
  <si>
    <t>61.15</t>
  </si>
  <si>
    <t>52.88</t>
  </si>
  <si>
    <t>68.23</t>
  </si>
  <si>
    <t>46.17</t>
  </si>
  <si>
    <t>58.07</t>
  </si>
  <si>
    <t>1.350</t>
  </si>
  <si>
    <t>1.310</t>
  </si>
  <si>
    <t>90.64</t>
  </si>
  <si>
    <t>83.03</t>
  </si>
  <si>
    <t>24.39</t>
  </si>
  <si>
    <t>50.43</t>
  </si>
  <si>
    <t>45.39</t>
  </si>
  <si>
    <t>Solan [Candidate]</t>
  </si>
  <si>
    <t>2.113</t>
  </si>
  <si>
    <t>66.77</t>
  </si>
  <si>
    <t>2.331</t>
  </si>
  <si>
    <t>30.06</t>
  </si>
  <si>
    <t>2.229</t>
  </si>
  <si>
    <t>2.230</t>
  </si>
  <si>
    <t>55.77</t>
  </si>
  <si>
    <t>41.38</t>
  </si>
  <si>
    <t>2.231</t>
  </si>
  <si>
    <t>51.08</t>
  </si>
  <si>
    <t>77.80</t>
  </si>
  <si>
    <t>2.226</t>
  </si>
  <si>
    <t>45.55</t>
  </si>
  <si>
    <t>2.243</t>
  </si>
  <si>
    <t>78.74</t>
  </si>
  <si>
    <t>28.33</t>
  </si>
  <si>
    <t>2.247</t>
  </si>
  <si>
    <t>51.36</t>
  </si>
  <si>
    <t>2.153</t>
  </si>
  <si>
    <t>31.90</t>
  </si>
  <si>
    <t>2.241</t>
  </si>
  <si>
    <t>51.31</t>
  </si>
  <si>
    <t>90.57</t>
  </si>
  <si>
    <t>2.180</t>
  </si>
  <si>
    <t>38.06</t>
  </si>
  <si>
    <t>56.89</t>
  </si>
  <si>
    <t>72.29</t>
  </si>
  <si>
    <t>52.01</t>
  </si>
  <si>
    <t>37.73</t>
  </si>
  <si>
    <t>Western Isles [Candidate]</t>
  </si>
  <si>
    <t>40.04</t>
  </si>
  <si>
    <t>65.87</t>
  </si>
  <si>
    <t>1.925</t>
  </si>
  <si>
    <t>2.038</t>
  </si>
  <si>
    <t>43.28</t>
  </si>
  <si>
    <t>61.18</t>
  </si>
  <si>
    <t>37.12</t>
  </si>
  <si>
    <t>73.56</t>
  </si>
  <si>
    <t>60.82</t>
  </si>
  <si>
    <t>69.92</t>
  </si>
  <si>
    <t>67.02</t>
  </si>
  <si>
    <t>40.98</t>
  </si>
  <si>
    <t>48.61</t>
  </si>
  <si>
    <t>65.44</t>
  </si>
  <si>
    <t>66.34</t>
  </si>
  <si>
    <t>62.05</t>
  </si>
  <si>
    <t>65.33</t>
  </si>
  <si>
    <t>42.71</t>
  </si>
  <si>
    <t>44.08</t>
  </si>
  <si>
    <t>2.416</t>
  </si>
  <si>
    <t>56.43</t>
  </si>
  <si>
    <t>Alba [Candidate]</t>
  </si>
  <si>
    <t>2.366</t>
  </si>
  <si>
    <t>2.347</t>
  </si>
  <si>
    <t>43.16</t>
  </si>
  <si>
    <t>48.78</t>
  </si>
  <si>
    <t>70.63</t>
  </si>
  <si>
    <t>2.353</t>
  </si>
  <si>
    <t>39.77</t>
  </si>
  <si>
    <t>48.19</t>
  </si>
  <si>
    <t>50.50</t>
  </si>
  <si>
    <t>52.43</t>
  </si>
  <si>
    <t>46.82</t>
  </si>
  <si>
    <t>55.71</t>
  </si>
  <si>
    <t>2.472</t>
  </si>
  <si>
    <t>87.19</t>
  </si>
  <si>
    <t>61.26</t>
  </si>
  <si>
    <t>52.58</t>
  </si>
  <si>
    <t>75.07</t>
  </si>
  <si>
    <t>50.13</t>
  </si>
  <si>
    <t>43.45</t>
  </si>
  <si>
    <t>73.05</t>
  </si>
  <si>
    <t>50.48</t>
  </si>
  <si>
    <t>48.81</t>
  </si>
  <si>
    <t>Escalante [Candidate]</t>
  </si>
  <si>
    <t>2.570</t>
  </si>
  <si>
    <t>23.64</t>
  </si>
  <si>
    <t>2.579</t>
  </si>
  <si>
    <t>52.17</t>
  </si>
  <si>
    <t>54.77</t>
  </si>
  <si>
    <t>2.568</t>
  </si>
  <si>
    <t>42.70</t>
  </si>
  <si>
    <t>2.582</t>
  </si>
  <si>
    <t>56.00</t>
  </si>
  <si>
    <t>39.34</t>
  </si>
  <si>
    <t>54.73</t>
  </si>
  <si>
    <t>64.75</t>
  </si>
  <si>
    <t>68.58</t>
  </si>
  <si>
    <t>2.569</t>
  </si>
  <si>
    <t>39.10</t>
  </si>
  <si>
    <t>2.571</t>
  </si>
  <si>
    <t>66.84</t>
  </si>
  <si>
    <t>54.86</t>
  </si>
  <si>
    <t>46.45</t>
  </si>
  <si>
    <t>60.25</t>
  </si>
  <si>
    <t>59.38</t>
  </si>
  <si>
    <t>50.52</t>
  </si>
  <si>
    <t>32.97</t>
  </si>
  <si>
    <t>2.580</t>
  </si>
  <si>
    <t>41.67</t>
  </si>
  <si>
    <t>2.575</t>
  </si>
  <si>
    <t>53.60</t>
  </si>
  <si>
    <t>Goliat Blend [Candidate]</t>
  </si>
  <si>
    <t>52.02</t>
  </si>
  <si>
    <t>44.90</t>
  </si>
  <si>
    <t>38.99</t>
  </si>
  <si>
    <t>53.48</t>
  </si>
  <si>
    <t>51.35</t>
  </si>
  <si>
    <t>48.36</t>
  </si>
  <si>
    <t>50.26</t>
  </si>
  <si>
    <t>34.76</t>
  </si>
  <si>
    <t>43.36</t>
  </si>
  <si>
    <t>46.22</t>
  </si>
  <si>
    <t>31.62</t>
  </si>
  <si>
    <t>50.57</t>
  </si>
  <si>
    <t>158</t>
  </si>
  <si>
    <t>46.90</t>
  </si>
  <si>
    <t>45.26</t>
  </si>
  <si>
    <t>54.23</t>
  </si>
  <si>
    <t>45.50</t>
  </si>
  <si>
    <t>Gina Krog [Candidate]</t>
  </si>
  <si>
    <t>48.18</t>
  </si>
  <si>
    <t>63.02</t>
  </si>
  <si>
    <t>0.982</t>
  </si>
  <si>
    <t>1.931</t>
  </si>
  <si>
    <t>72.31</t>
  </si>
  <si>
    <t>32.48</t>
  </si>
  <si>
    <t>153.36</t>
  </si>
  <si>
    <t>55.63</t>
  </si>
  <si>
    <t>45.15</t>
  </si>
  <si>
    <t>36.08</t>
  </si>
  <si>
    <t>49.03</t>
  </si>
  <si>
    <t>46.68</t>
  </si>
  <si>
    <t>58.31</t>
  </si>
  <si>
    <t>35.41</t>
  </si>
  <si>
    <t>42.80</t>
  </si>
  <si>
    <t>52.07</t>
  </si>
  <si>
    <t>34.20</t>
  </si>
  <si>
    <t>Gudrun Blend [Candidate]</t>
  </si>
  <si>
    <t>49.47</t>
  </si>
  <si>
    <t>2.442</t>
  </si>
  <si>
    <t>62.82</t>
  </si>
  <si>
    <t>58.10</t>
  </si>
  <si>
    <t>30.56</t>
  </si>
  <si>
    <t>100.30</t>
  </si>
  <si>
    <t>2.447</t>
  </si>
  <si>
    <t>42.16</t>
  </si>
  <si>
    <t>2.434</t>
  </si>
  <si>
    <t>60.58</t>
  </si>
  <si>
    <t>2.430</t>
  </si>
  <si>
    <t>82.73</t>
  </si>
  <si>
    <t>52.19</t>
  </si>
  <si>
    <t>2.446</t>
  </si>
  <si>
    <t>53.74</t>
  </si>
  <si>
    <t>2.431</t>
  </si>
  <si>
    <t>35.84</t>
  </si>
  <si>
    <t>58.56</t>
  </si>
  <si>
    <t>2.429</t>
  </si>
  <si>
    <t>55.98</t>
  </si>
  <si>
    <t>65.26</t>
  </si>
  <si>
    <t>46.71</t>
  </si>
  <si>
    <t>56.47</t>
  </si>
  <si>
    <t>63.35</t>
  </si>
  <si>
    <t>Hebron [Candidate]</t>
  </si>
  <si>
    <t>53.32</t>
  </si>
  <si>
    <t>2.263</t>
  </si>
  <si>
    <t>33.41</t>
  </si>
  <si>
    <t>45.32</t>
  </si>
  <si>
    <t>41.59</t>
  </si>
  <si>
    <t>65.36</t>
  </si>
  <si>
    <t>42.44</t>
  </si>
  <si>
    <t>54.49</t>
  </si>
  <si>
    <t>38.80</t>
  </si>
  <si>
    <t>66.55</t>
  </si>
  <si>
    <t>27.93</t>
  </si>
  <si>
    <t>121.36</t>
  </si>
  <si>
    <t>56.75</t>
  </si>
  <si>
    <t>1.621</t>
  </si>
  <si>
    <t>1.766</t>
  </si>
  <si>
    <t>36.55</t>
  </si>
  <si>
    <t>52.10</t>
  </si>
  <si>
    <t>71.95</t>
  </si>
  <si>
    <t>35.63</t>
  </si>
  <si>
    <t>32.03</t>
  </si>
  <si>
    <t>Liverpool Bay [Candidate]</t>
  </si>
  <si>
    <t>56.94</t>
  </si>
  <si>
    <t>55.75</t>
  </si>
  <si>
    <t>31.26</t>
  </si>
  <si>
    <t>76.39</t>
  </si>
  <si>
    <t>49.10</t>
  </si>
  <si>
    <t>83.00</t>
  </si>
  <si>
    <t>47.90</t>
  </si>
  <si>
    <t>46.37</t>
  </si>
  <si>
    <t>37.65</t>
  </si>
  <si>
    <t>75.36</t>
  </si>
  <si>
    <t>1.078</t>
  </si>
  <si>
    <t>1.841</t>
  </si>
  <si>
    <t>88.29</t>
  </si>
  <si>
    <t>1.972</t>
  </si>
  <si>
    <t>72.02</t>
  </si>
  <si>
    <t>2.464</t>
  </si>
  <si>
    <t>56.48</t>
  </si>
  <si>
    <t>50.15</t>
  </si>
  <si>
    <t>70.39</t>
  </si>
  <si>
    <t>45.66</t>
  </si>
  <si>
    <t>47.95</t>
  </si>
  <si>
    <t>51.78</t>
  </si>
  <si>
    <t>56.45</t>
  </si>
  <si>
    <t>44.29</t>
  </si>
  <si>
    <t>Novy Port [Candidate]</t>
  </si>
  <si>
    <t>71.60</t>
  </si>
  <si>
    <t>65.40</t>
  </si>
  <si>
    <t>36.51</t>
  </si>
  <si>
    <t>52.48</t>
  </si>
  <si>
    <t>46.50</t>
  </si>
  <si>
    <t>41.87</t>
  </si>
  <si>
    <t>49.20</t>
  </si>
  <si>
    <t>64.86</t>
  </si>
  <si>
    <t>53.00</t>
  </si>
  <si>
    <t>50.64</t>
  </si>
  <si>
    <t>39.28</t>
  </si>
  <si>
    <t>64.50</t>
  </si>
  <si>
    <t>41.55</t>
  </si>
  <si>
    <t>47.79</t>
  </si>
  <si>
    <t>64.39</t>
  </si>
  <si>
    <t>41.95</t>
  </si>
  <si>
    <t>50.09</t>
  </si>
  <si>
    <t>30.81</t>
  </si>
  <si>
    <t>Saharan Blend [Candidate]</t>
  </si>
  <si>
    <t>49.33</t>
  </si>
  <si>
    <t>35.42</t>
  </si>
  <si>
    <t>44.52</t>
  </si>
  <si>
    <t>51.18</t>
  </si>
  <si>
    <t>46.64</t>
  </si>
  <si>
    <t>36.43</t>
  </si>
  <si>
    <t>2.295</t>
  </si>
  <si>
    <t>2.334</t>
  </si>
  <si>
    <t>32.78</t>
  </si>
  <si>
    <t>50.92</t>
  </si>
  <si>
    <t>29.80</t>
  </si>
  <si>
    <t>67.75</t>
  </si>
  <si>
    <t>43.53</t>
  </si>
  <si>
    <t>82.52</t>
  </si>
  <si>
    <t>49.42</t>
  </si>
  <si>
    <t>65.18</t>
  </si>
  <si>
    <t>Schiehallion [Candidate]</t>
  </si>
  <si>
    <t>2.553</t>
  </si>
  <si>
    <t>2.554</t>
  </si>
  <si>
    <t>44.67</t>
  </si>
  <si>
    <t>38.84</t>
  </si>
  <si>
    <t>53.62</t>
  </si>
  <si>
    <t>2.439</t>
  </si>
  <si>
    <t>24.33</t>
  </si>
  <si>
    <t>64.95</t>
  </si>
  <si>
    <t>48.94</t>
  </si>
  <si>
    <t>22.67</t>
  </si>
  <si>
    <t>43.15</t>
  </si>
  <si>
    <t>2.551</t>
  </si>
  <si>
    <t>48.03</t>
  </si>
  <si>
    <t>2.558</t>
  </si>
  <si>
    <t>66.32</t>
  </si>
  <si>
    <t>42.86</t>
  </si>
  <si>
    <t>36.68</t>
  </si>
  <si>
    <t>50.68</t>
  </si>
  <si>
    <t>46.36</t>
  </si>
  <si>
    <t>2.556</t>
  </si>
  <si>
    <t>68.19</t>
  </si>
  <si>
    <t>74.30</t>
  </si>
  <si>
    <t>97.11</t>
  </si>
  <si>
    <t>53.65</t>
  </si>
  <si>
    <t>Statfjord [Candidate]</t>
  </si>
  <si>
    <t>38.79</t>
  </si>
  <si>
    <t>63.76</t>
  </si>
  <si>
    <t>66.22</t>
  </si>
  <si>
    <t>79.37</t>
  </si>
  <si>
    <t>51.68</t>
  </si>
  <si>
    <t>41.00</t>
  </si>
  <si>
    <t>45.25</t>
  </si>
  <si>
    <t>47.36</t>
  </si>
  <si>
    <t>42.13</t>
  </si>
  <si>
    <t>59.29</t>
  </si>
  <si>
    <t>80.38</t>
  </si>
  <si>
    <t>43.81</t>
  </si>
  <si>
    <t>56.59</t>
  </si>
  <si>
    <t>78.82</t>
  </si>
  <si>
    <t>67.73</t>
  </si>
  <si>
    <t>48.10</t>
  </si>
  <si>
    <t>Bakken [Candidate]</t>
  </si>
  <si>
    <t>74.31</t>
  </si>
  <si>
    <t>44.25</t>
  </si>
  <si>
    <t>38.59</t>
  </si>
  <si>
    <t>40.08</t>
  </si>
  <si>
    <t>29.07</t>
  </si>
  <si>
    <t>52.79</t>
  </si>
  <si>
    <t>63.15</t>
  </si>
  <si>
    <t>40.11</t>
  </si>
  <si>
    <t>54.30</t>
  </si>
  <si>
    <t>26.63</t>
  </si>
  <si>
    <t>42.47</t>
  </si>
  <si>
    <t>61.45</t>
  </si>
  <si>
    <t>53.69</t>
  </si>
  <si>
    <t>69.69</t>
  </si>
  <si>
    <t>2.444</t>
  </si>
  <si>
    <t>37.15</t>
  </si>
  <si>
    <t>Buzios [Candidate]</t>
  </si>
  <si>
    <t>2.656</t>
  </si>
  <si>
    <t>44.75</t>
  </si>
  <si>
    <t>47.92</t>
  </si>
  <si>
    <t>38.81</t>
  </si>
  <si>
    <t>60.55</t>
  </si>
  <si>
    <t>34.48</t>
  </si>
  <si>
    <t>45.48</t>
  </si>
  <si>
    <t>33.25</t>
  </si>
  <si>
    <t>37.77</t>
  </si>
  <si>
    <t>68.39</t>
  </si>
  <si>
    <t>52.11</t>
  </si>
  <si>
    <t>57.88</t>
  </si>
  <si>
    <t>71.39</t>
  </si>
  <si>
    <t>50.24</t>
  </si>
  <si>
    <t>30.78</t>
  </si>
  <si>
    <t>70.89</t>
  </si>
  <si>
    <t>Clair [Candidate]</t>
  </si>
  <si>
    <t>58.30</t>
  </si>
  <si>
    <t>37.36</t>
  </si>
  <si>
    <t>47.87</t>
  </si>
  <si>
    <t>45.79</t>
  </si>
  <si>
    <t>55.16</t>
  </si>
  <si>
    <t>33.36</t>
  </si>
  <si>
    <t>1.861</t>
  </si>
  <si>
    <t>32.67</t>
  </si>
  <si>
    <t>69.75</t>
  </si>
  <si>
    <t>43.72</t>
  </si>
  <si>
    <t>56.56</t>
  </si>
  <si>
    <t>47.94</t>
  </si>
  <si>
    <t>53.76</t>
  </si>
  <si>
    <t>48.56</t>
  </si>
  <si>
    <t>48.21</t>
  </si>
  <si>
    <t>50.45</t>
  </si>
  <si>
    <t>Espoir [Candidate]</t>
  </si>
  <si>
    <t>38.73</t>
  </si>
  <si>
    <t>38.64</t>
  </si>
  <si>
    <t>43.30</t>
  </si>
  <si>
    <t>36.97</t>
  </si>
  <si>
    <t>54.84</t>
  </si>
  <si>
    <t>58.50</t>
  </si>
  <si>
    <t>41.62</t>
  </si>
  <si>
    <t>38.29</t>
  </si>
  <si>
    <t>43.48</t>
  </si>
  <si>
    <t>52.76</t>
  </si>
  <si>
    <t>57.98</t>
  </si>
  <si>
    <t>59.60</t>
  </si>
  <si>
    <t>55.95</t>
  </si>
  <si>
    <t>34.31</t>
  </si>
  <si>
    <t>34.54</t>
  </si>
  <si>
    <t>1.873</t>
  </si>
  <si>
    <t>53.25</t>
  </si>
  <si>
    <t>59.97</t>
  </si>
  <si>
    <t>79.22</t>
  </si>
  <si>
    <t>2.322</t>
  </si>
  <si>
    <t>2.680</t>
  </si>
  <si>
    <t>30.09</t>
  </si>
  <si>
    <t>Forties [Candidate]</t>
  </si>
  <si>
    <t>2.437</t>
  </si>
  <si>
    <t>2.418</t>
  </si>
  <si>
    <t>37.88</t>
  </si>
  <si>
    <t>48.41</t>
  </si>
  <si>
    <t>71.46</t>
  </si>
  <si>
    <t>41.41</t>
  </si>
  <si>
    <t>38.71</t>
  </si>
  <si>
    <t>55.88</t>
  </si>
  <si>
    <t>22.76</t>
  </si>
  <si>
    <t>76.63</t>
  </si>
  <si>
    <t>41.01</t>
  </si>
  <si>
    <t>75.61</t>
  </si>
  <si>
    <t>41.17</t>
  </si>
  <si>
    <t>37.58</t>
  </si>
  <si>
    <t>69.79</t>
  </si>
  <si>
    <t>2.207</t>
  </si>
  <si>
    <t>2.188</t>
  </si>
  <si>
    <t>21.60</t>
  </si>
  <si>
    <t>50.99</t>
  </si>
  <si>
    <t>49.36</t>
  </si>
  <si>
    <t>Johan Sverdrup [Candidate]</t>
  </si>
  <si>
    <t>53.50</t>
  </si>
  <si>
    <t>33.99</t>
  </si>
  <si>
    <t>31.39</t>
  </si>
  <si>
    <t>24</t>
  </si>
  <si>
    <t>2.426</t>
  </si>
  <si>
    <t>27.33</t>
  </si>
  <si>
    <t>48.48</t>
  </si>
  <si>
    <t>44.09</t>
  </si>
  <si>
    <t>41.93</t>
  </si>
  <si>
    <t>36.62</t>
  </si>
  <si>
    <t>57.23</t>
  </si>
  <si>
    <t>41.84</t>
  </si>
  <si>
    <t>60.31</t>
  </si>
  <si>
    <t>46.77</t>
  </si>
  <si>
    <t>46.66</t>
  </si>
  <si>
    <t>29.31</t>
  </si>
  <si>
    <t>57.71</t>
  </si>
  <si>
    <t>36.95</t>
  </si>
  <si>
    <t>Lancaster [Candidate]</t>
  </si>
  <si>
    <t>1.798</t>
  </si>
  <si>
    <t>1.761</t>
  </si>
  <si>
    <t>36.66</t>
  </si>
  <si>
    <t>2.404</t>
  </si>
  <si>
    <t>32.58</t>
  </si>
  <si>
    <t>2.281</t>
  </si>
  <si>
    <t>2.409</t>
  </si>
  <si>
    <t>40.82</t>
  </si>
  <si>
    <t>2.287</t>
  </si>
  <si>
    <t>1.883</t>
  </si>
  <si>
    <t>1.845</t>
  </si>
  <si>
    <t>2.412</t>
  </si>
  <si>
    <t>2.413</t>
  </si>
  <si>
    <t>36.29</t>
  </si>
  <si>
    <t>24.85</t>
  </si>
  <si>
    <t>57.37</t>
  </si>
  <si>
    <t>60.64</t>
  </si>
  <si>
    <t>2.414</t>
  </si>
  <si>
    <t>71.16</t>
  </si>
  <si>
    <t>68.07</t>
  </si>
  <si>
    <t>50.12</t>
  </si>
  <si>
    <t>42.92</t>
  </si>
  <si>
    <t>56.60</t>
  </si>
  <si>
    <t>60.52</t>
  </si>
  <si>
    <t>50.06</t>
  </si>
  <si>
    <t>Lula [Candidate]</t>
  </si>
  <si>
    <t>66.31</t>
  </si>
  <si>
    <t>38.02</t>
  </si>
  <si>
    <t>32.92</t>
  </si>
  <si>
    <t>58.72</t>
  </si>
  <si>
    <t>35.88</t>
  </si>
  <si>
    <t>63.53</t>
  </si>
  <si>
    <t>44.24</t>
  </si>
  <si>
    <t>60.14</t>
  </si>
  <si>
    <t>58.33</t>
  </si>
  <si>
    <t>53.93</t>
  </si>
  <si>
    <t>71.97</t>
  </si>
  <si>
    <t>52.72</t>
  </si>
  <si>
    <t>54.27</t>
  </si>
  <si>
    <t>40.76</t>
  </si>
  <si>
    <t>32.34</t>
  </si>
  <si>
    <t>Plutonio [Candidate]</t>
  </si>
  <si>
    <t>36.45</t>
  </si>
  <si>
    <t>41.21</t>
  </si>
  <si>
    <t>39.04</t>
  </si>
  <si>
    <t>39.98</t>
  </si>
  <si>
    <t>45.68</t>
  </si>
  <si>
    <t>44.81</t>
  </si>
  <si>
    <t>33.21</t>
  </si>
  <si>
    <t>139.53</t>
  </si>
  <si>
    <t>33.46</t>
  </si>
  <si>
    <t>41.77</t>
  </si>
  <si>
    <t>54.62</t>
  </si>
  <si>
    <t>1.599</t>
  </si>
  <si>
    <t>80.46</t>
  </si>
  <si>
    <t>42.95</t>
  </si>
  <si>
    <t>49.24</t>
  </si>
  <si>
    <t>85.55</t>
  </si>
  <si>
    <t>44.18</t>
  </si>
  <si>
    <t>31.24</t>
  </si>
  <si>
    <t>45.82</t>
  </si>
  <si>
    <t>Sarir Messla Blend [Candidate]</t>
  </si>
  <si>
    <t>57.28</t>
  </si>
  <si>
    <t>82.17</t>
  </si>
  <si>
    <t>70.44</t>
  </si>
  <si>
    <t>57.86</t>
  </si>
  <si>
    <t>54.39</t>
  </si>
  <si>
    <t>28.10</t>
  </si>
  <si>
    <t>53.86</t>
  </si>
  <si>
    <t>99.49</t>
  </si>
  <si>
    <t>57.36</t>
  </si>
  <si>
    <t>62.70</t>
  </si>
  <si>
    <t>50.74</t>
  </si>
  <si>
    <t>33.80</t>
  </si>
  <si>
    <t>56.25</t>
  </si>
  <si>
    <t>39.03</t>
  </si>
  <si>
    <t>93.68</t>
  </si>
  <si>
    <t>33.10</t>
  </si>
  <si>
    <t>72.04</t>
  </si>
  <si>
    <t>72.24</t>
  </si>
  <si>
    <t>Thunder Horse [Candidate]</t>
  </si>
  <si>
    <t>69.01</t>
  </si>
  <si>
    <t>48.15</t>
  </si>
  <si>
    <t>40.89</t>
  </si>
  <si>
    <t>38.35</t>
  </si>
  <si>
    <t>46.73</t>
  </si>
  <si>
    <t>48.84</t>
  </si>
  <si>
    <t>74.14</t>
  </si>
  <si>
    <t>39.07</t>
  </si>
  <si>
    <t>56.79</t>
  </si>
  <si>
    <t>41.26</t>
  </si>
  <si>
    <t>75.96</t>
  </si>
  <si>
    <t>1.936</t>
  </si>
  <si>
    <t>1.899</t>
  </si>
  <si>
    <t>81.90</t>
  </si>
  <si>
    <t>39.90</t>
  </si>
  <si>
    <t>Arab Light [Candidate]</t>
  </si>
  <si>
    <t>1.633</t>
  </si>
  <si>
    <t>1.597</t>
  </si>
  <si>
    <t>59.16</t>
  </si>
  <si>
    <t>2.440</t>
  </si>
  <si>
    <t>32.57</t>
  </si>
  <si>
    <t>44.21</t>
  </si>
  <si>
    <t>2.213</t>
  </si>
  <si>
    <t>73.86</t>
  </si>
  <si>
    <t>25.59</t>
  </si>
  <si>
    <t>2.267</t>
  </si>
  <si>
    <t>2.280</t>
  </si>
  <si>
    <t>30.60</t>
  </si>
  <si>
    <t>80.86</t>
  </si>
  <si>
    <t>49.80</t>
  </si>
  <si>
    <t>66.73</t>
  </si>
  <si>
    <t>2.448</t>
  </si>
  <si>
    <t>32.83</t>
  </si>
  <si>
    <t>60.00</t>
  </si>
  <si>
    <t>54.96</t>
  </si>
  <si>
    <t>1.457</t>
  </si>
  <si>
    <t>1.420</t>
  </si>
  <si>
    <t>66.96</t>
  </si>
  <si>
    <t>38.89</t>
  </si>
  <si>
    <t>77.64</t>
  </si>
  <si>
    <t>N'Kossa [Candidate]</t>
  </si>
  <si>
    <t>57.45</t>
  </si>
  <si>
    <t>68.00</t>
  </si>
  <si>
    <t>55.15</t>
  </si>
  <si>
    <t>57.79</t>
  </si>
  <si>
    <t>37.11</t>
  </si>
  <si>
    <t>34.56</t>
  </si>
  <si>
    <t>30.48</t>
  </si>
  <si>
    <t>33.87</t>
  </si>
  <si>
    <t>51.33</t>
  </si>
  <si>
    <t>2.511</t>
  </si>
  <si>
    <t>45.00</t>
  </si>
  <si>
    <t>52.77</t>
  </si>
  <si>
    <t>56.78</t>
  </si>
  <si>
    <t>65.98</t>
  </si>
  <si>
    <t>51.14</t>
  </si>
  <si>
    <t>35.68</t>
  </si>
  <si>
    <t>34.11</t>
  </si>
  <si>
    <t>53.92</t>
  </si>
  <si>
    <t>Chinguetti [Candidate]</t>
  </si>
  <si>
    <t>46.96</t>
  </si>
  <si>
    <t>59.30</t>
  </si>
  <si>
    <t>47.31</t>
  </si>
  <si>
    <t>51.63</t>
  </si>
  <si>
    <t>56.96</t>
  </si>
  <si>
    <t>2.510</t>
  </si>
  <si>
    <t>58.57</t>
  </si>
  <si>
    <t>57.01</t>
  </si>
  <si>
    <t>48.32</t>
  </si>
  <si>
    <t>24.98</t>
  </si>
  <si>
    <t>53.72</t>
  </si>
  <si>
    <t>1.252</t>
  </si>
  <si>
    <t>-3.567</t>
  </si>
  <si>
    <t>37.18</t>
  </si>
  <si>
    <t>51.74</t>
  </si>
  <si>
    <t>32.60</t>
  </si>
  <si>
    <t>34.73</t>
  </si>
  <si>
    <t>39.14</t>
  </si>
  <si>
    <t>Gryphon [Candidate]</t>
  </si>
  <si>
    <t>2.567</t>
  </si>
  <si>
    <t>47.71</t>
  </si>
  <si>
    <t>39.47</t>
  </si>
  <si>
    <t>22.23</t>
  </si>
  <si>
    <t>2.565</t>
  </si>
  <si>
    <t>56.71</t>
  </si>
  <si>
    <t>78.75</t>
  </si>
  <si>
    <t>67.13</t>
  </si>
  <si>
    <t>44.62</t>
  </si>
  <si>
    <t>48.82</t>
  </si>
  <si>
    <t>2.563</t>
  </si>
  <si>
    <t>54.00</t>
  </si>
  <si>
    <t>220.95</t>
  </si>
  <si>
    <t>73.51</t>
  </si>
  <si>
    <t>42.83</t>
  </si>
  <si>
    <t>43.34</t>
  </si>
  <si>
    <t>Helm Blend [Candidate]</t>
  </si>
  <si>
    <t>84.01</t>
  </si>
  <si>
    <t>52.94</t>
  </si>
  <si>
    <t>56.87</t>
  </si>
  <si>
    <t>37.14</t>
  </si>
  <si>
    <t>52.00</t>
  </si>
  <si>
    <t>38.16</t>
  </si>
  <si>
    <t>33.86</t>
  </si>
  <si>
    <t>2.008</t>
  </si>
  <si>
    <t>55.85</t>
  </si>
  <si>
    <t>37.39</t>
  </si>
  <si>
    <t>48.90</t>
  </si>
  <si>
    <t>48.30</t>
  </si>
  <si>
    <t>46.61</t>
  </si>
  <si>
    <t>42.90</t>
  </si>
  <si>
    <t>35.12</t>
  </si>
  <si>
    <t>55.64</t>
  </si>
  <si>
    <t>Iracema [Candidate]</t>
  </si>
  <si>
    <t>74.88</t>
  </si>
  <si>
    <t>76.30</t>
  </si>
  <si>
    <t>89.13</t>
  </si>
  <si>
    <t>92.34</t>
  </si>
  <si>
    <t>78.95</t>
  </si>
  <si>
    <t>101.46</t>
  </si>
  <si>
    <t>1.610</t>
  </si>
  <si>
    <t>2.300</t>
  </si>
  <si>
    <t>81.77</t>
  </si>
  <si>
    <t>95.00</t>
  </si>
  <si>
    <t>116.35</t>
  </si>
  <si>
    <t>84.63</t>
  </si>
  <si>
    <t>118.63</t>
  </si>
  <si>
    <t>65.72</t>
  </si>
  <si>
    <t>60.90</t>
  </si>
  <si>
    <t>72.91</t>
  </si>
  <si>
    <t>73.75</t>
  </si>
  <si>
    <t>54.78</t>
  </si>
  <si>
    <t>54.12</t>
  </si>
  <si>
    <t>Qua Iboe [Candidate]</t>
  </si>
  <si>
    <t>44.58</t>
  </si>
  <si>
    <t>30.55</t>
  </si>
  <si>
    <t>43.13</t>
  </si>
  <si>
    <t>44.49</t>
  </si>
  <si>
    <t>42.96</t>
  </si>
  <si>
    <t>44.50</t>
  </si>
  <si>
    <t>50.40</t>
  </si>
  <si>
    <t>40.72</t>
  </si>
  <si>
    <t>52.95</t>
  </si>
  <si>
    <t>38.88</t>
  </si>
  <si>
    <t>115.48</t>
  </si>
  <si>
    <t>66.65</t>
  </si>
  <si>
    <t>40.37</t>
  </si>
  <si>
    <t>62.79</t>
  </si>
  <si>
    <t>64.43</t>
  </si>
  <si>
    <t>54.07</t>
  </si>
  <si>
    <t>Zafiro [Candidate]</t>
  </si>
  <si>
    <t>39.78</t>
  </si>
  <si>
    <t>42.10</t>
  </si>
  <si>
    <t>59.04</t>
  </si>
  <si>
    <t>47.24</t>
  </si>
  <si>
    <t>46.43</t>
  </si>
  <si>
    <t>47.47</t>
  </si>
  <si>
    <t>49.76</t>
  </si>
  <si>
    <t>51.28</t>
  </si>
  <si>
    <t>39.69</t>
  </si>
  <si>
    <t>48.20</t>
  </si>
  <si>
    <t>48.99</t>
  </si>
  <si>
    <t>80.24</t>
  </si>
  <si>
    <t>54.95</t>
  </si>
  <si>
    <t>38.04</t>
  </si>
  <si>
    <t>Abo [Candidate]</t>
  </si>
  <si>
    <t>54.46</t>
  </si>
  <si>
    <t>47.42</t>
  </si>
  <si>
    <t>70.04</t>
  </si>
  <si>
    <t>51.79</t>
  </si>
  <si>
    <t>45.61</t>
  </si>
  <si>
    <t>33.11</t>
  </si>
  <si>
    <t>52.24</t>
  </si>
  <si>
    <t>37.05</t>
  </si>
  <si>
    <t>49.66</t>
  </si>
  <si>
    <t>68.17</t>
  </si>
  <si>
    <t>36.53</t>
  </si>
  <si>
    <t>52.26</t>
  </si>
  <si>
    <t>2.455</t>
  </si>
  <si>
    <t>42.78</t>
  </si>
  <si>
    <t>42.61</t>
  </si>
  <si>
    <t>62.08</t>
  </si>
  <si>
    <t>37.62</t>
  </si>
  <si>
    <t>36.50</t>
  </si>
  <si>
    <t>27.17</t>
  </si>
  <si>
    <t>Arab Medium [Candidate]</t>
  </si>
  <si>
    <t>2.310</t>
  </si>
  <si>
    <t>41.18</t>
  </si>
  <si>
    <t>2.288</t>
  </si>
  <si>
    <t>33.03</t>
  </si>
  <si>
    <t>45.81</t>
  </si>
  <si>
    <t>2.313</t>
  </si>
  <si>
    <t>51.96</t>
  </si>
  <si>
    <t>2.306</t>
  </si>
  <si>
    <t>85.38</t>
  </si>
  <si>
    <t>2.307</t>
  </si>
  <si>
    <t>2.296</t>
  </si>
  <si>
    <t>49.41</t>
  </si>
  <si>
    <t>72.34</t>
  </si>
  <si>
    <t>53.04</t>
  </si>
  <si>
    <t>2.286</t>
  </si>
  <si>
    <t>45.19</t>
  </si>
  <si>
    <t>54.33</t>
  </si>
  <si>
    <t>71.21</t>
  </si>
  <si>
    <t>41.24</t>
  </si>
  <si>
    <t>0.994</t>
  </si>
  <si>
    <t>2.050</t>
  </si>
  <si>
    <t>76.35</t>
  </si>
  <si>
    <t>67.35</t>
  </si>
  <si>
    <t>Captain [Candidate]</t>
  </si>
  <si>
    <t>50.76</t>
  </si>
  <si>
    <t>43.35</t>
  </si>
  <si>
    <t>33.97</t>
  </si>
  <si>
    <t>65.84</t>
  </si>
  <si>
    <t>36.32</t>
  </si>
  <si>
    <t>45.60</t>
  </si>
  <si>
    <t>66.27</t>
  </si>
  <si>
    <t>2.557</t>
  </si>
  <si>
    <t>44.30</t>
  </si>
  <si>
    <t>39.81</t>
  </si>
  <si>
    <t>54.16</t>
  </si>
  <si>
    <t>30.17</t>
  </si>
  <si>
    <t>64.99</t>
  </si>
  <si>
    <t>37.80</t>
  </si>
  <si>
    <t>36.34</t>
  </si>
  <si>
    <t>Ekofisk [Candidate]</t>
  </si>
  <si>
    <t>60.12</t>
  </si>
  <si>
    <t>37.94</t>
  </si>
  <si>
    <t>55.39</t>
  </si>
  <si>
    <t>157.91</t>
  </si>
  <si>
    <t>55.30</t>
  </si>
  <si>
    <t>47.52</t>
  </si>
  <si>
    <t>26.90</t>
  </si>
  <si>
    <t>37.23</t>
  </si>
  <si>
    <t>54.75</t>
  </si>
  <si>
    <t>25.73</t>
  </si>
  <si>
    <t>34.15</t>
  </si>
  <si>
    <t>54.03</t>
  </si>
  <si>
    <t>96.80</t>
  </si>
  <si>
    <t>70.17</t>
  </si>
  <si>
    <t>40.39</t>
  </si>
  <si>
    <t>81.16</t>
  </si>
  <si>
    <t>Kaliningrad MM16 [Candidate]</t>
  </si>
  <si>
    <t>30.74</t>
  </si>
  <si>
    <t>41.99</t>
  </si>
  <si>
    <t>40.91</t>
  </si>
  <si>
    <t>84.98</t>
  </si>
  <si>
    <t>72.95</t>
  </si>
  <si>
    <t>39.11</t>
  </si>
  <si>
    <t>82.33</t>
  </si>
  <si>
    <t>57.46</t>
  </si>
  <si>
    <t>58.21</t>
  </si>
  <si>
    <t>58.19</t>
  </si>
  <si>
    <t>35.04</t>
  </si>
  <si>
    <t>52.03</t>
  </si>
  <si>
    <t>68.44</t>
  </si>
  <si>
    <t>43.77</t>
  </si>
  <si>
    <t>51.67</t>
  </si>
  <si>
    <t>42.79</t>
  </si>
  <si>
    <t>40.70</t>
  </si>
  <si>
    <t>Knarr [Candidate]</t>
  </si>
  <si>
    <t>77.90</t>
  </si>
  <si>
    <t>37.60</t>
  </si>
  <si>
    <t>38.68</t>
  </si>
  <si>
    <t>57.87</t>
  </si>
  <si>
    <t>43.33</t>
  </si>
  <si>
    <t>65.53</t>
  </si>
  <si>
    <t>73.69</t>
  </si>
  <si>
    <t>1.902</t>
  </si>
  <si>
    <t>1.900</t>
  </si>
  <si>
    <t>47.14</t>
  </si>
  <si>
    <t>81.12</t>
  </si>
  <si>
    <t>33.88</t>
  </si>
  <si>
    <t>59.62</t>
  </si>
  <si>
    <t>26.76</t>
  </si>
  <si>
    <t>46.34</t>
  </si>
  <si>
    <t>33.53</t>
  </si>
  <si>
    <t>52.63</t>
  </si>
  <si>
    <t>71.30</t>
  </si>
  <si>
    <t>Mandji [Candidate]</t>
  </si>
  <si>
    <t>2.361</t>
  </si>
  <si>
    <t>2.359</t>
  </si>
  <si>
    <t>36.09</t>
  </si>
  <si>
    <t>43.49</t>
  </si>
  <si>
    <t>2.427</t>
  </si>
  <si>
    <t>55.06</t>
  </si>
  <si>
    <t>44.59</t>
  </si>
  <si>
    <t>63.69</t>
  </si>
  <si>
    <t>2.432</t>
  </si>
  <si>
    <t>40.46</t>
  </si>
  <si>
    <t>52.49</t>
  </si>
  <si>
    <t>54.19</t>
  </si>
  <si>
    <t>44.43</t>
  </si>
  <si>
    <t>59.88</t>
  </si>
  <si>
    <t>49.26</t>
  </si>
  <si>
    <t>65.30</t>
  </si>
  <si>
    <t>48.68</t>
  </si>
  <si>
    <t>78.47</t>
  </si>
  <si>
    <t>67.72</t>
  </si>
  <si>
    <t>49.52</t>
  </si>
  <si>
    <t>Wytch Farm [Candidate]</t>
  </si>
  <si>
    <t>33.94</t>
  </si>
  <si>
    <t>84.12</t>
  </si>
  <si>
    <t>34.66</t>
  </si>
  <si>
    <t>85.25</t>
  </si>
  <si>
    <t>42.60</t>
  </si>
  <si>
    <t>43.90</t>
  </si>
  <si>
    <t>53.01</t>
  </si>
  <si>
    <t>56.85</t>
  </si>
  <si>
    <t>43.29</t>
  </si>
  <si>
    <t>45.51</t>
  </si>
  <si>
    <t>24.71</t>
  </si>
  <si>
    <t>62.53</t>
  </si>
  <si>
    <t>1.733</t>
  </si>
  <si>
    <t>2.149</t>
  </si>
  <si>
    <t>38.31</t>
  </si>
  <si>
    <t>41.88</t>
  </si>
  <si>
    <t>42.57</t>
  </si>
  <si>
    <t>Agbami [Candidate]</t>
  </si>
  <si>
    <t>40.10</t>
  </si>
  <si>
    <t>46.99</t>
  </si>
  <si>
    <t>2.466</t>
  </si>
  <si>
    <t>38.03</t>
  </si>
  <si>
    <t>46.97</t>
  </si>
  <si>
    <t>54.25</t>
  </si>
  <si>
    <t>2.461</t>
  </si>
  <si>
    <t>33.82</t>
  </si>
  <si>
    <t>62.85</t>
  </si>
  <si>
    <t>22.18</t>
  </si>
  <si>
    <t>57.26</t>
  </si>
  <si>
    <t>49.38</t>
  </si>
  <si>
    <t>84.08</t>
  </si>
  <si>
    <t>45.40</t>
  </si>
  <si>
    <t>49.70</t>
  </si>
  <si>
    <t>88.70</t>
  </si>
  <si>
    <t>55.18</t>
  </si>
  <si>
    <t>42.28</t>
  </si>
  <si>
    <t>56.30</t>
  </si>
  <si>
    <t>Amenam [Candidate]</t>
  </si>
  <si>
    <t>57.99</t>
  </si>
  <si>
    <t>53.63</t>
  </si>
  <si>
    <t>31.89</t>
  </si>
  <si>
    <t>42.41</t>
  </si>
  <si>
    <t>42.66</t>
  </si>
  <si>
    <t>76.62</t>
  </si>
  <si>
    <t>44.87</t>
  </si>
  <si>
    <t>37.95</t>
  </si>
  <si>
    <t>45.08</t>
  </si>
  <si>
    <t>64.80</t>
  </si>
  <si>
    <t>77.63</t>
  </si>
  <si>
    <t>58.06</t>
  </si>
  <si>
    <t>57.96</t>
  </si>
  <si>
    <t>51.30</t>
  </si>
  <si>
    <t>56.19</t>
  </si>
  <si>
    <t>29.78</t>
  </si>
  <si>
    <t>39.18</t>
  </si>
  <si>
    <t>Amna [Candidate]</t>
  </si>
  <si>
    <t>45.33</t>
  </si>
  <si>
    <t>54.68</t>
  </si>
  <si>
    <t>45.96</t>
  </si>
  <si>
    <t>44.56</t>
  </si>
  <si>
    <t>49.11</t>
  </si>
  <si>
    <t>52.50</t>
  </si>
  <si>
    <t>56.44</t>
  </si>
  <si>
    <t>31.77</t>
  </si>
  <si>
    <t>57.04</t>
  </si>
  <si>
    <t>53.21</t>
  </si>
  <si>
    <t>63.24</t>
  </si>
  <si>
    <t>51.17</t>
  </si>
  <si>
    <t>Amstel [Candidate]</t>
  </si>
  <si>
    <t>54.97</t>
  </si>
  <si>
    <t>36.79</t>
  </si>
  <si>
    <t>59.21</t>
  </si>
  <si>
    <t>2.459</t>
  </si>
  <si>
    <t>51.06</t>
  </si>
  <si>
    <t>31.64</t>
  </si>
  <si>
    <t>57.41</t>
  </si>
  <si>
    <t>61.51</t>
  </si>
  <si>
    <t>35.83</t>
  </si>
  <si>
    <t>34.07</t>
  </si>
  <si>
    <t>42.12</t>
  </si>
  <si>
    <t>40.86</t>
  </si>
  <si>
    <t>44.11</t>
  </si>
  <si>
    <t>44.06</t>
  </si>
  <si>
    <t>47.68</t>
  </si>
  <si>
    <t>44.27</t>
  </si>
  <si>
    <t>75.71</t>
  </si>
  <si>
    <t>Bouri [Candidate]</t>
  </si>
  <si>
    <t>43.70</t>
  </si>
  <si>
    <t>48.70</t>
  </si>
  <si>
    <t>28.35</t>
  </si>
  <si>
    <t>2.436</t>
  </si>
  <si>
    <t>50.58</t>
  </si>
  <si>
    <t>48.66</t>
  </si>
  <si>
    <t>36.16</t>
  </si>
  <si>
    <t>2.415</t>
  </si>
  <si>
    <t>33.84</t>
  </si>
  <si>
    <t>62.80</t>
  </si>
  <si>
    <t>85.15</t>
  </si>
  <si>
    <t>49.56</t>
  </si>
  <si>
    <t>55.24</t>
  </si>
  <si>
    <t>61.36</t>
  </si>
  <si>
    <t>58.62</t>
  </si>
  <si>
    <t>53.70</t>
  </si>
  <si>
    <t>70.59</t>
  </si>
  <si>
    <t>33.35</t>
  </si>
  <si>
    <t>El Sharara [Candidate]</t>
  </si>
  <si>
    <t>58.93</t>
  </si>
  <si>
    <t>51.75</t>
  </si>
  <si>
    <t>57.56</t>
  </si>
  <si>
    <t>32.19</t>
  </si>
  <si>
    <t>1.411</t>
  </si>
  <si>
    <t>1.566</t>
  </si>
  <si>
    <t>43.47</t>
  </si>
  <si>
    <t>32.09</t>
  </si>
  <si>
    <t>48.08</t>
  </si>
  <si>
    <t>2.092</t>
  </si>
  <si>
    <t>2.055</t>
  </si>
  <si>
    <t>62.48</t>
  </si>
  <si>
    <t>28.98</t>
  </si>
  <si>
    <t>55.35</t>
  </si>
  <si>
    <t>2.407</t>
  </si>
  <si>
    <t>38.96</t>
  </si>
  <si>
    <t>49.71</t>
  </si>
  <si>
    <t>39.94</t>
  </si>
  <si>
    <t>58.81</t>
  </si>
  <si>
    <t>52.69</t>
  </si>
  <si>
    <t>50.78</t>
  </si>
  <si>
    <t>Escravos [Candidate]</t>
  </si>
  <si>
    <t>27.20</t>
  </si>
  <si>
    <t>69.63</t>
  </si>
  <si>
    <t>58.59</t>
  </si>
  <si>
    <t>46.80</t>
  </si>
  <si>
    <t>42.97</t>
  </si>
  <si>
    <t>25.21</t>
  </si>
  <si>
    <t>2.390</t>
  </si>
  <si>
    <t>49.65</t>
  </si>
  <si>
    <t>44.78</t>
  </si>
  <si>
    <t>58.86</t>
  </si>
  <si>
    <t>70.22</t>
  </si>
  <si>
    <t>44.84</t>
  </si>
  <si>
    <t>45.85</t>
  </si>
  <si>
    <t>57.32</t>
  </si>
  <si>
    <t>83.47</t>
  </si>
  <si>
    <t>36.11</t>
  </si>
  <si>
    <t>Es Sider [Candidate]</t>
  </si>
  <si>
    <t>29.11</t>
  </si>
  <si>
    <t>64.97</t>
  </si>
  <si>
    <t>92.72</t>
  </si>
  <si>
    <t>64.15</t>
  </si>
  <si>
    <t>75.81</t>
  </si>
  <si>
    <t>49.43</t>
  </si>
  <si>
    <t>53.81</t>
  </si>
  <si>
    <t>78.96</t>
  </si>
  <si>
    <t>99.56</t>
  </si>
  <si>
    <t>38.09</t>
  </si>
  <si>
    <t>86.78</t>
  </si>
  <si>
    <t>28.55</t>
  </si>
  <si>
    <t>38.65</t>
  </si>
  <si>
    <t>69.42</t>
  </si>
  <si>
    <t>61.40</t>
  </si>
  <si>
    <t>43.06</t>
  </si>
  <si>
    <t>96.14</t>
  </si>
  <si>
    <t>74.11</t>
  </si>
  <si>
    <t>55.68</t>
  </si>
  <si>
    <t>Girassol [Candidate]</t>
  </si>
  <si>
    <t>39.42</t>
  </si>
  <si>
    <t>67.05</t>
  </si>
  <si>
    <t>52.44</t>
  </si>
  <si>
    <t>52.29</t>
  </si>
  <si>
    <t>54.11</t>
  </si>
  <si>
    <t>31.02</t>
  </si>
  <si>
    <t>72.86</t>
  </si>
  <si>
    <t>31.86</t>
  </si>
  <si>
    <t>1.598</t>
  </si>
  <si>
    <t>-0.319</t>
  </si>
  <si>
    <t>34.36</t>
  </si>
  <si>
    <t>81.01</t>
  </si>
  <si>
    <t>43.39</t>
  </si>
  <si>
    <t>64.22</t>
  </si>
  <si>
    <t>Skarv [Candidate]</t>
  </si>
  <si>
    <t>2.463</t>
  </si>
  <si>
    <t>59.94</t>
  </si>
  <si>
    <t>2.460</t>
  </si>
  <si>
    <t>58.48</t>
  </si>
  <si>
    <t>63.96</t>
  </si>
  <si>
    <t>46.87</t>
  </si>
  <si>
    <t>59.20</t>
  </si>
  <si>
    <t>68.54</t>
  </si>
  <si>
    <t>49.55</t>
  </si>
  <si>
    <t>32.72</t>
  </si>
  <si>
    <t>41.60</t>
  </si>
  <si>
    <t>44.19</t>
  </si>
  <si>
    <t>2.457</t>
  </si>
  <si>
    <t>50.88</t>
  </si>
  <si>
    <t>40.22</t>
  </si>
  <si>
    <t>86.09</t>
  </si>
  <si>
    <t>55.52</t>
  </si>
  <si>
    <t>77.73</t>
  </si>
  <si>
    <t>Arab Extra Light [Candidate]</t>
  </si>
  <si>
    <t>58.09</t>
  </si>
  <si>
    <t>45.02</t>
  </si>
  <si>
    <t>54.38</t>
  </si>
  <si>
    <t>52.33</t>
  </si>
  <si>
    <t>39.67</t>
  </si>
  <si>
    <t>38.19</t>
  </si>
  <si>
    <t>41.05</t>
  </si>
  <si>
    <t>50.18</t>
  </si>
  <si>
    <t>40.83</t>
  </si>
  <si>
    <t>35.02</t>
  </si>
  <si>
    <t>36.92</t>
  </si>
  <si>
    <t>1.914</t>
  </si>
  <si>
    <t>1.877</t>
  </si>
  <si>
    <t>78.62</t>
  </si>
  <si>
    <t>50.71</t>
  </si>
  <si>
    <t>34.92</t>
  </si>
  <si>
    <t>32.45</t>
  </si>
  <si>
    <t>Bonny Light [Candidate]</t>
  </si>
  <si>
    <t>62.75</t>
  </si>
  <si>
    <t>41.42</t>
  </si>
  <si>
    <t>83.50</t>
  </si>
  <si>
    <t>29.74</t>
  </si>
  <si>
    <t>45.07</t>
  </si>
  <si>
    <t>55.38</t>
  </si>
  <si>
    <t>82.53</t>
  </si>
  <si>
    <t>51.49</t>
  </si>
  <si>
    <t>50.19</t>
  </si>
  <si>
    <t>60.73</t>
  </si>
  <si>
    <t>63.59</t>
  </si>
  <si>
    <t>56.33</t>
  </si>
  <si>
    <t>48.73</t>
  </si>
  <si>
    <t>52.22</t>
  </si>
  <si>
    <t>37.20</t>
  </si>
  <si>
    <t>Chestnut [Candidate]</t>
  </si>
  <si>
    <t>32.43</t>
  </si>
  <si>
    <t>1.456</t>
  </si>
  <si>
    <t>1.950</t>
  </si>
  <si>
    <t>44.35</t>
  </si>
  <si>
    <t>58.70</t>
  </si>
  <si>
    <t>47.02</t>
  </si>
  <si>
    <t>1.611</t>
  </si>
  <si>
    <t>2.327</t>
  </si>
  <si>
    <t>43.91</t>
  </si>
  <si>
    <t>56.41</t>
  </si>
  <si>
    <t>58.94</t>
  </si>
  <si>
    <t>58.15</t>
  </si>
  <si>
    <t>58.02</t>
  </si>
  <si>
    <t>50.82</t>
  </si>
  <si>
    <t>CPC Blend [Candidate]</t>
  </si>
  <si>
    <t>45.01</t>
  </si>
  <si>
    <t>31.38</t>
  </si>
  <si>
    <t>62.91</t>
  </si>
  <si>
    <t>43.99</t>
  </si>
  <si>
    <t>64.27</t>
  </si>
  <si>
    <t>46.65</t>
  </si>
  <si>
    <t>41.65</t>
  </si>
  <si>
    <t>2.421</t>
  </si>
  <si>
    <t>38.15</t>
  </si>
  <si>
    <t>47.21</t>
  </si>
  <si>
    <t>52.64</t>
  </si>
  <si>
    <t>76.07</t>
  </si>
  <si>
    <t>36.63</t>
  </si>
  <si>
    <t>68.14</t>
  </si>
  <si>
    <t>2.456</t>
  </si>
  <si>
    <t>46.60</t>
  </si>
  <si>
    <t>34.10</t>
  </si>
  <si>
    <t>Erha [Candidate]</t>
  </si>
  <si>
    <t>62.89</t>
  </si>
  <si>
    <t>59.43</t>
  </si>
  <si>
    <t>62.32</t>
  </si>
  <si>
    <t>48.98</t>
  </si>
  <si>
    <t>54.57</t>
  </si>
  <si>
    <t>51.29</t>
  </si>
  <si>
    <t>48.31</t>
  </si>
  <si>
    <t>86.28</t>
  </si>
  <si>
    <t>71.43</t>
  </si>
  <si>
    <t>57.73</t>
  </si>
  <si>
    <t>47.88</t>
  </si>
  <si>
    <t>50.08</t>
  </si>
  <si>
    <t>31.37</t>
  </si>
  <si>
    <t>Heidrun [Candidate]</t>
  </si>
  <si>
    <t>43.73</t>
  </si>
  <si>
    <t>52.54</t>
  </si>
  <si>
    <t>67.36</t>
  </si>
  <si>
    <t>33.20</t>
  </si>
  <si>
    <t>63.98</t>
  </si>
  <si>
    <t>41.70</t>
  </si>
  <si>
    <t>52.56</t>
  </si>
  <si>
    <t>46.00</t>
  </si>
  <si>
    <t>51.42</t>
  </si>
  <si>
    <t>34.44</t>
  </si>
  <si>
    <t>Mellitah [Candidate]</t>
  </si>
  <si>
    <t>44.77</t>
  </si>
  <si>
    <t>65.01</t>
  </si>
  <si>
    <t>63.07</t>
  </si>
  <si>
    <t>33.34</t>
  </si>
  <si>
    <t>1.986</t>
  </si>
  <si>
    <t>1.949</t>
  </si>
  <si>
    <t>58.99</t>
  </si>
  <si>
    <t>39.83</t>
  </si>
  <si>
    <t>45.78</t>
  </si>
  <si>
    <t>53.95</t>
  </si>
  <si>
    <t>35.98</t>
  </si>
  <si>
    <t>49.68</t>
  </si>
  <si>
    <t>63.65</t>
  </si>
  <si>
    <t>66.88</t>
  </si>
  <si>
    <t>41.57</t>
  </si>
  <si>
    <t>Saxi-Batuque Blend [Candidate]</t>
  </si>
  <si>
    <t>45.75</t>
  </si>
  <si>
    <t>26.14</t>
  </si>
  <si>
    <t>56.74</t>
  </si>
  <si>
    <t>52.46</t>
  </si>
  <si>
    <t>37.74</t>
  </si>
  <si>
    <t>44.86</t>
  </si>
  <si>
    <t>70.48</t>
  </si>
  <si>
    <t>62.88</t>
  </si>
  <si>
    <t>90.16</t>
  </si>
  <si>
    <t>60.10</t>
  </si>
  <si>
    <t>58.75</t>
  </si>
  <si>
    <t>60.18</t>
  </si>
  <si>
    <t>33.32</t>
  </si>
  <si>
    <t>55.29</t>
  </si>
  <si>
    <t>49.12</t>
  </si>
  <si>
    <t>Urals [Candidate]</t>
  </si>
  <si>
    <t>2.369</t>
  </si>
  <si>
    <t>62.78</t>
  </si>
  <si>
    <t>2.389</t>
  </si>
  <si>
    <t>37.86</t>
  </si>
  <si>
    <t>2.385</t>
  </si>
  <si>
    <t>61.84</t>
  </si>
  <si>
    <t>98.98</t>
  </si>
  <si>
    <t>55.67</t>
  </si>
  <si>
    <t>50.85</t>
  </si>
  <si>
    <t>29.98</t>
  </si>
  <si>
    <t>52.74</t>
  </si>
  <si>
    <t>80.32</t>
  </si>
  <si>
    <t>69.64</t>
  </si>
  <si>
    <t>38.92</t>
  </si>
  <si>
    <t>2.363</t>
  </si>
  <si>
    <t>42.06</t>
  </si>
  <si>
    <t>65.49</t>
  </si>
  <si>
    <t>2.244</t>
  </si>
  <si>
    <t>49.00</t>
  </si>
  <si>
    <t>57.08</t>
  </si>
  <si>
    <t>2.249</t>
  </si>
  <si>
    <t>55.82</t>
  </si>
  <si>
    <t>39.43</t>
  </si>
  <si>
    <t>Varendey Blend [Candidate]</t>
  </si>
  <si>
    <t>55.89</t>
  </si>
  <si>
    <t>65.82</t>
  </si>
  <si>
    <t>27.41</t>
  </si>
  <si>
    <t>63.47</t>
  </si>
  <si>
    <t>33.28</t>
  </si>
  <si>
    <t>55.41</t>
  </si>
  <si>
    <t>60.11</t>
  </si>
  <si>
    <t>36.76</t>
  </si>
  <si>
    <t>40.48</t>
  </si>
  <si>
    <t>63.81</t>
  </si>
  <si>
    <t>45.83</t>
  </si>
  <si>
    <t>44.02</t>
  </si>
  <si>
    <t>66.26</t>
  </si>
  <si>
    <t>44.28</t>
  </si>
  <si>
    <t>Antan [Candidate]</t>
  </si>
  <si>
    <t>48.22</t>
  </si>
  <si>
    <t>66.58</t>
  </si>
  <si>
    <t>56.63</t>
  </si>
  <si>
    <t>51.58</t>
  </si>
  <si>
    <t>66.18</t>
  </si>
  <si>
    <t>46.83</t>
  </si>
  <si>
    <t>57.15</t>
  </si>
  <si>
    <t>44.33</t>
  </si>
  <si>
    <t>29.30</t>
  </si>
  <si>
    <t>62.63</t>
  </si>
  <si>
    <t>76.16</t>
  </si>
  <si>
    <t>74.85</t>
  </si>
  <si>
    <t>1.589</t>
  </si>
  <si>
    <t>1.952</t>
  </si>
  <si>
    <t>24.15</t>
  </si>
  <si>
    <t>56.70</t>
  </si>
  <si>
    <t>43.11</t>
  </si>
  <si>
    <t>69.35</t>
  </si>
  <si>
    <t>56.67</t>
  </si>
  <si>
    <t>Brega [Candidate]</t>
  </si>
  <si>
    <t>47.44</t>
  </si>
  <si>
    <t>55.79</t>
  </si>
  <si>
    <t>35.52</t>
  </si>
  <si>
    <t>69.31</t>
  </si>
  <si>
    <t>56.58</t>
  </si>
  <si>
    <t>2.462</t>
  </si>
  <si>
    <t>69.70</t>
  </si>
  <si>
    <t>53.28</t>
  </si>
  <si>
    <t>25.67</t>
  </si>
  <si>
    <t>60.93</t>
  </si>
  <si>
    <t>35.20</t>
  </si>
  <si>
    <t>Brass River [Candidate]</t>
  </si>
  <si>
    <t>33.55</t>
  </si>
  <si>
    <t>34.60</t>
  </si>
  <si>
    <t>80.95</t>
  </si>
  <si>
    <t>51.89</t>
  </si>
  <si>
    <t>39.50</t>
  </si>
  <si>
    <t>1.488</t>
  </si>
  <si>
    <t>1.451</t>
  </si>
  <si>
    <t>81.71</t>
  </si>
  <si>
    <t>48.43</t>
  </si>
  <si>
    <t>23.47</t>
  </si>
  <si>
    <t>70.03</t>
  </si>
  <si>
    <t>62.61</t>
  </si>
  <si>
    <t>62.95</t>
  </si>
  <si>
    <t>60.76</t>
  </si>
  <si>
    <t>45.43</t>
  </si>
  <si>
    <t>39.82</t>
  </si>
  <si>
    <t>65.38</t>
  </si>
  <si>
    <t>49.78</t>
  </si>
  <si>
    <t>34.42</t>
  </si>
  <si>
    <t>32.59</t>
  </si>
  <si>
    <t>Dumbarton [Candidate]</t>
  </si>
  <si>
    <t>36.18</t>
  </si>
  <si>
    <t>39.66</t>
  </si>
  <si>
    <t>2.419</t>
  </si>
  <si>
    <t>42.08</t>
  </si>
  <si>
    <t>37.75</t>
  </si>
  <si>
    <t>46.28</t>
  </si>
  <si>
    <t>62.58</t>
  </si>
  <si>
    <t>52.05</t>
  </si>
  <si>
    <t>48.63</t>
  </si>
  <si>
    <t>64.54</t>
  </si>
  <si>
    <t>41.89</t>
  </si>
  <si>
    <t>52.85</t>
  </si>
  <si>
    <t>43.85</t>
  </si>
  <si>
    <t>41.27</t>
  </si>
  <si>
    <t>27.78</t>
  </si>
  <si>
    <t>40.57</t>
  </si>
  <si>
    <t>40.28</t>
  </si>
  <si>
    <t>Foinaven [Candidate]</t>
  </si>
  <si>
    <t>43.20</t>
  </si>
  <si>
    <t>35.76</t>
  </si>
  <si>
    <t>37.01</t>
  </si>
  <si>
    <t>59.50</t>
  </si>
  <si>
    <t>52.51</t>
  </si>
  <si>
    <t>2.560</t>
  </si>
  <si>
    <t>47.53</t>
  </si>
  <si>
    <t>51.10</t>
  </si>
  <si>
    <t>57.64</t>
  </si>
  <si>
    <t>50.69</t>
  </si>
  <si>
    <t>32.53</t>
  </si>
  <si>
    <t>39.86</t>
  </si>
  <si>
    <t>67.65</t>
  </si>
  <si>
    <t>51.27</t>
  </si>
  <si>
    <t>38.00</t>
  </si>
  <si>
    <t>Forcados [Candidate]</t>
  </si>
  <si>
    <t>46.56</t>
  </si>
  <si>
    <t>59.10</t>
  </si>
  <si>
    <t>42.29</t>
  </si>
  <si>
    <t>42.84</t>
  </si>
  <si>
    <t>66.54</t>
  </si>
  <si>
    <t>39.01</t>
  </si>
  <si>
    <t>37.71</t>
  </si>
  <si>
    <t>69.71</t>
  </si>
  <si>
    <t>59.17</t>
  </si>
  <si>
    <t>51.46</t>
  </si>
  <si>
    <t>56.50</t>
  </si>
  <si>
    <t>50.61</t>
  </si>
  <si>
    <t>Norne [Candidate]</t>
  </si>
  <si>
    <t>63.27</t>
  </si>
  <si>
    <t>42.26</t>
  </si>
  <si>
    <t>30.84</t>
  </si>
  <si>
    <t>39.62</t>
  </si>
  <si>
    <t>61.34</t>
  </si>
  <si>
    <t>41.03</t>
  </si>
  <si>
    <t>57.44</t>
  </si>
  <si>
    <t>40.20</t>
  </si>
  <si>
    <t>80.27</t>
  </si>
  <si>
    <t>35.59</t>
  </si>
  <si>
    <t>48.89</t>
  </si>
  <si>
    <t>36.94</t>
  </si>
  <si>
    <t>Oguendjo [Candidate]</t>
  </si>
  <si>
    <t>78.68</t>
  </si>
  <si>
    <t>2.383</t>
  </si>
  <si>
    <t>31.19</t>
  </si>
  <si>
    <t>51.77</t>
  </si>
  <si>
    <t>59.23</t>
  </si>
  <si>
    <t>48.60</t>
  </si>
  <si>
    <t>61.42</t>
  </si>
  <si>
    <t>51.52</t>
  </si>
  <si>
    <t>69.88</t>
  </si>
  <si>
    <t>90.77</t>
  </si>
  <si>
    <t>36.31</t>
  </si>
  <si>
    <t>64.51</t>
  </si>
  <si>
    <t>66.41</t>
  </si>
  <si>
    <t>1.525</t>
  </si>
  <si>
    <t>1.489</t>
  </si>
  <si>
    <t>56.92</t>
  </si>
  <si>
    <t>Okwori [Candidate]</t>
  </si>
  <si>
    <t>50.05</t>
  </si>
  <si>
    <t>48.71</t>
  </si>
  <si>
    <t>37.78</t>
  </si>
  <si>
    <t>62.29</t>
  </si>
  <si>
    <t>63.63</t>
  </si>
  <si>
    <t>2.349</t>
  </si>
  <si>
    <t>2.630</t>
  </si>
  <si>
    <t>61.82</t>
  </si>
  <si>
    <t>51.70</t>
  </si>
  <si>
    <t>46.74</t>
  </si>
  <si>
    <t>36.52</t>
  </si>
  <si>
    <t>54.59</t>
  </si>
  <si>
    <t>29.43</t>
  </si>
  <si>
    <t>48.76</t>
  </si>
  <si>
    <t>99.40</t>
  </si>
  <si>
    <t>Qarun [Candidate]</t>
  </si>
  <si>
    <t>37.04</t>
  </si>
  <si>
    <t>40.16</t>
  </si>
  <si>
    <t>34.50</t>
  </si>
  <si>
    <t>40.43</t>
  </si>
  <si>
    <t>36.25</t>
  </si>
  <si>
    <t>45.91</t>
  </si>
  <si>
    <t>67.21</t>
  </si>
  <si>
    <t>32.65</t>
  </si>
  <si>
    <t>67.25</t>
  </si>
  <si>
    <t>37.98</t>
  </si>
  <si>
    <t>52.47</t>
  </si>
  <si>
    <t>48.04</t>
  </si>
  <si>
    <t>TEN Blend [Candidate]</t>
  </si>
  <si>
    <t>2.406</t>
  </si>
  <si>
    <t>2.357</t>
  </si>
  <si>
    <t>34.52</t>
  </si>
  <si>
    <t>43.87</t>
  </si>
  <si>
    <t>39.05</t>
  </si>
  <si>
    <t>47.81</t>
  </si>
  <si>
    <t>51.22</t>
  </si>
  <si>
    <t>76.20</t>
  </si>
  <si>
    <t>144</t>
  </si>
  <si>
    <t>54.48</t>
  </si>
  <si>
    <t>1.668</t>
  </si>
  <si>
    <t>1.729</t>
  </si>
  <si>
    <t>38.63</t>
  </si>
  <si>
    <t>53.77</t>
  </si>
  <si>
    <t>39.20</t>
  </si>
  <si>
    <t>35.70</t>
  </si>
  <si>
    <t>Triton [Candidate]</t>
  </si>
  <si>
    <t>28.96</t>
  </si>
  <si>
    <t>42.35</t>
  </si>
  <si>
    <t>95.25</t>
  </si>
  <si>
    <t>58.96</t>
  </si>
  <si>
    <t>40.31</t>
  </si>
  <si>
    <t>50.59</t>
  </si>
  <si>
    <t>64.73</t>
  </si>
  <si>
    <t>51.40</t>
  </si>
  <si>
    <t>37.28</t>
  </si>
  <si>
    <t>59.49</t>
  </si>
  <si>
    <t>Marlim [Candidate]</t>
  </si>
  <si>
    <t>59.71</t>
  </si>
  <si>
    <t>41.30</t>
  </si>
  <si>
    <t>62.07</t>
  </si>
  <si>
    <t>78.64</t>
  </si>
  <si>
    <t>45.58</t>
  </si>
  <si>
    <t>78.01</t>
  </si>
  <si>
    <t>86.90</t>
  </si>
  <si>
    <t>32.06</t>
  </si>
  <si>
    <t>37.69</t>
  </si>
  <si>
    <t>22.58</t>
  </si>
  <si>
    <t>58.69</t>
  </si>
  <si>
    <t>53.91</t>
  </si>
  <si>
    <t>91.68</t>
  </si>
  <si>
    <t>62.69</t>
  </si>
  <si>
    <t>Eagle Ford Shale [Candidate]</t>
  </si>
  <si>
    <t>61.80</t>
  </si>
  <si>
    <t>49.39</t>
  </si>
  <si>
    <t>44.94</t>
  </si>
  <si>
    <t>26.23</t>
  </si>
  <si>
    <t>60.46</t>
  </si>
  <si>
    <t>68.73</t>
  </si>
  <si>
    <t>54.53</t>
  </si>
  <si>
    <t>50.32</t>
  </si>
  <si>
    <t>2.027</t>
  </si>
  <si>
    <t>38.61</t>
  </si>
  <si>
    <t>29.48</t>
  </si>
  <si>
    <t>45.36</t>
  </si>
  <si>
    <t>47.34</t>
  </si>
  <si>
    <t>54.81</t>
  </si>
  <si>
    <t>46.78</t>
  </si>
  <si>
    <t>31.79</t>
  </si>
  <si>
    <t>2.045</t>
  </si>
  <si>
    <t>96.39</t>
  </si>
  <si>
    <t>55.07</t>
  </si>
  <si>
    <t>66.44</t>
  </si>
  <si>
    <t>77.30</t>
  </si>
  <si>
    <t>53.40</t>
  </si>
  <si>
    <t>2.425</t>
  </si>
  <si>
    <t>47.99</t>
  </si>
  <si>
    <t>45.99</t>
  </si>
  <si>
    <t>56.95</t>
  </si>
  <si>
    <t>42.25</t>
  </si>
  <si>
    <t>Achinsk AtRes [Candidate]</t>
  </si>
  <si>
    <t>38.78</t>
  </si>
  <si>
    <t>52.27</t>
  </si>
  <si>
    <t>34.82</t>
  </si>
  <si>
    <t>44.20</t>
  </si>
  <si>
    <t>76.36</t>
  </si>
  <si>
    <t>65.81</t>
  </si>
  <si>
    <t>74.39</t>
  </si>
  <si>
    <t>88.44</t>
  </si>
  <si>
    <t>59.55</t>
  </si>
  <si>
    <t>Skikda LSAR [Candidate]</t>
  </si>
  <si>
    <t>2.593</t>
  </si>
  <si>
    <t>59.91</t>
  </si>
  <si>
    <t>2.660</t>
  </si>
  <si>
    <t>26.60</t>
  </si>
  <si>
    <t>2.594</t>
  </si>
  <si>
    <t>65.70</t>
  </si>
  <si>
    <t>38.58</t>
  </si>
  <si>
    <t>2.614</t>
  </si>
  <si>
    <t>2.629</t>
  </si>
  <si>
    <t>33.12</t>
  </si>
  <si>
    <t>70.78</t>
  </si>
  <si>
    <t>58.40</t>
  </si>
  <si>
    <t>2.572</t>
  </si>
  <si>
    <t>53.59</t>
  </si>
  <si>
    <t>52.97</t>
  </si>
  <si>
    <t>2.584</t>
  </si>
  <si>
    <t>56.10</t>
  </si>
  <si>
    <t>56.62</t>
  </si>
  <si>
    <t>68.49</t>
  </si>
  <si>
    <t>59.99</t>
  </si>
  <si>
    <t>Preem LSAR [Candidate]</t>
  </si>
  <si>
    <t>51.11</t>
  </si>
  <si>
    <t>61.13</t>
  </si>
  <si>
    <t>35.07</t>
  </si>
  <si>
    <t>101.50</t>
  </si>
  <si>
    <t>58.42</t>
  </si>
  <si>
    <t>56.76</t>
  </si>
  <si>
    <t>33.79</t>
  </si>
  <si>
    <t>35.86</t>
  </si>
  <si>
    <t>59.81</t>
  </si>
  <si>
    <t>41.16</t>
  </si>
  <si>
    <t>2.597</t>
  </si>
  <si>
    <t>37.84</t>
  </si>
  <si>
    <t>97.15</t>
  </si>
  <si>
    <t>82.84</t>
  </si>
  <si>
    <t>115.82</t>
  </si>
  <si>
    <t>27.85</t>
  </si>
  <si>
    <t>49.53</t>
  </si>
  <si>
    <t>43.60</t>
  </si>
  <si>
    <t>WTI - Midland [Candidate]</t>
  </si>
  <si>
    <t>44.48</t>
  </si>
  <si>
    <t>71.72</t>
  </si>
  <si>
    <t>58.98</t>
  </si>
  <si>
    <t>62.42</t>
  </si>
  <si>
    <t>60.20</t>
  </si>
  <si>
    <t>36.47</t>
  </si>
  <si>
    <t>39.73</t>
  </si>
  <si>
    <t>30.37</t>
  </si>
  <si>
    <t>52.31</t>
  </si>
  <si>
    <t>46.81</t>
  </si>
  <si>
    <t>45.84</t>
  </si>
  <si>
    <t>65.09</t>
  </si>
  <si>
    <t>40.61</t>
  </si>
  <si>
    <t>53.27</t>
  </si>
  <si>
    <t>33.90</t>
  </si>
  <si>
    <t>40.79</t>
  </si>
  <si>
    <t>Sankofa [Candidate]</t>
  </si>
  <si>
    <t>41.50</t>
  </si>
  <si>
    <t>29.51</t>
  </si>
  <si>
    <t>34.51</t>
  </si>
  <si>
    <t>24.07</t>
  </si>
  <si>
    <t>49.93</t>
  </si>
  <si>
    <t>37.10</t>
  </si>
  <si>
    <t>53.61</t>
  </si>
  <si>
    <t>45.86</t>
  </si>
  <si>
    <t>31.27</t>
  </si>
  <si>
    <t>47.91</t>
  </si>
  <si>
    <t>64.45</t>
  </si>
  <si>
    <t>70.36</t>
  </si>
  <si>
    <t>86.97</t>
  </si>
  <si>
    <t>Asgard Blend [Candidate]</t>
  </si>
  <si>
    <t>61.16</t>
  </si>
  <si>
    <t>38.60</t>
  </si>
  <si>
    <t>58.14</t>
  </si>
  <si>
    <t>44.73</t>
  </si>
  <si>
    <t>54.58</t>
  </si>
  <si>
    <t>33.27</t>
  </si>
  <si>
    <t>60.61</t>
  </si>
  <si>
    <t>59.96</t>
  </si>
  <si>
    <t>25.20</t>
  </si>
  <si>
    <t>43.21</t>
  </si>
  <si>
    <t>48.57</t>
  </si>
  <si>
    <t>67.64</t>
  </si>
  <si>
    <t>59.95</t>
  </si>
  <si>
    <t>69.20</t>
  </si>
  <si>
    <t>28.19</t>
  </si>
  <si>
    <t>43.58</t>
  </si>
  <si>
    <t>3.142</t>
  </si>
  <si>
    <t>Liza [Candidate]</t>
  </si>
  <si>
    <t>67.40</t>
  </si>
  <si>
    <t>63.18</t>
  </si>
  <si>
    <t>104.19</t>
  </si>
  <si>
    <t>73.58</t>
  </si>
  <si>
    <t>46.10</t>
  </si>
  <si>
    <t>52.70</t>
  </si>
  <si>
    <t>61.93</t>
  </si>
  <si>
    <t>64.25</t>
  </si>
  <si>
    <t>58.43</t>
  </si>
  <si>
    <t>62.56</t>
  </si>
  <si>
    <t>77.75</t>
  </si>
  <si>
    <t>67.22</t>
  </si>
  <si>
    <t>86.81</t>
  </si>
  <si>
    <t>47.37</t>
  </si>
  <si>
    <t>42.09</t>
  </si>
  <si>
    <t>Troll [Candidate]</t>
  </si>
  <si>
    <t>53.66</t>
  </si>
  <si>
    <t>74.21</t>
  </si>
  <si>
    <t>54.43</t>
  </si>
  <si>
    <t>49.92</t>
  </si>
  <si>
    <t>46.39</t>
  </si>
  <si>
    <t>30.80</t>
  </si>
  <si>
    <t>2.453</t>
  </si>
  <si>
    <t>72.61</t>
  </si>
  <si>
    <t>66.99</t>
  </si>
  <si>
    <t>59.34</t>
  </si>
  <si>
    <t>44.07</t>
  </si>
  <si>
    <t>53.54</t>
  </si>
  <si>
    <t>50.42</t>
  </si>
  <si>
    <t>42.24</t>
  </si>
  <si>
    <t>This Workbook is to help out analyzing how many multi-starts are required.</t>
  </si>
  <si>
    <t>The recommended approach of RTE is: the number of MS needed is the one for which 95% of the cases are within 0.1% of its 'global' optimum npv.</t>
  </si>
  <si>
    <t>The current set-up is done for maximum 20 Multi-starts. The maximum npv of these MS determines is used as the benchmark 'global' optimum.</t>
  </si>
  <si>
    <t>The spread sheet is set up to analyze multiples of 4 for the numbef of MS. This is chosen as for a PO each case is assigned to one node, which has 4 workers. These workers will each receive one case. So basically it does run 4 cases parallel on one node.</t>
  </si>
  <si>
    <t>Method:</t>
  </si>
  <si>
    <t>How:</t>
  </si>
  <si>
    <t>Set the tranch size to 3 to 5% of tp, e.g. 30 to 60 kt.</t>
  </si>
  <si>
    <t>In Run Settings:</t>
  </si>
  <si>
    <t>Set Nr of MS to 20 (or any number that is high enough that the global optimum is reached)</t>
  </si>
  <si>
    <t>On Result Retrieval Settings: also tick “Multi-Start Metrics”, this is later needed for the evaluation.</t>
  </si>
  <si>
    <t>Export the results to Excel:</t>
  </si>
  <si>
    <t>Go to Metrics button and select “Multi-Start Metrics” from the drop-down box</t>
  </si>
  <si>
    <t>A list with all the cases and its multi-starts results is being shown now</t>
  </si>
  <si>
    <t>Press the Excel icon on top left to export all those results to Excel</t>
  </si>
  <si>
    <t>Copy the MS data that were exported into the workbook to sheet “Multi-start Raw data” to cell B5; delete any data that was still in the sheet that was from a previous run.</t>
  </si>
  <si>
    <t>Press the Button "Case List Reduction": this will do execute a Macro "CaseReduction":</t>
  </si>
  <si>
    <t>It will copy the cases to column Q</t>
  </si>
  <si>
    <t>It will remove duplicates, so that each case is only listed once</t>
  </si>
  <si>
    <t>It will copy these results to the "Metrics overview" sheet column B</t>
  </si>
  <si>
    <t>Analysis</t>
  </si>
  <si>
    <t>The system is set up to show the improvement going from 4 to 8, 12, 16 and 20 MS.</t>
  </si>
  <si>
    <t>Relative delta's (% vs 'global' optimum npv)</t>
  </si>
  <si>
    <t>The results are listed in columns AG-AK.</t>
  </si>
  <si>
    <t>Note: in case the user feels that in a given price environment de tolerance limit of 0.1% is not adequate, then it easy to adjust it:</t>
  </si>
  <si>
    <t>max outlier</t>
  </si>
  <si>
    <t>On-Spec%:</t>
  </si>
  <si>
    <t>target delta%:</t>
  </si>
  <si>
    <t>Change the 0.1% to another number in cell AJ2 on Metrics Overview</t>
  </si>
  <si>
    <t>Content</t>
  </si>
  <si>
    <t>Release</t>
  </si>
  <si>
    <t>Date</t>
  </si>
  <si>
    <t>Who</t>
  </si>
  <si>
    <t>Eric van Zee (RTE)</t>
  </si>
  <si>
    <t>First release</t>
  </si>
  <si>
    <t>Highest npv after nr of MS:</t>
  </si>
  <si>
    <r>
      <rPr>
        <b/>
        <sz val="11"/>
        <color theme="1"/>
        <rFont val="Calibri"/>
        <family val="2"/>
        <scheme val="minor"/>
      </rPr>
      <t>The sensitivity cases</t>
    </r>
    <r>
      <rPr>
        <sz val="11"/>
        <color theme="1"/>
        <rFont val="Calibri"/>
        <family val="2"/>
        <scheme val="minor"/>
      </rPr>
      <t xml:space="preserve"> used for the analysis are usually derived from Mini-Pecking order. As this gives relatively easy many different base case which show good variation.</t>
    </r>
  </si>
  <si>
    <t xml:space="preserve">It is however also possible to expand or modify this approach with different kind of sensitivities and cases. </t>
  </si>
  <si>
    <t>Run a mini-PO; this should contain about 100 cases, for instance with crudes that appear in a Grey Sky; the current template can handle 113 PO crudes max.</t>
  </si>
  <si>
    <t>On top of these columns it shows the number of cases that are exceeding the max delta (default 0.1%), and how much% is within the range.</t>
  </si>
  <si>
    <t>It highlights with green for which number of MS it is higher than 95%.</t>
  </si>
  <si>
    <t>Scope:</t>
  </si>
  <si>
    <t>Generate list below using Copy and Remove Duplicates; then it is copied over to "Metrics Overview"</t>
  </si>
  <si>
    <t>v1.0</t>
  </si>
  <si>
    <t>Version history</t>
  </si>
  <si>
    <t>54.17</t>
  </si>
  <si>
    <t>49.61</t>
  </si>
  <si>
    <t>36.24</t>
  </si>
  <si>
    <t>54.18</t>
  </si>
  <si>
    <t>49.62</t>
  </si>
  <si>
    <t>50.44</t>
  </si>
  <si>
    <t>49.63</t>
  </si>
  <si>
    <t>36.26</t>
  </si>
  <si>
    <t>Copy Paste Values into this range from Excel output from Spiral; stick to this format, start at B5.</t>
  </si>
  <si>
    <t>Nr of cases:</t>
  </si>
  <si>
    <t>Nr of Multi-starts necessary: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</si>
</sst>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0">
    <xf numFmtId="0" fontId="0" fillId="0" borderId="0" xfId="0"/>
    <xf numFmtId="0" fontId="1" fillId="0" borderId="1" xfId="0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2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0" fontId="2" fillId="0" borderId="0" xfId="0" quotePrefix="1" applyFont="1" applyAlignment="1">
      <alignment horizontal="right"/>
    </xf>
    <xf numFmtId="0" fontId="2" fillId="0" borderId="0" xfId="0" applyFont="1"/>
    <xf numFmtId="0" fontId="0" fillId="3" borderId="0" xfId="0" applyFill="1"/>
    <xf numFmtId="0" fontId="0" fillId="2" borderId="0" xfId="0" applyFill="1" applyAlignment="1">
      <alignment horizontal="left"/>
    </xf>
    <xf numFmtId="166" fontId="0" fillId="4" borderId="0" xfId="1" applyNumberFormat="1" applyFont="1" applyFill="1"/>
    <xf numFmtId="0" fontId="4" fillId="3" borderId="0" xfId="0" applyFont="1" applyFill="1" applyAlignment="1">
      <alignment horizontal="center"/>
    </xf>
    <xf numFmtId="0" fontId="5" fillId="0" borderId="0" xfId="0" applyFont="1" applyAlignment="1">
      <alignment vertical="center"/>
    </xf>
    <xf numFmtId="14" fontId="0" fillId="0" borderId="0" xfId="0" applyNumberFormat="1"/>
    <xf numFmtId="10" fontId="0" fillId="3" borderId="0" xfId="0" applyNumberFormat="1" applyFill="1"/>
    <xf numFmtId="164" fontId="7" fillId="0" borderId="0" xfId="0" applyNumberFormat="1" applyFon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/>
  </cellXfs>
  <cellStyles count="2">
    <cellStyle name="Normal" xfId="0" builtinId="0"/>
    <cellStyle name="Percent" xfId="1" builtinId="5"/>
  </cellStyles>
  <dxfs count="3"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12 MS (% npv)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'Metrics overview'!$AI$7:$AI$120</c:f>
              <c:numCache>
                <c:formatCode>0.000</c:formatCode>
                <c:ptCount val="114"/>
                <c:pt idx="0">
                  <c:v>0</c:v>
                </c:pt>
                <c:pt idx="1">
                  <c:v>0.12062726176116259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4.9751243781089048E-2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7.877116975187963E-2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7.9936051159063951E-2</c:v>
                </c:pt>
                <c:pt idx="41">
                  <c:v>0</c:v>
                </c:pt>
                <c:pt idx="42">
                  <c:v>0</c:v>
                </c:pt>
                <c:pt idx="43">
                  <c:v>7.8833267638934959E-2</c:v>
                </c:pt>
                <c:pt idx="44">
                  <c:v>3.9401103230886129E-2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0.12024048096192839</c:v>
                </c:pt>
                <c:pt idx="85">
                  <c:v>0</c:v>
                </c:pt>
                <c:pt idx="86">
                  <c:v>0.16743407283382183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3.9292730844789382E-2</c:v>
                </c:pt>
                <c:pt idx="107">
                  <c:v>0</c:v>
                </c:pt>
                <c:pt idx="108">
                  <c:v>0</c:v>
                </c:pt>
                <c:pt idx="109">
                  <c:v>7.9744816586930778E-2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A1-4F5F-B172-536D7A731637}"/>
            </c:ext>
          </c:extLst>
        </c:ser>
        <c:ser>
          <c:idx val="1"/>
          <c:order val="1"/>
          <c:tx>
            <c:v>limit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'Metrics overview'!$AM$7:$AM$120</c:f>
              <c:numCache>
                <c:formatCode>0.000</c:formatCode>
                <c:ptCount val="11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3-4595-BD7F-70824F48C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498192"/>
        <c:axId val="633501472"/>
      </c:lineChart>
      <c:catAx>
        <c:axId val="633498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01472"/>
        <c:crosses val="autoZero"/>
        <c:auto val="1"/>
        <c:lblAlgn val="ctr"/>
        <c:lblOffset val="100"/>
        <c:noMultiLvlLbl val="0"/>
      </c:catAx>
      <c:valAx>
        <c:axId val="63350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9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</a:t>
            </a:r>
            <a:r>
              <a:rPr lang="en-US" baseline="0"/>
              <a:t> MS (% npv)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'Metrics overview'!$AH$7:$AH$120</c:f>
              <c:numCache>
                <c:formatCode>0.000</c:formatCode>
                <c:ptCount val="114"/>
                <c:pt idx="0">
                  <c:v>5.2356020942402617E-2</c:v>
                </c:pt>
                <c:pt idx="1">
                  <c:v>0.12062726176116259</c:v>
                </c:pt>
                <c:pt idx="2">
                  <c:v>0</c:v>
                </c:pt>
                <c:pt idx="3">
                  <c:v>0.11890606420927917</c:v>
                </c:pt>
                <c:pt idx="4">
                  <c:v>0</c:v>
                </c:pt>
                <c:pt idx="5">
                  <c:v>0</c:v>
                </c:pt>
                <c:pt idx="6">
                  <c:v>0.27649769585252459</c:v>
                </c:pt>
                <c:pt idx="7">
                  <c:v>0</c:v>
                </c:pt>
                <c:pt idx="8">
                  <c:v>0</c:v>
                </c:pt>
                <c:pt idx="9">
                  <c:v>3.9999999999995595E-2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0.16096579476861181</c:v>
                </c:pt>
                <c:pt idx="15">
                  <c:v>4.9751243781089048E-2</c:v>
                </c:pt>
                <c:pt idx="16">
                  <c:v>0.12224938875306085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7.877116975187963E-2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7.9936051159063951E-2</c:v>
                </c:pt>
                <c:pt idx="41">
                  <c:v>0</c:v>
                </c:pt>
                <c:pt idx="42">
                  <c:v>0</c:v>
                </c:pt>
                <c:pt idx="43">
                  <c:v>7.8833267638934959E-2</c:v>
                </c:pt>
                <c:pt idx="44">
                  <c:v>3.9401103230886129E-2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3.9556962025312094E-2</c:v>
                </c:pt>
                <c:pt idx="60">
                  <c:v>7.9968012794873242E-2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7.8802206461772259E-2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3.9651070578901264E-2</c:v>
                </c:pt>
                <c:pt idx="83">
                  <c:v>0</c:v>
                </c:pt>
                <c:pt idx="84">
                  <c:v>0.12024048096192839</c:v>
                </c:pt>
                <c:pt idx="85">
                  <c:v>0</c:v>
                </c:pt>
                <c:pt idx="86">
                  <c:v>0.16743407283382183</c:v>
                </c:pt>
                <c:pt idx="87">
                  <c:v>0</c:v>
                </c:pt>
                <c:pt idx="88">
                  <c:v>0</c:v>
                </c:pt>
                <c:pt idx="89">
                  <c:v>0.12009607686149373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4.0176777822414217E-2</c:v>
                </c:pt>
                <c:pt idx="103">
                  <c:v>0</c:v>
                </c:pt>
                <c:pt idx="104">
                  <c:v>0</c:v>
                </c:pt>
                <c:pt idx="105">
                  <c:v>0.11985617259289308</c:v>
                </c:pt>
                <c:pt idx="106">
                  <c:v>3.9292730844789382E-2</c:v>
                </c:pt>
                <c:pt idx="107">
                  <c:v>0</c:v>
                </c:pt>
                <c:pt idx="108">
                  <c:v>0</c:v>
                </c:pt>
                <c:pt idx="109">
                  <c:v>7.9744816586930778E-2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0-4033-BCE8-50994601EC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'Metrics overview'!$AM$7:$AM$120</c:f>
              <c:numCache>
                <c:formatCode>0.000</c:formatCode>
                <c:ptCount val="11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E0-4033-BCE8-50994601E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498192"/>
        <c:axId val="633501472"/>
      </c:lineChart>
      <c:catAx>
        <c:axId val="633498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01472"/>
        <c:crosses val="autoZero"/>
        <c:auto val="1"/>
        <c:lblAlgn val="ctr"/>
        <c:lblOffset val="100"/>
        <c:noMultiLvlLbl val="0"/>
      </c:catAx>
      <c:valAx>
        <c:axId val="63350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9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4 MS (% npv)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'Metrics overview'!$AG$7:$AG$117</c:f>
              <c:numCache>
                <c:formatCode>0.000</c:formatCode>
                <c:ptCount val="111"/>
                <c:pt idx="0">
                  <c:v>5.2356020942402617E-2</c:v>
                </c:pt>
                <c:pt idx="1">
                  <c:v>0.12062726176116259</c:v>
                </c:pt>
                <c:pt idx="2">
                  <c:v>0</c:v>
                </c:pt>
                <c:pt idx="3">
                  <c:v>0.11890606420927917</c:v>
                </c:pt>
                <c:pt idx="4">
                  <c:v>0</c:v>
                </c:pt>
                <c:pt idx="5">
                  <c:v>0</c:v>
                </c:pt>
                <c:pt idx="6">
                  <c:v>0.27649769585252459</c:v>
                </c:pt>
                <c:pt idx="7">
                  <c:v>0.15588464536243196</c:v>
                </c:pt>
                <c:pt idx="8">
                  <c:v>4.7036688617116178E-2</c:v>
                </c:pt>
                <c:pt idx="9">
                  <c:v>3.9999999999995595E-2</c:v>
                </c:pt>
                <c:pt idx="10">
                  <c:v>0</c:v>
                </c:pt>
                <c:pt idx="11">
                  <c:v>0</c:v>
                </c:pt>
                <c:pt idx="12">
                  <c:v>0.11783189316573724</c:v>
                </c:pt>
                <c:pt idx="13">
                  <c:v>0</c:v>
                </c:pt>
                <c:pt idx="14">
                  <c:v>0.28169014084505728</c:v>
                </c:pt>
                <c:pt idx="15">
                  <c:v>4.9751243781089048E-2</c:v>
                </c:pt>
                <c:pt idx="16">
                  <c:v>0.20374898125510746</c:v>
                </c:pt>
                <c:pt idx="17">
                  <c:v>0</c:v>
                </c:pt>
                <c:pt idx="18">
                  <c:v>0</c:v>
                </c:pt>
                <c:pt idx="19">
                  <c:v>7.7190274025481426E-2</c:v>
                </c:pt>
                <c:pt idx="20">
                  <c:v>4.016064257029453E-2</c:v>
                </c:pt>
                <c:pt idx="21">
                  <c:v>7.9744816586930778E-2</c:v>
                </c:pt>
                <c:pt idx="22">
                  <c:v>0</c:v>
                </c:pt>
                <c:pt idx="23">
                  <c:v>0</c:v>
                </c:pt>
                <c:pt idx="24">
                  <c:v>0.1191895113230081</c:v>
                </c:pt>
                <c:pt idx="25">
                  <c:v>0</c:v>
                </c:pt>
                <c:pt idx="26">
                  <c:v>0.31496062992126012</c:v>
                </c:pt>
                <c:pt idx="27">
                  <c:v>0.11834319526627665</c:v>
                </c:pt>
                <c:pt idx="28">
                  <c:v>0.26702269692922936</c:v>
                </c:pt>
                <c:pt idx="29">
                  <c:v>0</c:v>
                </c:pt>
                <c:pt idx="30">
                  <c:v>0.16090104585679818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0.27569909413155247</c:v>
                </c:pt>
                <c:pt idx="36">
                  <c:v>0.24096385542169588</c:v>
                </c:pt>
                <c:pt idx="37">
                  <c:v>0</c:v>
                </c:pt>
                <c:pt idx="38">
                  <c:v>0.1201441730075959</c:v>
                </c:pt>
                <c:pt idx="39">
                  <c:v>0</c:v>
                </c:pt>
                <c:pt idx="40">
                  <c:v>7.9936051159063951E-2</c:v>
                </c:pt>
                <c:pt idx="41">
                  <c:v>0.28078620136380561</c:v>
                </c:pt>
                <c:pt idx="42">
                  <c:v>7.9396585946813161E-2</c:v>
                </c:pt>
                <c:pt idx="43">
                  <c:v>0.11824990145841993</c:v>
                </c:pt>
                <c:pt idx="44">
                  <c:v>3.9401103230886129E-2</c:v>
                </c:pt>
                <c:pt idx="45">
                  <c:v>4.043671653861261E-2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0.11909487892021094</c:v>
                </c:pt>
                <c:pt idx="58">
                  <c:v>0</c:v>
                </c:pt>
                <c:pt idx="59">
                  <c:v>0.19778481012657803</c:v>
                </c:pt>
                <c:pt idx="60">
                  <c:v>7.9968012794873242E-2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0.16044925792218226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0.12033694344162334</c:v>
                </c:pt>
                <c:pt idx="72">
                  <c:v>0</c:v>
                </c:pt>
                <c:pt idx="73">
                  <c:v>0</c:v>
                </c:pt>
                <c:pt idx="74">
                  <c:v>7.8802206461772259E-2</c:v>
                </c:pt>
                <c:pt idx="75">
                  <c:v>0</c:v>
                </c:pt>
                <c:pt idx="76">
                  <c:v>0</c:v>
                </c:pt>
                <c:pt idx="77">
                  <c:v>8.0547724526791126E-2</c:v>
                </c:pt>
                <c:pt idx="78">
                  <c:v>8.0418174507447676E-2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3.9651070578901264E-2</c:v>
                </c:pt>
                <c:pt idx="83">
                  <c:v>0.11792452830189125</c:v>
                </c:pt>
                <c:pt idx="84">
                  <c:v>0.12024048096192839</c:v>
                </c:pt>
                <c:pt idx="85">
                  <c:v>0.11904761904762357</c:v>
                </c:pt>
                <c:pt idx="86">
                  <c:v>0.50230221850146561</c:v>
                </c:pt>
                <c:pt idx="87">
                  <c:v>0</c:v>
                </c:pt>
                <c:pt idx="88">
                  <c:v>3.9370078740153143E-2</c:v>
                </c:pt>
                <c:pt idx="89">
                  <c:v>0.12009607686149373</c:v>
                </c:pt>
                <c:pt idx="90">
                  <c:v>7.9459674215326973E-2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0.2867677181482865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4.0176777822414217E-2</c:v>
                </c:pt>
                <c:pt idx="103">
                  <c:v>0</c:v>
                </c:pt>
                <c:pt idx="104">
                  <c:v>0</c:v>
                </c:pt>
                <c:pt idx="105">
                  <c:v>0.11985617259289308</c:v>
                </c:pt>
                <c:pt idx="106">
                  <c:v>3.9292730844789382E-2</c:v>
                </c:pt>
                <c:pt idx="107">
                  <c:v>0.12224938875306085</c:v>
                </c:pt>
                <c:pt idx="108">
                  <c:v>0</c:v>
                </c:pt>
                <c:pt idx="109">
                  <c:v>7.9744816586930778E-2</c:v>
                </c:pt>
                <c:pt idx="1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2-4C8D-8899-83DE1DEA9C9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'Metrics overview'!$AM$7:$AM$120</c:f>
              <c:numCache>
                <c:formatCode>0.000</c:formatCode>
                <c:ptCount val="11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2-4C8D-8899-83DE1DEA9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498192"/>
        <c:axId val="633501472"/>
      </c:lineChart>
      <c:catAx>
        <c:axId val="633498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01472"/>
        <c:crosses val="autoZero"/>
        <c:auto val="1"/>
        <c:lblAlgn val="ctr"/>
        <c:lblOffset val="100"/>
        <c:noMultiLvlLbl val="0"/>
      </c:catAx>
      <c:valAx>
        <c:axId val="63350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9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16 MS (% npv)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'Metrics overview'!$AJ$7:$AJ$120</c:f>
              <c:numCache>
                <c:formatCode>0.000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4.9751243781089048E-2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7.877116975187963E-2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3.9401103230886129E-2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0.12024048096192839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7.9744816586930778E-2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AB-40A7-8858-24A2F0EA709E}"/>
            </c:ext>
          </c:extLst>
        </c:ser>
        <c:ser>
          <c:idx val="1"/>
          <c:order val="1"/>
          <c:tx>
            <c:v>limit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'Metrics overview'!$AM$7:$AM$120</c:f>
              <c:numCache>
                <c:formatCode>0.000</c:formatCode>
                <c:ptCount val="11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AB-40A7-8858-24A2F0EA7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498192"/>
        <c:axId val="633501472"/>
      </c:lineChart>
      <c:catAx>
        <c:axId val="633498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01472"/>
        <c:crosses val="autoZero"/>
        <c:auto val="1"/>
        <c:lblAlgn val="ctr"/>
        <c:lblOffset val="100"/>
        <c:noMultiLvlLbl val="0"/>
      </c:catAx>
      <c:valAx>
        <c:axId val="63350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9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219076</xdr:colOff>
      <xdr:row>29</xdr:row>
      <xdr:rowOff>154780</xdr:rowOff>
    </xdr:from>
    <xdr:to>
      <xdr:col>46</xdr:col>
      <xdr:colOff>47625</xdr:colOff>
      <xdr:row>41</xdr:row>
      <xdr:rowOff>64293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226219</xdr:colOff>
      <xdr:row>17</xdr:row>
      <xdr:rowOff>0</xdr:rowOff>
    </xdr:from>
    <xdr:to>
      <xdr:col>45</xdr:col>
      <xdr:colOff>511969</xdr:colOff>
      <xdr:row>28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202406</xdr:colOff>
      <xdr:row>3</xdr:row>
      <xdr:rowOff>154781</xdr:rowOff>
    </xdr:from>
    <xdr:to>
      <xdr:col>45</xdr:col>
      <xdr:colOff>488156</xdr:colOff>
      <xdr:row>15</xdr:row>
      <xdr:rowOff>135731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226218</xdr:colOff>
      <xdr:row>42</xdr:row>
      <xdr:rowOff>178594</xdr:rowOff>
    </xdr:from>
    <xdr:to>
      <xdr:col>46</xdr:col>
      <xdr:colOff>54767</xdr:colOff>
      <xdr:row>54</xdr:row>
      <xdr:rowOff>88107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601980</xdr:colOff>
          <xdr:row>1</xdr:row>
          <xdr:rowOff>22860</xdr:rowOff>
        </xdr:from>
        <xdr:to>
          <xdr:col>15</xdr:col>
          <xdr:colOff>198120</xdr:colOff>
          <xdr:row>3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Case List Reduction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M120"/>
  <sheetViews>
    <sheetView zoomScale="80" zoomScaleNormal="80" workbookViewId="0">
      <pane xSplit="1" ySplit="6" topLeftCell="B7" activePane="bottomRight" state="frozen"/>
      <selection pane="topRight" activeCell="B1" sqref="B1"/>
      <selection pane="bottomLeft" activeCell="A2" sqref="A2"/>
      <selection pane="bottomRight" activeCell="P2" sqref="P2"/>
    </sheetView>
  </sheetViews>
  <sheetFormatPr defaultRowHeight="14.4" x14ac:dyDescent="0.3"/>
  <cols>
    <col min="1" max="1" width="34.33203125" customWidth="1"/>
    <col min="2" max="21" width="6.6640625" customWidth="1"/>
    <col min="22" max="22" width="5.5546875" customWidth="1"/>
    <col min="23" max="27" width="7.109375" customWidth="1"/>
    <col min="28" max="28" width="13.88671875" customWidth="1"/>
    <col min="29" max="32" width="8.33203125" hidden="1" customWidth="1"/>
    <col min="33" max="33" width="9" customWidth="1"/>
    <col min="34" max="34" width="8.109375" customWidth="1"/>
    <col min="35" max="35" width="7.6640625" customWidth="1"/>
    <col min="36" max="36" width="7.44140625" customWidth="1"/>
    <col min="37" max="37" width="7.6640625" customWidth="1"/>
    <col min="38" max="38" width="4.44140625" customWidth="1"/>
    <col min="39" max="39" width="5.109375" customWidth="1"/>
  </cols>
  <sheetData>
    <row r="1" spans="1:39" x14ac:dyDescent="0.3">
      <c r="A1" t="s">
        <v>2480</v>
      </c>
      <c r="AC1" s="8" t="s">
        <v>148</v>
      </c>
      <c r="AH1" s="8" t="s">
        <v>2448</v>
      </c>
    </row>
    <row r="2" spans="1:39" ht="18" x14ac:dyDescent="0.35">
      <c r="A2" s="10">
        <f>COUNTA(A7:A139)</f>
        <v>110</v>
      </c>
      <c r="I2" t="s">
        <v>2481</v>
      </c>
      <c r="M2" s="12">
        <f>IF(AG5&gt;0.95,4,IF(AH5&gt;0.95,8,IF(AI5&gt;0.95,12,IF(AJ5&gt;0.95,16,20))))</f>
        <v>12</v>
      </c>
      <c r="AC2" t="s">
        <v>149</v>
      </c>
      <c r="AH2" t="s">
        <v>2453</v>
      </c>
      <c r="AJ2" s="15">
        <v>1E-3</v>
      </c>
    </row>
    <row r="3" spans="1:39" x14ac:dyDescent="0.3">
      <c r="B3" t="s">
        <v>151</v>
      </c>
      <c r="AB3" s="8" t="s">
        <v>2451</v>
      </c>
      <c r="AC3" s="5"/>
      <c r="AD3" s="5"/>
      <c r="AE3" s="5"/>
      <c r="AF3" s="5"/>
      <c r="AG3" s="6">
        <f>MAX(AG7:AG120)</f>
        <v>0.50230221850146561</v>
      </c>
      <c r="AH3" s="6">
        <f t="shared" ref="AH3:AK3" si="0">MAX(AH7:AH120)</f>
        <v>0.27649769585252459</v>
      </c>
      <c r="AI3" s="6">
        <f t="shared" si="0"/>
        <v>0.16743407283382183</v>
      </c>
      <c r="AJ3" s="6">
        <f t="shared" si="0"/>
        <v>0.12024048096192839</v>
      </c>
      <c r="AK3" s="6">
        <f t="shared" si="0"/>
        <v>0</v>
      </c>
    </row>
    <row r="4" spans="1:39" x14ac:dyDescent="0.3">
      <c r="B4" t="s">
        <v>152</v>
      </c>
      <c r="W4" t="s">
        <v>2461</v>
      </c>
      <c r="AB4" s="8" t="s">
        <v>150</v>
      </c>
      <c r="AC4">
        <f>COUNTIF(AC7:AC120,"&gt;0.002")</f>
        <v>27</v>
      </c>
      <c r="AD4">
        <f>COUNTIF(AD7:AD120,"&gt;0.002")</f>
        <v>6</v>
      </c>
      <c r="AE4">
        <f>COUNTIF(AE7:AE120,"&gt;0.002")</f>
        <v>2</v>
      </c>
      <c r="AF4">
        <f>COUNTIF(AF7:AF120,"&gt;0.002")</f>
        <v>3</v>
      </c>
      <c r="AG4">
        <f>COUNTIF(AG7:AG120,"&gt;"&amp;$AJ$2*100)</f>
        <v>29</v>
      </c>
      <c r="AH4">
        <f t="shared" ref="AH4:AK4" si="1">COUNTIF(AH7:AH120,"&gt;"&amp;$AJ$2*100)</f>
        <v>9</v>
      </c>
      <c r="AI4">
        <f t="shared" si="1"/>
        <v>3</v>
      </c>
      <c r="AJ4">
        <f t="shared" si="1"/>
        <v>1</v>
      </c>
      <c r="AK4">
        <f t="shared" si="1"/>
        <v>0</v>
      </c>
    </row>
    <row r="5" spans="1:39" x14ac:dyDescent="0.3">
      <c r="A5" s="9" t="s">
        <v>153</v>
      </c>
      <c r="AB5" s="8" t="s">
        <v>2452</v>
      </c>
      <c r="AG5" s="11">
        <f>1-AG4/$A$2</f>
        <v>0.73636363636363633</v>
      </c>
      <c r="AH5" s="11">
        <f t="shared" ref="AH5:AK5" si="2">1-AH4/$A$2</f>
        <v>0.91818181818181821</v>
      </c>
      <c r="AI5" s="11">
        <f t="shared" si="2"/>
        <v>0.97272727272727277</v>
      </c>
      <c r="AJ5" s="11">
        <f t="shared" si="2"/>
        <v>0.99090909090909096</v>
      </c>
      <c r="AK5" s="11">
        <f t="shared" si="2"/>
        <v>1</v>
      </c>
    </row>
    <row r="6" spans="1:39" x14ac:dyDescent="0.3">
      <c r="B6" s="1" t="s">
        <v>19</v>
      </c>
      <c r="C6" s="1" t="s">
        <v>24</v>
      </c>
      <c r="D6" s="1" t="s">
        <v>43</v>
      </c>
      <c r="E6" s="1" t="s">
        <v>45</v>
      </c>
      <c r="F6" s="1" t="s">
        <v>26</v>
      </c>
      <c r="G6" s="1" t="s">
        <v>31</v>
      </c>
      <c r="H6" s="1" t="s">
        <v>28</v>
      </c>
      <c r="I6" s="1" t="s">
        <v>15</v>
      </c>
      <c r="J6" s="1" t="s">
        <v>35</v>
      </c>
      <c r="K6" s="1" t="s">
        <v>10</v>
      </c>
      <c r="L6" s="1" t="s">
        <v>46</v>
      </c>
      <c r="M6" s="1" t="s">
        <v>23</v>
      </c>
      <c r="N6" s="1" t="s">
        <v>17</v>
      </c>
      <c r="O6" s="1" t="s">
        <v>38</v>
      </c>
      <c r="P6" s="1" t="s">
        <v>33</v>
      </c>
      <c r="Q6" s="1" t="s">
        <v>39</v>
      </c>
      <c r="R6" s="1" t="s">
        <v>21</v>
      </c>
      <c r="S6" s="1" t="s">
        <v>29</v>
      </c>
      <c r="T6" s="1" t="s">
        <v>36</v>
      </c>
      <c r="U6" s="1" t="s">
        <v>41</v>
      </c>
      <c r="W6" s="8">
        <v>4</v>
      </c>
      <c r="X6" s="8">
        <v>8</v>
      </c>
      <c r="Y6" s="8">
        <v>12</v>
      </c>
      <c r="Z6" s="8">
        <v>16</v>
      </c>
      <c r="AA6" s="8">
        <v>20</v>
      </c>
      <c r="AC6" s="7" t="s">
        <v>144</v>
      </c>
      <c r="AD6" s="7" t="s">
        <v>145</v>
      </c>
      <c r="AE6" s="7" t="s">
        <v>146</v>
      </c>
      <c r="AF6" s="7" t="s">
        <v>147</v>
      </c>
      <c r="AG6" s="8">
        <v>4</v>
      </c>
      <c r="AH6" s="7">
        <v>8</v>
      </c>
      <c r="AI6" s="7">
        <v>12</v>
      </c>
      <c r="AJ6" s="7">
        <v>16</v>
      </c>
      <c r="AK6" s="7">
        <v>20</v>
      </c>
    </row>
    <row r="7" spans="1:39" x14ac:dyDescent="0.3">
      <c r="A7" s="1" t="s">
        <v>9</v>
      </c>
      <c r="B7">
        <f t="array" ref="B7">SUM('Multi-start Raw data'!$D$6:$D$2225*('Multi-start Raw data'!$B$6:$B$2225=$A7)*('Multi-start Raw data'!$C$6:$C$2225=B$6)*('Multi-start Raw data'!$J$6:$J$2225="Fully converged"))</f>
        <v>1.8879999999999999</v>
      </c>
      <c r="C7">
        <f t="array" ref="C7">SUM('Multi-start Raw data'!$D$6:$D$2225*('Multi-start Raw data'!$B$6:$B$2225=$A7)*('Multi-start Raw data'!$C$6:$C$2225=C$6)*('Multi-start Raw data'!$J$6:$J$2225="Fully converged"))</f>
        <v>1.8919999999999999</v>
      </c>
      <c r="D7">
        <f t="array" ref="D7">SUM('Multi-start Raw data'!$D$6:$D$2225*('Multi-start Raw data'!$B$6:$B$2225=$A7)*('Multi-start Raw data'!$C$6:$C$2225=D$6)*('Multi-start Raw data'!$J$6:$J$2225="Fully converged"))</f>
        <v>1.905</v>
      </c>
      <c r="E7">
        <f t="array" ref="E7">SUM('Multi-start Raw data'!$D$6:$D$2225*('Multi-start Raw data'!$B$6:$B$2225=$A7)*('Multi-start Raw data'!$C$6:$C$2225=E$6)*('Multi-start Raw data'!$J$6:$J$2225="Fully converged"))</f>
        <v>1.909</v>
      </c>
      <c r="F7">
        <f t="array" ref="F7">SUM('Multi-start Raw data'!$D$6:$D$2225*('Multi-start Raw data'!$B$6:$B$2225=$A7)*('Multi-start Raw data'!$C$6:$C$2225=F$6)*('Multi-start Raw data'!$J$6:$J$2225="Fully converged"))</f>
        <v>1.909</v>
      </c>
      <c r="G7">
        <f t="array" ref="G7">SUM('Multi-start Raw data'!$D$6:$D$2225*('Multi-start Raw data'!$B$6:$B$2225=$A7)*('Multi-start Raw data'!$C$6:$C$2225=G$6)*('Multi-start Raw data'!$J$6:$J$2225="Fully converged"))</f>
        <v>1.905</v>
      </c>
      <c r="H7">
        <f t="array" ref="H7">SUM('Multi-start Raw data'!$D$6:$D$2225*('Multi-start Raw data'!$B$6:$B$2225=$A7)*('Multi-start Raw data'!$C$6:$C$2225=H$6)*('Multi-start Raw data'!$J$6:$J$2225="Fully converged"))</f>
        <v>1.909</v>
      </c>
      <c r="I7">
        <f t="array" ref="I7">SUM('Multi-start Raw data'!$D$6:$D$2225*('Multi-start Raw data'!$B$6:$B$2225=$A7)*('Multi-start Raw data'!$C$6:$C$2225=I$6)*('Multi-start Raw data'!$J$6:$J$2225="Fully converged"))</f>
        <v>1.909</v>
      </c>
      <c r="J7">
        <f t="array" ref="J7">SUM('Multi-start Raw data'!$D$6:$D$2225*('Multi-start Raw data'!$B$6:$B$2225=$A7)*('Multi-start Raw data'!$C$6:$C$2225=J$6)*('Multi-start Raw data'!$J$6:$J$2225="Fully converged"))</f>
        <v>1.91</v>
      </c>
      <c r="K7">
        <f t="array" ref="K7">SUM('Multi-start Raw data'!$D$6:$D$2225*('Multi-start Raw data'!$B$6:$B$2225=$A7)*('Multi-start Raw data'!$C$6:$C$2225=K$6)*('Multi-start Raw data'!$J$6:$J$2225="Fully converged"))</f>
        <v>1.8879999999999999</v>
      </c>
      <c r="L7">
        <f t="array" ref="L7">SUM('Multi-start Raw data'!$D$6:$D$2225*('Multi-start Raw data'!$B$6:$B$2225=$A7)*('Multi-start Raw data'!$C$6:$C$2225=L$6)*('Multi-start Raw data'!$J$6:$J$2225="Fully converged"))</f>
        <v>1.91</v>
      </c>
      <c r="M7">
        <f t="array" ref="M7">SUM('Multi-start Raw data'!$D$6:$D$2225*('Multi-start Raw data'!$B$6:$B$2225=$A7)*('Multi-start Raw data'!$C$6:$C$2225=M$6)*('Multi-start Raw data'!$J$6:$J$2225="Fully converged"))</f>
        <v>1.909</v>
      </c>
      <c r="N7">
        <f t="array" ref="N7">SUM('Multi-start Raw data'!$D$6:$D$2225*('Multi-start Raw data'!$B$6:$B$2225=$A7)*('Multi-start Raw data'!$C$6:$C$2225=N$6)*('Multi-start Raw data'!$J$6:$J$2225="Fully converged"))</f>
        <v>1.85</v>
      </c>
      <c r="O7">
        <f t="array" ref="O7">SUM('Multi-start Raw data'!$D$6:$D$2225*('Multi-start Raw data'!$B$6:$B$2225=$A7)*('Multi-start Raw data'!$C$6:$C$2225=O$6)*('Multi-start Raw data'!$J$6:$J$2225="Fully converged"))</f>
        <v>1.91</v>
      </c>
      <c r="P7">
        <f t="array" ref="P7">SUM('Multi-start Raw data'!$D$6:$D$2225*('Multi-start Raw data'!$B$6:$B$2225=$A7)*('Multi-start Raw data'!$C$6:$C$2225=P$6)*('Multi-start Raw data'!$J$6:$J$2225="Fully converged"))</f>
        <v>1.8919999999999999</v>
      </c>
      <c r="Q7">
        <f t="array" ref="Q7">SUM('Multi-start Raw data'!$D$6:$D$2225*('Multi-start Raw data'!$B$6:$B$2225=$A7)*('Multi-start Raw data'!$C$6:$C$2225=Q$6)*('Multi-start Raw data'!$J$6:$J$2225="Fully converged"))</f>
        <v>1.89</v>
      </c>
      <c r="R7">
        <f t="array" ref="R7">SUM('Multi-start Raw data'!$D$6:$D$2225*('Multi-start Raw data'!$B$6:$B$2225=$A7)*('Multi-start Raw data'!$C$6:$C$2225=R$6)*('Multi-start Raw data'!$J$6:$J$2225="Fully converged"))</f>
        <v>1.909</v>
      </c>
      <c r="S7">
        <f t="array" ref="S7">SUM('Multi-start Raw data'!$D$6:$D$2225*('Multi-start Raw data'!$B$6:$B$2225=$A7)*('Multi-start Raw data'!$C$6:$C$2225=S$6)*('Multi-start Raw data'!$J$6:$J$2225="Fully converged"))</f>
        <v>1.91</v>
      </c>
      <c r="T7">
        <f t="array" ref="T7">SUM('Multi-start Raw data'!$D$6:$D$2225*('Multi-start Raw data'!$B$6:$B$2225=$A7)*('Multi-start Raw data'!$C$6:$C$2225=T$6)*('Multi-start Raw data'!$J$6:$J$2225="Fully converged"))</f>
        <v>1.905</v>
      </c>
      <c r="U7">
        <f t="array" ref="U7">SUM('Multi-start Raw data'!$D$6:$D$2225*('Multi-start Raw data'!$B$6:$B$2225=$A7)*('Multi-start Raw data'!$C$6:$C$2225=U$6)*('Multi-start Raw data'!$J$6:$J$2225="Fully converged"))</f>
        <v>1.91</v>
      </c>
      <c r="W7" s="6">
        <f>MAX(B7:E7)</f>
        <v>1.909</v>
      </c>
      <c r="X7" s="6">
        <f>MAX(B7:I7)</f>
        <v>1.909</v>
      </c>
      <c r="Y7" s="6">
        <f>MAX(B7:M7)</f>
        <v>1.91</v>
      </c>
      <c r="Z7" s="6">
        <f>MAX(B7:Q7)</f>
        <v>1.91</v>
      </c>
      <c r="AA7" s="6">
        <f>MAX(B7:U7)</f>
        <v>1.91</v>
      </c>
      <c r="AB7" s="6"/>
      <c r="AC7" s="6">
        <f>+X7-W7</f>
        <v>0</v>
      </c>
      <c r="AD7" s="6">
        <f t="shared" ref="AD7:AF7" si="3">+Y7-X7</f>
        <v>9.9999999999988987E-4</v>
      </c>
      <c r="AE7" s="6">
        <f t="shared" si="3"/>
        <v>0</v>
      </c>
      <c r="AF7" s="6">
        <f t="shared" si="3"/>
        <v>0</v>
      </c>
      <c r="AG7" s="6">
        <f t="shared" ref="AG7" si="4">IFERROR(($AA7-W7)/$AA7*100,0)</f>
        <v>5.2356020942402617E-2</v>
      </c>
      <c r="AH7" s="6">
        <f t="shared" ref="AH7" si="5">IFERROR(($AA7-X7)/$AA7*100,0)</f>
        <v>5.2356020942402617E-2</v>
      </c>
      <c r="AI7" s="6">
        <f t="shared" ref="AI7" si="6">IFERROR(($AA7-Y7)/$AA7*100,0)</f>
        <v>0</v>
      </c>
      <c r="AJ7" s="6">
        <f t="shared" ref="AJ7" si="7">IFERROR(($AA7-Z7)/$AA7*100,0)</f>
        <v>0</v>
      </c>
      <c r="AK7" s="6">
        <f t="shared" ref="AK7" si="8">IFERROR(($AA7-AA7)/$AA7*100,0)</f>
        <v>0</v>
      </c>
      <c r="AM7" s="16">
        <f>$AJ$2*100</f>
        <v>0.1</v>
      </c>
    </row>
    <row r="8" spans="1:39" x14ac:dyDescent="0.3">
      <c r="A8" s="1" t="s">
        <v>181</v>
      </c>
      <c r="B8">
        <f t="array" ref="B8">SUM('Multi-start Raw data'!$D$6:$D$2225*('Multi-start Raw data'!$B$6:$B$2225=$A8)*('Multi-start Raw data'!$C$6:$C$2225=B$6)*('Multi-start Raw data'!$J$6:$J$2225="Fully converged"))</f>
        <v>2.484</v>
      </c>
      <c r="C8">
        <f t="array" ref="C8">SUM('Multi-start Raw data'!$D$6:$D$2225*('Multi-start Raw data'!$B$6:$B$2225=$A8)*('Multi-start Raw data'!$C$6:$C$2225=C$6)*('Multi-start Raw data'!$J$6:$J$2225="Fully converged"))</f>
        <v>2.4830000000000001</v>
      </c>
      <c r="D8">
        <f t="array" ref="D8">SUM('Multi-start Raw data'!$D$6:$D$2225*('Multi-start Raw data'!$B$6:$B$2225=$A8)*('Multi-start Raw data'!$C$6:$C$2225=D$6)*('Multi-start Raw data'!$J$6:$J$2225="Fully converged"))</f>
        <v>2.4809999999999999</v>
      </c>
      <c r="E8">
        <f t="array" ref="E8">SUM('Multi-start Raw data'!$D$6:$D$2225*('Multi-start Raw data'!$B$6:$B$2225=$A8)*('Multi-start Raw data'!$C$6:$C$2225=E$6)*('Multi-start Raw data'!$J$6:$J$2225="Fully converged"))</f>
        <v>2.484</v>
      </c>
      <c r="F8">
        <f t="array" ref="F8">SUM('Multi-start Raw data'!$D$6:$D$2225*('Multi-start Raw data'!$B$6:$B$2225=$A8)*('Multi-start Raw data'!$C$6:$C$2225=F$6)*('Multi-start Raw data'!$J$6:$J$2225="Fully converged"))</f>
        <v>0</v>
      </c>
      <c r="G8">
        <f t="array" ref="G8">SUM('Multi-start Raw data'!$D$6:$D$2225*('Multi-start Raw data'!$B$6:$B$2225=$A8)*('Multi-start Raw data'!$C$6:$C$2225=G$6)*('Multi-start Raw data'!$J$6:$J$2225="Fully converged"))</f>
        <v>2.4700000000000002</v>
      </c>
      <c r="H8">
        <f t="array" ref="H8">SUM('Multi-start Raw data'!$D$6:$D$2225*('Multi-start Raw data'!$B$6:$B$2225=$A8)*('Multi-start Raw data'!$C$6:$C$2225=H$6)*('Multi-start Raw data'!$J$6:$J$2225="Fully converged"))</f>
        <v>2.4710000000000001</v>
      </c>
      <c r="I8">
        <f t="array" ref="I8">SUM('Multi-start Raw data'!$D$6:$D$2225*('Multi-start Raw data'!$B$6:$B$2225=$A8)*('Multi-start Raw data'!$C$6:$C$2225=I$6)*('Multi-start Raw data'!$J$6:$J$2225="Fully converged"))</f>
        <v>2.4649999999999999</v>
      </c>
      <c r="J8">
        <f t="array" ref="J8">SUM('Multi-start Raw data'!$D$6:$D$2225*('Multi-start Raw data'!$B$6:$B$2225=$A8)*('Multi-start Raw data'!$C$6:$C$2225=J$6)*('Multi-start Raw data'!$J$6:$J$2225="Fully converged"))</f>
        <v>2.484</v>
      </c>
      <c r="K8">
        <f t="array" ref="K8">SUM('Multi-start Raw data'!$D$6:$D$2225*('Multi-start Raw data'!$B$6:$B$2225=$A8)*('Multi-start Raw data'!$C$6:$C$2225=K$6)*('Multi-start Raw data'!$J$6:$J$2225="Fully converged"))</f>
        <v>2.4649999999999999</v>
      </c>
      <c r="L8">
        <f t="array" ref="L8">SUM('Multi-start Raw data'!$D$6:$D$2225*('Multi-start Raw data'!$B$6:$B$2225=$A8)*('Multi-start Raw data'!$C$6:$C$2225=L$6)*('Multi-start Raw data'!$J$6:$J$2225="Fully converged"))</f>
        <v>2.4769999999999999</v>
      </c>
      <c r="M8">
        <f t="array" ref="M8">SUM('Multi-start Raw data'!$D$6:$D$2225*('Multi-start Raw data'!$B$6:$B$2225=$A8)*('Multi-start Raw data'!$C$6:$C$2225=M$6)*('Multi-start Raw data'!$J$6:$J$2225="Fully converged"))</f>
        <v>2.4710000000000001</v>
      </c>
      <c r="N8">
        <f t="array" ref="N8">SUM('Multi-start Raw data'!$D$6:$D$2225*('Multi-start Raw data'!$B$6:$B$2225=$A8)*('Multi-start Raw data'!$C$6:$C$2225=N$6)*('Multi-start Raw data'!$J$6:$J$2225="Fully converged"))</f>
        <v>2.4870000000000001</v>
      </c>
      <c r="O8">
        <f t="array" ref="O8">SUM('Multi-start Raw data'!$D$6:$D$2225*('Multi-start Raw data'!$B$6:$B$2225=$A8)*('Multi-start Raw data'!$C$6:$C$2225=O$6)*('Multi-start Raw data'!$J$6:$J$2225="Fully converged"))</f>
        <v>2.4849999999999999</v>
      </c>
      <c r="P8">
        <f t="array" ref="P8">SUM('Multi-start Raw data'!$D$6:$D$2225*('Multi-start Raw data'!$B$6:$B$2225=$A8)*('Multi-start Raw data'!$C$6:$C$2225=P$6)*('Multi-start Raw data'!$J$6:$J$2225="Fully converged"))</f>
        <v>2.4670000000000001</v>
      </c>
      <c r="Q8">
        <f t="array" ref="Q8">SUM('Multi-start Raw data'!$D$6:$D$2225*('Multi-start Raw data'!$B$6:$B$2225=$A8)*('Multi-start Raw data'!$C$6:$C$2225=Q$6)*('Multi-start Raw data'!$J$6:$J$2225="Fully converged"))</f>
        <v>2.4849999999999999</v>
      </c>
      <c r="R8">
        <f t="array" ref="R8">SUM('Multi-start Raw data'!$D$6:$D$2225*('Multi-start Raw data'!$B$6:$B$2225=$A8)*('Multi-start Raw data'!$C$6:$C$2225=R$6)*('Multi-start Raw data'!$J$6:$J$2225="Fully converged"))</f>
        <v>2.484</v>
      </c>
      <c r="S8">
        <f t="array" ref="S8">SUM('Multi-start Raw data'!$D$6:$D$2225*('Multi-start Raw data'!$B$6:$B$2225=$A8)*('Multi-start Raw data'!$C$6:$C$2225=S$6)*('Multi-start Raw data'!$J$6:$J$2225="Fully converged"))</f>
        <v>2.4849999999999999</v>
      </c>
      <c r="T8">
        <f t="array" ref="T8">SUM('Multi-start Raw data'!$D$6:$D$2225*('Multi-start Raw data'!$B$6:$B$2225=$A8)*('Multi-start Raw data'!$C$6:$C$2225=T$6)*('Multi-start Raw data'!$J$6:$J$2225="Fully converged"))</f>
        <v>2.484</v>
      </c>
      <c r="U8">
        <f t="array" ref="U8">SUM('Multi-start Raw data'!$D$6:$D$2225*('Multi-start Raw data'!$B$6:$B$2225=$A8)*('Multi-start Raw data'!$C$6:$C$2225=U$6)*('Multi-start Raw data'!$J$6:$J$2225="Fully converged"))</f>
        <v>2.4710000000000001</v>
      </c>
      <c r="W8" s="6">
        <f t="shared" ref="W8:W71" si="9">MAX(B8:E8)</f>
        <v>2.484</v>
      </c>
      <c r="X8" s="6">
        <f t="shared" ref="X8:X71" si="10">MAX(B8:I8)</f>
        <v>2.484</v>
      </c>
      <c r="Y8" s="6">
        <f t="shared" ref="Y8:Y71" si="11">MAX(B8:M8)</f>
        <v>2.484</v>
      </c>
      <c r="Z8" s="6">
        <f t="shared" ref="Z8:Z71" si="12">MAX(B8:Q8)</f>
        <v>2.4870000000000001</v>
      </c>
      <c r="AA8" s="6">
        <f t="shared" ref="AA8:AA71" si="13">MAX(B8:U8)</f>
        <v>2.4870000000000001</v>
      </c>
      <c r="AB8" s="6"/>
      <c r="AC8" s="6">
        <f t="shared" ref="AC8:AC71" si="14">+X8-W8</f>
        <v>0</v>
      </c>
      <c r="AD8" s="6">
        <f t="shared" ref="AD8:AD71" si="15">+Y8-X8</f>
        <v>0</v>
      </c>
      <c r="AE8" s="6">
        <f t="shared" ref="AE8:AE71" si="16">+Z8-Y8</f>
        <v>3.0000000000001137E-3</v>
      </c>
      <c r="AF8" s="6">
        <f t="shared" ref="AF8:AF71" si="17">+AA8-Z8</f>
        <v>0</v>
      </c>
      <c r="AG8" s="6">
        <f t="shared" ref="AG8:AG68" si="18">IFERROR(($AA8-W8)/$AA8*100,0)</f>
        <v>0.12062726176116259</v>
      </c>
      <c r="AH8" s="6">
        <f t="shared" ref="AH8:AH68" si="19">IFERROR(($AA8-X8)/$AA8*100,0)</f>
        <v>0.12062726176116259</v>
      </c>
      <c r="AI8" s="6">
        <f t="shared" ref="AI8:AI68" si="20">IFERROR(($AA8-Y8)/$AA8*100,0)</f>
        <v>0.12062726176116259</v>
      </c>
      <c r="AJ8" s="6">
        <f t="shared" ref="AJ8:AJ68" si="21">IFERROR(($AA8-Z8)/$AA8*100,0)</f>
        <v>0</v>
      </c>
      <c r="AK8" s="6">
        <f t="shared" ref="AK8:AK68" si="22">IFERROR(($AA8-AA8)/$AA8*100,0)</f>
        <v>0</v>
      </c>
      <c r="AM8" s="16">
        <f t="shared" ref="AM8:AM71" si="23">$AJ$2*100</f>
        <v>0.1</v>
      </c>
    </row>
    <row r="9" spans="1:39" x14ac:dyDescent="0.3">
      <c r="A9" s="1" t="s">
        <v>213</v>
      </c>
      <c r="B9">
        <f t="array" ref="B9">SUM('Multi-start Raw data'!$D$6:$D$2225*('Multi-start Raw data'!$B$6:$B$2225=$A9)*('Multi-start Raw data'!$C$6:$C$2225=B$6)*('Multi-start Raw data'!$J$6:$J$2225="Fully converged"))</f>
        <v>2.548</v>
      </c>
      <c r="C9">
        <f t="array" ref="C9">SUM('Multi-start Raw data'!$D$6:$D$2225*('Multi-start Raw data'!$B$6:$B$2225=$A9)*('Multi-start Raw data'!$C$6:$C$2225=C$6)*('Multi-start Raw data'!$J$6:$J$2225="Fully converged"))</f>
        <v>2.5449999999999999</v>
      </c>
      <c r="D9">
        <f t="array" ref="D9">SUM('Multi-start Raw data'!$D$6:$D$2225*('Multi-start Raw data'!$B$6:$B$2225=$A9)*('Multi-start Raw data'!$C$6:$C$2225=D$6)*('Multi-start Raw data'!$J$6:$J$2225="Fully converged"))</f>
        <v>2.552</v>
      </c>
      <c r="E9">
        <f t="array" ref="E9">SUM('Multi-start Raw data'!$D$6:$D$2225*('Multi-start Raw data'!$B$6:$B$2225=$A9)*('Multi-start Raw data'!$C$6:$C$2225=E$6)*('Multi-start Raw data'!$J$6:$J$2225="Fully converged"))</f>
        <v>2.5259999999999998</v>
      </c>
      <c r="F9">
        <f t="array" ref="F9">SUM('Multi-start Raw data'!$D$6:$D$2225*('Multi-start Raw data'!$B$6:$B$2225=$A9)*('Multi-start Raw data'!$C$6:$C$2225=F$6)*('Multi-start Raw data'!$J$6:$J$2225="Fully converged"))</f>
        <v>2.552</v>
      </c>
      <c r="G9">
        <f t="array" ref="G9">SUM('Multi-start Raw data'!$D$6:$D$2225*('Multi-start Raw data'!$B$6:$B$2225=$A9)*('Multi-start Raw data'!$C$6:$C$2225=G$6)*('Multi-start Raw data'!$J$6:$J$2225="Fully converged"))</f>
        <v>2.492</v>
      </c>
      <c r="H9">
        <f t="array" ref="H9">SUM('Multi-start Raw data'!$D$6:$D$2225*('Multi-start Raw data'!$B$6:$B$2225=$A9)*('Multi-start Raw data'!$C$6:$C$2225=H$6)*('Multi-start Raw data'!$J$6:$J$2225="Fully converged"))</f>
        <v>2.5289999999999999</v>
      </c>
      <c r="I9">
        <f t="array" ref="I9">SUM('Multi-start Raw data'!$D$6:$D$2225*('Multi-start Raw data'!$B$6:$B$2225=$A9)*('Multi-start Raw data'!$C$6:$C$2225=I$6)*('Multi-start Raw data'!$J$6:$J$2225="Fully converged"))</f>
        <v>2.5459999999999998</v>
      </c>
      <c r="J9">
        <f t="array" ref="J9">SUM('Multi-start Raw data'!$D$6:$D$2225*('Multi-start Raw data'!$B$6:$B$2225=$A9)*('Multi-start Raw data'!$C$6:$C$2225=J$6)*('Multi-start Raw data'!$J$6:$J$2225="Fully converged"))</f>
        <v>2.5489999999999999</v>
      </c>
      <c r="K9">
        <f t="array" ref="K9">SUM('Multi-start Raw data'!$D$6:$D$2225*('Multi-start Raw data'!$B$6:$B$2225=$A9)*('Multi-start Raw data'!$C$6:$C$2225=K$6)*('Multi-start Raw data'!$J$6:$J$2225="Fully converged"))</f>
        <v>2.5449999999999999</v>
      </c>
      <c r="L9">
        <f t="array" ref="L9">SUM('Multi-start Raw data'!$D$6:$D$2225*('Multi-start Raw data'!$B$6:$B$2225=$A9)*('Multi-start Raw data'!$C$6:$C$2225=L$6)*('Multi-start Raw data'!$J$6:$J$2225="Fully converged"))</f>
        <v>2.552</v>
      </c>
      <c r="M9">
        <f t="array" ref="M9">SUM('Multi-start Raw data'!$D$6:$D$2225*('Multi-start Raw data'!$B$6:$B$2225=$A9)*('Multi-start Raw data'!$C$6:$C$2225=M$6)*('Multi-start Raw data'!$J$6:$J$2225="Fully converged"))</f>
        <v>2.5459999999999998</v>
      </c>
      <c r="N9">
        <f t="array" ref="N9">SUM('Multi-start Raw data'!$D$6:$D$2225*('Multi-start Raw data'!$B$6:$B$2225=$A9)*('Multi-start Raw data'!$C$6:$C$2225=N$6)*('Multi-start Raw data'!$J$6:$J$2225="Fully converged"))</f>
        <v>2.5310000000000001</v>
      </c>
      <c r="O9">
        <f t="array" ref="O9">SUM('Multi-start Raw data'!$D$6:$D$2225*('Multi-start Raw data'!$B$6:$B$2225=$A9)*('Multi-start Raw data'!$C$6:$C$2225=O$6)*('Multi-start Raw data'!$J$6:$J$2225="Fully converged"))</f>
        <v>2.5489999999999999</v>
      </c>
      <c r="P9">
        <f t="array" ref="P9">SUM('Multi-start Raw data'!$D$6:$D$2225*('Multi-start Raw data'!$B$6:$B$2225=$A9)*('Multi-start Raw data'!$C$6:$C$2225=P$6)*('Multi-start Raw data'!$J$6:$J$2225="Fully converged"))</f>
        <v>2.5259999999999998</v>
      </c>
      <c r="Q9">
        <f t="array" ref="Q9">SUM('Multi-start Raw data'!$D$6:$D$2225*('Multi-start Raw data'!$B$6:$B$2225=$A9)*('Multi-start Raw data'!$C$6:$C$2225=Q$6)*('Multi-start Raw data'!$J$6:$J$2225="Fully converged"))</f>
        <v>2.548</v>
      </c>
      <c r="R9">
        <f t="array" ref="R9">SUM('Multi-start Raw data'!$D$6:$D$2225*('Multi-start Raw data'!$B$6:$B$2225=$A9)*('Multi-start Raw data'!$C$6:$C$2225=R$6)*('Multi-start Raw data'!$J$6:$J$2225="Fully converged"))</f>
        <v>2.5489999999999999</v>
      </c>
      <c r="S9">
        <f t="array" ref="S9">SUM('Multi-start Raw data'!$D$6:$D$2225*('Multi-start Raw data'!$B$6:$B$2225=$A9)*('Multi-start Raw data'!$C$6:$C$2225=S$6)*('Multi-start Raw data'!$J$6:$J$2225="Fully converged"))</f>
        <v>2.5470000000000002</v>
      </c>
      <c r="T9">
        <f t="array" ref="T9">SUM('Multi-start Raw data'!$D$6:$D$2225*('Multi-start Raw data'!$B$6:$B$2225=$A9)*('Multi-start Raw data'!$C$6:$C$2225=T$6)*('Multi-start Raw data'!$J$6:$J$2225="Fully converged"))</f>
        <v>2.5259999999999998</v>
      </c>
      <c r="U9">
        <f t="array" ref="U9">SUM('Multi-start Raw data'!$D$6:$D$2225*('Multi-start Raw data'!$B$6:$B$2225=$A9)*('Multi-start Raw data'!$C$6:$C$2225=U$6)*('Multi-start Raw data'!$J$6:$J$2225="Fully converged"))</f>
        <v>2.5489999999999999</v>
      </c>
      <c r="W9" s="6">
        <f t="shared" si="9"/>
        <v>2.552</v>
      </c>
      <c r="X9" s="6">
        <f t="shared" si="10"/>
        <v>2.552</v>
      </c>
      <c r="Y9" s="6">
        <f t="shared" si="11"/>
        <v>2.552</v>
      </c>
      <c r="Z9" s="6">
        <f t="shared" si="12"/>
        <v>2.552</v>
      </c>
      <c r="AA9" s="6">
        <f t="shared" si="13"/>
        <v>2.552</v>
      </c>
      <c r="AB9" s="6"/>
      <c r="AC9" s="6">
        <f t="shared" si="14"/>
        <v>0</v>
      </c>
      <c r="AD9" s="6">
        <f t="shared" si="15"/>
        <v>0</v>
      </c>
      <c r="AE9" s="6">
        <f t="shared" si="16"/>
        <v>0</v>
      </c>
      <c r="AF9" s="6">
        <f t="shared" si="17"/>
        <v>0</v>
      </c>
      <c r="AG9" s="6">
        <f t="shared" si="18"/>
        <v>0</v>
      </c>
      <c r="AH9" s="6">
        <f t="shared" si="19"/>
        <v>0</v>
      </c>
      <c r="AI9" s="6">
        <f t="shared" si="20"/>
        <v>0</v>
      </c>
      <c r="AJ9" s="6">
        <f t="shared" si="21"/>
        <v>0</v>
      </c>
      <c r="AK9" s="6">
        <f t="shared" si="22"/>
        <v>0</v>
      </c>
      <c r="AM9" s="16">
        <f t="shared" si="23"/>
        <v>0.1</v>
      </c>
    </row>
    <row r="10" spans="1:39" x14ac:dyDescent="0.3">
      <c r="A10" s="1" t="s">
        <v>243</v>
      </c>
      <c r="B10">
        <f t="array" ref="B10">SUM('Multi-start Raw data'!$D$6:$D$2225*('Multi-start Raw data'!$B$6:$B$2225=$A10)*('Multi-start Raw data'!$C$6:$C$2225=B$6)*('Multi-start Raw data'!$J$6:$J$2225="Fully converged"))</f>
        <v>2.52</v>
      </c>
      <c r="C10">
        <f t="array" ref="C10">SUM('Multi-start Raw data'!$D$6:$D$2225*('Multi-start Raw data'!$B$6:$B$2225=$A10)*('Multi-start Raw data'!$C$6:$C$2225=C$6)*('Multi-start Raw data'!$J$6:$J$2225="Fully converged"))</f>
        <v>2.516</v>
      </c>
      <c r="D10">
        <f t="array" ref="D10">SUM('Multi-start Raw data'!$D$6:$D$2225*('Multi-start Raw data'!$B$6:$B$2225=$A10)*('Multi-start Raw data'!$C$6:$C$2225=D$6)*('Multi-start Raw data'!$J$6:$J$2225="Fully converged"))</f>
        <v>0</v>
      </c>
      <c r="E10">
        <f t="array" ref="E10">SUM('Multi-start Raw data'!$D$6:$D$2225*('Multi-start Raw data'!$B$6:$B$2225=$A10)*('Multi-start Raw data'!$C$6:$C$2225=E$6)*('Multi-start Raw data'!$J$6:$J$2225="Fully converged"))</f>
        <v>0</v>
      </c>
      <c r="F10">
        <f t="array" ref="F10">SUM('Multi-start Raw data'!$D$6:$D$2225*('Multi-start Raw data'!$B$6:$B$2225=$A10)*('Multi-start Raw data'!$C$6:$C$2225=F$6)*('Multi-start Raw data'!$J$6:$J$2225="Fully converged"))</f>
        <v>2.504</v>
      </c>
      <c r="G10">
        <f t="array" ref="G10">SUM('Multi-start Raw data'!$D$6:$D$2225*('Multi-start Raw data'!$B$6:$B$2225=$A10)*('Multi-start Raw data'!$C$6:$C$2225=G$6)*('Multi-start Raw data'!$J$6:$J$2225="Fully converged"))</f>
        <v>2.4990000000000001</v>
      </c>
      <c r="H10">
        <f t="array" ref="H10">SUM('Multi-start Raw data'!$D$6:$D$2225*('Multi-start Raw data'!$B$6:$B$2225=$A10)*('Multi-start Raw data'!$C$6:$C$2225=H$6)*('Multi-start Raw data'!$J$6:$J$2225="Fully converged"))</f>
        <v>2.4990000000000001</v>
      </c>
      <c r="I10">
        <f t="array" ref="I10">SUM('Multi-start Raw data'!$D$6:$D$2225*('Multi-start Raw data'!$B$6:$B$2225=$A10)*('Multi-start Raw data'!$C$6:$C$2225=I$6)*('Multi-start Raw data'!$J$6:$J$2225="Fully converged"))</f>
        <v>2.52</v>
      </c>
      <c r="J10">
        <f t="array" ref="J10">SUM('Multi-start Raw data'!$D$6:$D$2225*('Multi-start Raw data'!$B$6:$B$2225=$A10)*('Multi-start Raw data'!$C$6:$C$2225=J$6)*('Multi-start Raw data'!$J$6:$J$2225="Fully converged"))</f>
        <v>2.52</v>
      </c>
      <c r="K10">
        <f t="array" ref="K10">SUM('Multi-start Raw data'!$D$6:$D$2225*('Multi-start Raw data'!$B$6:$B$2225=$A10)*('Multi-start Raw data'!$C$6:$C$2225=K$6)*('Multi-start Raw data'!$J$6:$J$2225="Fully converged"))</f>
        <v>2.52</v>
      </c>
      <c r="L10">
        <f t="array" ref="L10">SUM('Multi-start Raw data'!$D$6:$D$2225*('Multi-start Raw data'!$B$6:$B$2225=$A10)*('Multi-start Raw data'!$C$6:$C$2225=L$6)*('Multi-start Raw data'!$J$6:$J$2225="Fully converged"))</f>
        <v>2.5230000000000001</v>
      </c>
      <c r="M10">
        <f t="array" ref="M10">SUM('Multi-start Raw data'!$D$6:$D$2225*('Multi-start Raw data'!$B$6:$B$2225=$A10)*('Multi-start Raw data'!$C$6:$C$2225=M$6)*('Multi-start Raw data'!$J$6:$J$2225="Fully converged"))</f>
        <v>2.52</v>
      </c>
      <c r="N10">
        <f t="array" ref="N10">SUM('Multi-start Raw data'!$D$6:$D$2225*('Multi-start Raw data'!$B$6:$B$2225=$A10)*('Multi-start Raw data'!$C$6:$C$2225=N$6)*('Multi-start Raw data'!$J$6:$J$2225="Fully converged"))</f>
        <v>2.504</v>
      </c>
      <c r="O10">
        <f t="array" ref="O10">SUM('Multi-start Raw data'!$D$6:$D$2225*('Multi-start Raw data'!$B$6:$B$2225=$A10)*('Multi-start Raw data'!$C$6:$C$2225=O$6)*('Multi-start Raw data'!$J$6:$J$2225="Fully converged"))</f>
        <v>2.5230000000000001</v>
      </c>
      <c r="P10">
        <f t="array" ref="P10">SUM('Multi-start Raw data'!$D$6:$D$2225*('Multi-start Raw data'!$B$6:$B$2225=$A10)*('Multi-start Raw data'!$C$6:$C$2225=P$6)*('Multi-start Raw data'!$J$6:$J$2225="Fully converged"))</f>
        <v>2.5230000000000001</v>
      </c>
      <c r="Q10">
        <f t="array" ref="Q10">SUM('Multi-start Raw data'!$D$6:$D$2225*('Multi-start Raw data'!$B$6:$B$2225=$A10)*('Multi-start Raw data'!$C$6:$C$2225=Q$6)*('Multi-start Raw data'!$J$6:$J$2225="Fully converged"))</f>
        <v>2.52</v>
      </c>
      <c r="R10">
        <f t="array" ref="R10">SUM('Multi-start Raw data'!$D$6:$D$2225*('Multi-start Raw data'!$B$6:$B$2225=$A10)*('Multi-start Raw data'!$C$6:$C$2225=R$6)*('Multi-start Raw data'!$J$6:$J$2225="Fully converged"))</f>
        <v>2.52</v>
      </c>
      <c r="S10">
        <f t="array" ref="S10">SUM('Multi-start Raw data'!$D$6:$D$2225*('Multi-start Raw data'!$B$6:$B$2225=$A10)*('Multi-start Raw data'!$C$6:$C$2225=S$6)*('Multi-start Raw data'!$J$6:$J$2225="Fully converged"))</f>
        <v>2.52</v>
      </c>
      <c r="T10">
        <f t="array" ref="T10">SUM('Multi-start Raw data'!$D$6:$D$2225*('Multi-start Raw data'!$B$6:$B$2225=$A10)*('Multi-start Raw data'!$C$6:$C$2225=T$6)*('Multi-start Raw data'!$J$6:$J$2225="Fully converged"))</f>
        <v>2.52</v>
      </c>
      <c r="U10">
        <f t="array" ref="U10">SUM('Multi-start Raw data'!$D$6:$D$2225*('Multi-start Raw data'!$B$6:$B$2225=$A10)*('Multi-start Raw data'!$C$6:$C$2225=U$6)*('Multi-start Raw data'!$J$6:$J$2225="Fully converged"))</f>
        <v>2.5190000000000001</v>
      </c>
      <c r="W10" s="6">
        <f t="shared" si="9"/>
        <v>2.52</v>
      </c>
      <c r="X10" s="6">
        <f t="shared" si="10"/>
        <v>2.52</v>
      </c>
      <c r="Y10" s="6">
        <f t="shared" si="11"/>
        <v>2.5230000000000001</v>
      </c>
      <c r="Z10" s="6">
        <f t="shared" si="12"/>
        <v>2.5230000000000001</v>
      </c>
      <c r="AA10" s="6">
        <f t="shared" si="13"/>
        <v>2.5230000000000001</v>
      </c>
      <c r="AB10" s="6"/>
      <c r="AC10" s="6">
        <f t="shared" si="14"/>
        <v>0</v>
      </c>
      <c r="AD10" s="6">
        <f t="shared" si="15"/>
        <v>3.0000000000001137E-3</v>
      </c>
      <c r="AE10" s="6">
        <f t="shared" si="16"/>
        <v>0</v>
      </c>
      <c r="AF10" s="6">
        <f t="shared" si="17"/>
        <v>0</v>
      </c>
      <c r="AG10" s="6">
        <f t="shared" si="18"/>
        <v>0.11890606420927917</v>
      </c>
      <c r="AH10" s="6">
        <f t="shared" si="19"/>
        <v>0.11890606420927917</v>
      </c>
      <c r="AI10" s="6">
        <f t="shared" si="20"/>
        <v>0</v>
      </c>
      <c r="AJ10" s="6">
        <f t="shared" si="21"/>
        <v>0</v>
      </c>
      <c r="AK10" s="6">
        <f t="shared" si="22"/>
        <v>0</v>
      </c>
      <c r="AM10" s="16">
        <f t="shared" si="23"/>
        <v>0.1</v>
      </c>
    </row>
    <row r="11" spans="1:39" x14ac:dyDescent="0.3">
      <c r="A11" s="1" t="s">
        <v>271</v>
      </c>
      <c r="B11">
        <f t="array" ref="B11">SUM('Multi-start Raw data'!$D$6:$D$2225*('Multi-start Raw data'!$B$6:$B$2225=$A11)*('Multi-start Raw data'!$C$6:$C$2225=B$6)*('Multi-start Raw data'!$J$6:$J$2225="Fully converged"))</f>
        <v>2.1070000000000002</v>
      </c>
      <c r="C11">
        <f t="array" ref="C11">SUM('Multi-start Raw data'!$D$6:$D$2225*('Multi-start Raw data'!$B$6:$B$2225=$A11)*('Multi-start Raw data'!$C$6:$C$2225=C$6)*('Multi-start Raw data'!$J$6:$J$2225="Fully converged"))</f>
        <v>2.1070000000000002</v>
      </c>
      <c r="D11">
        <f t="array" ref="D11">SUM('Multi-start Raw data'!$D$6:$D$2225*('Multi-start Raw data'!$B$6:$B$2225=$A11)*('Multi-start Raw data'!$C$6:$C$2225=D$6)*('Multi-start Raw data'!$J$6:$J$2225="Fully converged"))</f>
        <v>2.1669999999999998</v>
      </c>
      <c r="E11">
        <f t="array" ref="E11">SUM('Multi-start Raw data'!$D$6:$D$2225*('Multi-start Raw data'!$B$6:$B$2225=$A11)*('Multi-start Raw data'!$C$6:$C$2225=E$6)*('Multi-start Raw data'!$J$6:$J$2225="Fully converged"))</f>
        <v>2.1070000000000002</v>
      </c>
      <c r="F11">
        <f t="array" ref="F11">SUM('Multi-start Raw data'!$D$6:$D$2225*('Multi-start Raw data'!$B$6:$B$2225=$A11)*('Multi-start Raw data'!$C$6:$C$2225=F$6)*('Multi-start Raw data'!$J$6:$J$2225="Fully converged"))</f>
        <v>2.1389999999999998</v>
      </c>
      <c r="G11">
        <f t="array" ref="G11">SUM('Multi-start Raw data'!$D$6:$D$2225*('Multi-start Raw data'!$B$6:$B$2225=$A11)*('Multi-start Raw data'!$C$6:$C$2225=G$6)*('Multi-start Raw data'!$J$6:$J$2225="Fully converged"))</f>
        <v>2.1070000000000002</v>
      </c>
      <c r="H11">
        <f t="array" ref="H11">SUM('Multi-start Raw data'!$D$6:$D$2225*('Multi-start Raw data'!$B$6:$B$2225=$A11)*('Multi-start Raw data'!$C$6:$C$2225=H$6)*('Multi-start Raw data'!$J$6:$J$2225="Fully converged"))</f>
        <v>2.13</v>
      </c>
      <c r="I11">
        <f t="array" ref="I11">SUM('Multi-start Raw data'!$D$6:$D$2225*('Multi-start Raw data'!$B$6:$B$2225=$A11)*('Multi-start Raw data'!$C$6:$C$2225=I$6)*('Multi-start Raw data'!$J$6:$J$2225="Fully converged"))</f>
        <v>2.165</v>
      </c>
      <c r="J11">
        <f t="array" ref="J11">SUM('Multi-start Raw data'!$D$6:$D$2225*('Multi-start Raw data'!$B$6:$B$2225=$A11)*('Multi-start Raw data'!$C$6:$C$2225=J$6)*('Multi-start Raw data'!$J$6:$J$2225="Fully converged"))</f>
        <v>2.1110000000000002</v>
      </c>
      <c r="K11">
        <f t="array" ref="K11">SUM('Multi-start Raw data'!$D$6:$D$2225*('Multi-start Raw data'!$B$6:$B$2225=$A11)*('Multi-start Raw data'!$C$6:$C$2225=K$6)*('Multi-start Raw data'!$J$6:$J$2225="Fully converged"))</f>
        <v>2.0859999999999999</v>
      </c>
      <c r="L11">
        <f t="array" ref="L11">SUM('Multi-start Raw data'!$D$6:$D$2225*('Multi-start Raw data'!$B$6:$B$2225=$A11)*('Multi-start Raw data'!$C$6:$C$2225=L$6)*('Multi-start Raw data'!$J$6:$J$2225="Fully converged"))</f>
        <v>0</v>
      </c>
      <c r="M11">
        <f t="array" ref="M11">SUM('Multi-start Raw data'!$D$6:$D$2225*('Multi-start Raw data'!$B$6:$B$2225=$A11)*('Multi-start Raw data'!$C$6:$C$2225=M$6)*('Multi-start Raw data'!$J$6:$J$2225="Fully converged"))</f>
        <v>2.1110000000000002</v>
      </c>
      <c r="N11">
        <f t="array" ref="N11">SUM('Multi-start Raw data'!$D$6:$D$2225*('Multi-start Raw data'!$B$6:$B$2225=$A11)*('Multi-start Raw data'!$C$6:$C$2225=N$6)*('Multi-start Raw data'!$J$6:$J$2225="Fully converged"))</f>
        <v>0</v>
      </c>
      <c r="O11">
        <f t="array" ref="O11">SUM('Multi-start Raw data'!$D$6:$D$2225*('Multi-start Raw data'!$B$6:$B$2225=$A11)*('Multi-start Raw data'!$C$6:$C$2225=O$6)*('Multi-start Raw data'!$J$6:$J$2225="Fully converged"))</f>
        <v>2.0859999999999999</v>
      </c>
      <c r="P11">
        <f t="array" ref="P11">SUM('Multi-start Raw data'!$D$6:$D$2225*('Multi-start Raw data'!$B$6:$B$2225=$A11)*('Multi-start Raw data'!$C$6:$C$2225=P$6)*('Multi-start Raw data'!$J$6:$J$2225="Fully converged"))</f>
        <v>2.1070000000000002</v>
      </c>
      <c r="Q11">
        <f t="array" ref="Q11">SUM('Multi-start Raw data'!$D$6:$D$2225*('Multi-start Raw data'!$B$6:$B$2225=$A11)*('Multi-start Raw data'!$C$6:$C$2225=Q$6)*('Multi-start Raw data'!$J$6:$J$2225="Fully converged"))</f>
        <v>2.125</v>
      </c>
      <c r="R11">
        <f t="array" ref="R11">SUM('Multi-start Raw data'!$D$6:$D$2225*('Multi-start Raw data'!$B$6:$B$2225=$A11)*('Multi-start Raw data'!$C$6:$C$2225=R$6)*('Multi-start Raw data'!$J$6:$J$2225="Fully converged"))</f>
        <v>2.14</v>
      </c>
      <c r="S11">
        <f t="array" ref="S11">SUM('Multi-start Raw data'!$D$6:$D$2225*('Multi-start Raw data'!$B$6:$B$2225=$A11)*('Multi-start Raw data'!$C$6:$C$2225=S$6)*('Multi-start Raw data'!$J$6:$J$2225="Fully converged"))</f>
        <v>0</v>
      </c>
      <c r="T11">
        <f t="array" ref="T11">SUM('Multi-start Raw data'!$D$6:$D$2225*('Multi-start Raw data'!$B$6:$B$2225=$A11)*('Multi-start Raw data'!$C$6:$C$2225=T$6)*('Multi-start Raw data'!$J$6:$J$2225="Fully converged"))</f>
        <v>2.1360000000000001</v>
      </c>
      <c r="U11">
        <f t="array" ref="U11">SUM('Multi-start Raw data'!$D$6:$D$2225*('Multi-start Raw data'!$B$6:$B$2225=$A11)*('Multi-start Raw data'!$C$6:$C$2225=U$6)*('Multi-start Raw data'!$J$6:$J$2225="Fully converged"))</f>
        <v>2.1070000000000002</v>
      </c>
      <c r="W11" s="6">
        <f t="shared" si="9"/>
        <v>2.1669999999999998</v>
      </c>
      <c r="X11" s="6">
        <f t="shared" si="10"/>
        <v>2.1669999999999998</v>
      </c>
      <c r="Y11" s="6">
        <f t="shared" si="11"/>
        <v>2.1669999999999998</v>
      </c>
      <c r="Z11" s="6">
        <f t="shared" si="12"/>
        <v>2.1669999999999998</v>
      </c>
      <c r="AA11" s="6">
        <f t="shared" si="13"/>
        <v>2.1669999999999998</v>
      </c>
      <c r="AB11" s="6"/>
      <c r="AC11" s="6">
        <f t="shared" si="14"/>
        <v>0</v>
      </c>
      <c r="AD11" s="6">
        <f t="shared" si="15"/>
        <v>0</v>
      </c>
      <c r="AE11" s="6">
        <f t="shared" si="16"/>
        <v>0</v>
      </c>
      <c r="AF11" s="6">
        <f t="shared" si="17"/>
        <v>0</v>
      </c>
      <c r="AG11" s="6">
        <f t="shared" si="18"/>
        <v>0</v>
      </c>
      <c r="AH11" s="6">
        <f t="shared" si="19"/>
        <v>0</v>
      </c>
      <c r="AI11" s="6">
        <f t="shared" si="20"/>
        <v>0</v>
      </c>
      <c r="AJ11" s="6">
        <f t="shared" si="21"/>
        <v>0</v>
      </c>
      <c r="AK11" s="6">
        <f t="shared" si="22"/>
        <v>0</v>
      </c>
      <c r="AM11" s="16">
        <f t="shared" si="23"/>
        <v>0.1</v>
      </c>
    </row>
    <row r="12" spans="1:39" x14ac:dyDescent="0.3">
      <c r="A12" s="1" t="s">
        <v>307</v>
      </c>
      <c r="B12">
        <f t="array" ref="B12">SUM('Multi-start Raw data'!$D$6:$D$2225*('Multi-start Raw data'!$B$6:$B$2225=$A12)*('Multi-start Raw data'!$C$6:$C$2225=B$6)*('Multi-start Raw data'!$J$6:$J$2225="Fully converged"))</f>
        <v>2.4780000000000002</v>
      </c>
      <c r="C12">
        <f t="array" ref="C12">SUM('Multi-start Raw data'!$D$6:$D$2225*('Multi-start Raw data'!$B$6:$B$2225=$A12)*('Multi-start Raw data'!$C$6:$C$2225=C$6)*('Multi-start Raw data'!$J$6:$J$2225="Fully converged"))</f>
        <v>2.4780000000000002</v>
      </c>
      <c r="D12">
        <f t="array" ref="D12">SUM('Multi-start Raw data'!$D$6:$D$2225*('Multi-start Raw data'!$B$6:$B$2225=$A12)*('Multi-start Raw data'!$C$6:$C$2225=D$6)*('Multi-start Raw data'!$J$6:$J$2225="Fully converged"))</f>
        <v>2.4860000000000002</v>
      </c>
      <c r="E12">
        <f t="array" ref="E12">SUM('Multi-start Raw data'!$D$6:$D$2225*('Multi-start Raw data'!$B$6:$B$2225=$A12)*('Multi-start Raw data'!$C$6:$C$2225=E$6)*('Multi-start Raw data'!$J$6:$J$2225="Fully converged"))</f>
        <v>0</v>
      </c>
      <c r="F12">
        <f t="array" ref="F12">SUM('Multi-start Raw data'!$D$6:$D$2225*('Multi-start Raw data'!$B$6:$B$2225=$A12)*('Multi-start Raw data'!$C$6:$C$2225=F$6)*('Multi-start Raw data'!$J$6:$J$2225="Fully converged"))</f>
        <v>2.4729999999999999</v>
      </c>
      <c r="G12">
        <f t="array" ref="G12">SUM('Multi-start Raw data'!$D$6:$D$2225*('Multi-start Raw data'!$B$6:$B$2225=$A12)*('Multi-start Raw data'!$C$6:$C$2225=G$6)*('Multi-start Raw data'!$J$6:$J$2225="Fully converged"))</f>
        <v>2.4780000000000002</v>
      </c>
      <c r="H12">
        <f t="array" ref="H12">SUM('Multi-start Raw data'!$D$6:$D$2225*('Multi-start Raw data'!$B$6:$B$2225=$A12)*('Multi-start Raw data'!$C$6:$C$2225=H$6)*('Multi-start Raw data'!$J$6:$J$2225="Fully converged"))</f>
        <v>2.4729999999999999</v>
      </c>
      <c r="I12">
        <f t="array" ref="I12">SUM('Multi-start Raw data'!$D$6:$D$2225*('Multi-start Raw data'!$B$6:$B$2225=$A12)*('Multi-start Raw data'!$C$6:$C$2225=I$6)*('Multi-start Raw data'!$J$6:$J$2225="Fully converged"))</f>
        <v>2.4740000000000002</v>
      </c>
      <c r="J12">
        <f t="array" ref="J12">SUM('Multi-start Raw data'!$D$6:$D$2225*('Multi-start Raw data'!$B$6:$B$2225=$A12)*('Multi-start Raw data'!$C$6:$C$2225=J$6)*('Multi-start Raw data'!$J$6:$J$2225="Fully converged"))</f>
        <v>2.4740000000000002</v>
      </c>
      <c r="K12">
        <f t="array" ref="K12">SUM('Multi-start Raw data'!$D$6:$D$2225*('Multi-start Raw data'!$B$6:$B$2225=$A12)*('Multi-start Raw data'!$C$6:$C$2225=K$6)*('Multi-start Raw data'!$J$6:$J$2225="Fully converged"))</f>
        <v>2.4729999999999999</v>
      </c>
      <c r="L12">
        <f t="array" ref="L12">SUM('Multi-start Raw data'!$D$6:$D$2225*('Multi-start Raw data'!$B$6:$B$2225=$A12)*('Multi-start Raw data'!$C$6:$C$2225=L$6)*('Multi-start Raw data'!$J$6:$J$2225="Fully converged"))</f>
        <v>2.4740000000000002</v>
      </c>
      <c r="M12">
        <f t="array" ref="M12">SUM('Multi-start Raw data'!$D$6:$D$2225*('Multi-start Raw data'!$B$6:$B$2225=$A12)*('Multi-start Raw data'!$C$6:$C$2225=M$6)*('Multi-start Raw data'!$J$6:$J$2225="Fully converged"))</f>
        <v>2.476</v>
      </c>
      <c r="N12">
        <f t="array" ref="N12">SUM('Multi-start Raw data'!$D$6:$D$2225*('Multi-start Raw data'!$B$6:$B$2225=$A12)*('Multi-start Raw data'!$C$6:$C$2225=N$6)*('Multi-start Raw data'!$J$6:$J$2225="Fully converged"))</f>
        <v>2.4729999999999999</v>
      </c>
      <c r="O12">
        <f t="array" ref="O12">SUM('Multi-start Raw data'!$D$6:$D$2225*('Multi-start Raw data'!$B$6:$B$2225=$A12)*('Multi-start Raw data'!$C$6:$C$2225=O$6)*('Multi-start Raw data'!$J$6:$J$2225="Fully converged"))</f>
        <v>0</v>
      </c>
      <c r="P12">
        <f t="array" ref="P12">SUM('Multi-start Raw data'!$D$6:$D$2225*('Multi-start Raw data'!$B$6:$B$2225=$A12)*('Multi-start Raw data'!$C$6:$C$2225=P$6)*('Multi-start Raw data'!$J$6:$J$2225="Fully converged"))</f>
        <v>2.4740000000000002</v>
      </c>
      <c r="Q12">
        <f t="array" ref="Q12">SUM('Multi-start Raw data'!$D$6:$D$2225*('Multi-start Raw data'!$B$6:$B$2225=$A12)*('Multi-start Raw data'!$C$6:$C$2225=Q$6)*('Multi-start Raw data'!$J$6:$J$2225="Fully converged"))</f>
        <v>2.4729999999999999</v>
      </c>
      <c r="R12">
        <f t="array" ref="R12">SUM('Multi-start Raw data'!$D$6:$D$2225*('Multi-start Raw data'!$B$6:$B$2225=$A12)*('Multi-start Raw data'!$C$6:$C$2225=R$6)*('Multi-start Raw data'!$J$6:$J$2225="Fully converged"))</f>
        <v>2.4740000000000002</v>
      </c>
      <c r="S12">
        <f t="array" ref="S12">SUM('Multi-start Raw data'!$D$6:$D$2225*('Multi-start Raw data'!$B$6:$B$2225=$A12)*('Multi-start Raw data'!$C$6:$C$2225=S$6)*('Multi-start Raw data'!$J$6:$J$2225="Fully converged"))</f>
        <v>2.4809999999999999</v>
      </c>
      <c r="T12">
        <f t="array" ref="T12">SUM('Multi-start Raw data'!$D$6:$D$2225*('Multi-start Raw data'!$B$6:$B$2225=$A12)*('Multi-start Raw data'!$C$6:$C$2225=T$6)*('Multi-start Raw data'!$J$6:$J$2225="Fully converged"))</f>
        <v>2.4740000000000002</v>
      </c>
      <c r="U12">
        <f t="array" ref="U12">SUM('Multi-start Raw data'!$D$6:$D$2225*('Multi-start Raw data'!$B$6:$B$2225=$A12)*('Multi-start Raw data'!$C$6:$C$2225=U$6)*('Multi-start Raw data'!$J$6:$J$2225="Fully converged"))</f>
        <v>0</v>
      </c>
      <c r="W12" s="6">
        <f t="shared" si="9"/>
        <v>2.4860000000000002</v>
      </c>
      <c r="X12" s="6">
        <f t="shared" si="10"/>
        <v>2.4860000000000002</v>
      </c>
      <c r="Y12" s="6">
        <f t="shared" si="11"/>
        <v>2.4860000000000002</v>
      </c>
      <c r="Z12" s="6">
        <f t="shared" si="12"/>
        <v>2.4860000000000002</v>
      </c>
      <c r="AA12" s="6">
        <f t="shared" si="13"/>
        <v>2.4860000000000002</v>
      </c>
      <c r="AB12" s="6"/>
      <c r="AC12" s="6">
        <f t="shared" si="14"/>
        <v>0</v>
      </c>
      <c r="AD12" s="6">
        <f t="shared" si="15"/>
        <v>0</v>
      </c>
      <c r="AE12" s="6">
        <f t="shared" si="16"/>
        <v>0</v>
      </c>
      <c r="AF12" s="6">
        <f t="shared" si="17"/>
        <v>0</v>
      </c>
      <c r="AG12" s="6">
        <f t="shared" si="18"/>
        <v>0</v>
      </c>
      <c r="AH12" s="6">
        <f t="shared" si="19"/>
        <v>0</v>
      </c>
      <c r="AI12" s="6">
        <f t="shared" si="20"/>
        <v>0</v>
      </c>
      <c r="AJ12" s="6">
        <f t="shared" si="21"/>
        <v>0</v>
      </c>
      <c r="AK12" s="6">
        <f t="shared" si="22"/>
        <v>0</v>
      </c>
      <c r="AM12" s="16">
        <f t="shared" si="23"/>
        <v>0.1</v>
      </c>
    </row>
    <row r="13" spans="1:39" x14ac:dyDescent="0.3">
      <c r="A13" s="1" t="s">
        <v>339</v>
      </c>
      <c r="B13">
        <f t="array" ref="B13">SUM('Multi-start Raw data'!$D$6:$D$2225*('Multi-start Raw data'!$B$6:$B$2225=$A13)*('Multi-start Raw data'!$C$6:$C$2225=B$6)*('Multi-start Raw data'!$J$6:$J$2225="Fully converged"))</f>
        <v>2.1640000000000001</v>
      </c>
      <c r="C13">
        <f t="array" ref="C13">SUM('Multi-start Raw data'!$D$6:$D$2225*('Multi-start Raw data'!$B$6:$B$2225=$A13)*('Multi-start Raw data'!$C$6:$C$2225=C$6)*('Multi-start Raw data'!$J$6:$J$2225="Fully converged"))</f>
        <v>2.1640000000000001</v>
      </c>
      <c r="D13">
        <f t="array" ref="D13">SUM('Multi-start Raw data'!$D$6:$D$2225*('Multi-start Raw data'!$B$6:$B$2225=$A13)*('Multi-start Raw data'!$C$6:$C$2225=D$6)*('Multi-start Raw data'!$J$6:$J$2225="Fully converged"))</f>
        <v>2.1419999999999999</v>
      </c>
      <c r="E13">
        <f t="array" ref="E13">SUM('Multi-start Raw data'!$D$6:$D$2225*('Multi-start Raw data'!$B$6:$B$2225=$A13)*('Multi-start Raw data'!$C$6:$C$2225=E$6)*('Multi-start Raw data'!$J$6:$J$2225="Fully converged"))</f>
        <v>2.1419999999999999</v>
      </c>
      <c r="F13">
        <f t="array" ref="F13">SUM('Multi-start Raw data'!$D$6:$D$2225*('Multi-start Raw data'!$B$6:$B$2225=$A13)*('Multi-start Raw data'!$C$6:$C$2225=F$6)*('Multi-start Raw data'!$J$6:$J$2225="Fully converged"))</f>
        <v>2.1259999999999999</v>
      </c>
      <c r="G13">
        <f t="array" ref="G13">SUM('Multi-start Raw data'!$D$6:$D$2225*('Multi-start Raw data'!$B$6:$B$2225=$A13)*('Multi-start Raw data'!$C$6:$C$2225=G$6)*('Multi-start Raw data'!$J$6:$J$2225="Fully converged"))</f>
        <v>0</v>
      </c>
      <c r="H13">
        <f t="array" ref="H13">SUM('Multi-start Raw data'!$D$6:$D$2225*('Multi-start Raw data'!$B$6:$B$2225=$A13)*('Multi-start Raw data'!$C$6:$C$2225=H$6)*('Multi-start Raw data'!$J$6:$J$2225="Fully converged"))</f>
        <v>2.1419999999999999</v>
      </c>
      <c r="I13">
        <f t="array" ref="I13">SUM('Multi-start Raw data'!$D$6:$D$2225*('Multi-start Raw data'!$B$6:$B$2225=$A13)*('Multi-start Raw data'!$C$6:$C$2225=I$6)*('Multi-start Raw data'!$J$6:$J$2225="Fully converged"))</f>
        <v>2.1440000000000001</v>
      </c>
      <c r="J13">
        <f t="array" ref="J13">SUM('Multi-start Raw data'!$D$6:$D$2225*('Multi-start Raw data'!$B$6:$B$2225=$A13)*('Multi-start Raw data'!$C$6:$C$2225=J$6)*('Multi-start Raw data'!$J$6:$J$2225="Fully converged"))</f>
        <v>2.1419999999999999</v>
      </c>
      <c r="K13">
        <f t="array" ref="K13">SUM('Multi-start Raw data'!$D$6:$D$2225*('Multi-start Raw data'!$B$6:$B$2225=$A13)*('Multi-start Raw data'!$C$6:$C$2225=K$6)*('Multi-start Raw data'!$J$6:$J$2225="Fully converged"))</f>
        <v>2.1440000000000001</v>
      </c>
      <c r="L13">
        <f t="array" ref="L13">SUM('Multi-start Raw data'!$D$6:$D$2225*('Multi-start Raw data'!$B$6:$B$2225=$A13)*('Multi-start Raw data'!$C$6:$C$2225=L$6)*('Multi-start Raw data'!$J$6:$J$2225="Fully converged"))</f>
        <v>2.17</v>
      </c>
      <c r="M13">
        <f t="array" ref="M13">SUM('Multi-start Raw data'!$D$6:$D$2225*('Multi-start Raw data'!$B$6:$B$2225=$A13)*('Multi-start Raw data'!$C$6:$C$2225=M$6)*('Multi-start Raw data'!$J$6:$J$2225="Fully converged"))</f>
        <v>2.141</v>
      </c>
      <c r="N13">
        <f t="array" ref="N13">SUM('Multi-start Raw data'!$D$6:$D$2225*('Multi-start Raw data'!$B$6:$B$2225=$A13)*('Multi-start Raw data'!$C$6:$C$2225=N$6)*('Multi-start Raw data'!$J$6:$J$2225="Fully converged"))</f>
        <v>2.169</v>
      </c>
      <c r="O13">
        <f t="array" ref="O13">SUM('Multi-start Raw data'!$D$6:$D$2225*('Multi-start Raw data'!$B$6:$B$2225=$A13)*('Multi-start Raw data'!$C$6:$C$2225=O$6)*('Multi-start Raw data'!$J$6:$J$2225="Fully converged"))</f>
        <v>2.1419999999999999</v>
      </c>
      <c r="P13">
        <f t="array" ref="P13">SUM('Multi-start Raw data'!$D$6:$D$2225*('Multi-start Raw data'!$B$6:$B$2225=$A13)*('Multi-start Raw data'!$C$6:$C$2225=P$6)*('Multi-start Raw data'!$J$6:$J$2225="Fully converged"))</f>
        <v>2.0880000000000001</v>
      </c>
      <c r="Q13">
        <f t="array" ref="Q13">SUM('Multi-start Raw data'!$D$6:$D$2225*('Multi-start Raw data'!$B$6:$B$2225=$A13)*('Multi-start Raw data'!$C$6:$C$2225=Q$6)*('Multi-start Raw data'!$J$6:$J$2225="Fully converged"))</f>
        <v>2.016</v>
      </c>
      <c r="R13">
        <f t="array" ref="R13">SUM('Multi-start Raw data'!$D$6:$D$2225*('Multi-start Raw data'!$B$6:$B$2225=$A13)*('Multi-start Raw data'!$C$6:$C$2225=R$6)*('Multi-start Raw data'!$J$6:$J$2225="Fully converged"))</f>
        <v>2.141</v>
      </c>
      <c r="S13">
        <f t="array" ref="S13">SUM('Multi-start Raw data'!$D$6:$D$2225*('Multi-start Raw data'!$B$6:$B$2225=$A13)*('Multi-start Raw data'!$C$6:$C$2225=S$6)*('Multi-start Raw data'!$J$6:$J$2225="Fully converged"))</f>
        <v>2.1549999999999998</v>
      </c>
      <c r="T13">
        <f t="array" ref="T13">SUM('Multi-start Raw data'!$D$6:$D$2225*('Multi-start Raw data'!$B$6:$B$2225=$A13)*('Multi-start Raw data'!$C$6:$C$2225=T$6)*('Multi-start Raw data'!$J$6:$J$2225="Fully converged"))</f>
        <v>2.1549999999999998</v>
      </c>
      <c r="U13">
        <f t="array" ref="U13">SUM('Multi-start Raw data'!$D$6:$D$2225*('Multi-start Raw data'!$B$6:$B$2225=$A13)*('Multi-start Raw data'!$C$6:$C$2225=U$6)*('Multi-start Raw data'!$J$6:$J$2225="Fully converged"))</f>
        <v>2.1419999999999999</v>
      </c>
      <c r="W13" s="6">
        <f t="shared" si="9"/>
        <v>2.1640000000000001</v>
      </c>
      <c r="X13" s="6">
        <f t="shared" si="10"/>
        <v>2.1640000000000001</v>
      </c>
      <c r="Y13" s="6">
        <f t="shared" si="11"/>
        <v>2.17</v>
      </c>
      <c r="Z13" s="6">
        <f t="shared" si="12"/>
        <v>2.17</v>
      </c>
      <c r="AA13" s="6">
        <f t="shared" si="13"/>
        <v>2.17</v>
      </c>
      <c r="AB13" s="6"/>
      <c r="AC13" s="6">
        <f t="shared" si="14"/>
        <v>0</v>
      </c>
      <c r="AD13" s="6">
        <f t="shared" si="15"/>
        <v>5.9999999999997833E-3</v>
      </c>
      <c r="AE13" s="6">
        <f t="shared" si="16"/>
        <v>0</v>
      </c>
      <c r="AF13" s="6">
        <f t="shared" si="17"/>
        <v>0</v>
      </c>
      <c r="AG13" s="6">
        <f t="shared" si="18"/>
        <v>0.27649769585252459</v>
      </c>
      <c r="AH13" s="6">
        <f t="shared" si="19"/>
        <v>0.27649769585252459</v>
      </c>
      <c r="AI13" s="6">
        <f t="shared" si="20"/>
        <v>0</v>
      </c>
      <c r="AJ13" s="6">
        <f t="shared" si="21"/>
        <v>0</v>
      </c>
      <c r="AK13" s="6">
        <f t="shared" si="22"/>
        <v>0</v>
      </c>
      <c r="AM13" s="16">
        <f t="shared" si="23"/>
        <v>0.1</v>
      </c>
    </row>
    <row r="14" spans="1:39" x14ac:dyDescent="0.3">
      <c r="A14" s="1" t="s">
        <v>371</v>
      </c>
      <c r="B14">
        <f t="array" ref="B14">SUM('Multi-start Raw data'!$D$6:$D$2225*('Multi-start Raw data'!$B$6:$B$2225=$A14)*('Multi-start Raw data'!$C$6:$C$2225=B$6)*('Multi-start Raw data'!$J$6:$J$2225="Fully converged"))</f>
        <v>2.5590000000000002</v>
      </c>
      <c r="C14">
        <f t="array" ref="C14">SUM('Multi-start Raw data'!$D$6:$D$2225*('Multi-start Raw data'!$B$6:$B$2225=$A14)*('Multi-start Raw data'!$C$6:$C$2225=C$6)*('Multi-start Raw data'!$J$6:$J$2225="Fully converged"))</f>
        <v>2.5590000000000002</v>
      </c>
      <c r="D14">
        <f t="array" ref="D14">SUM('Multi-start Raw data'!$D$6:$D$2225*('Multi-start Raw data'!$B$6:$B$2225=$A14)*('Multi-start Raw data'!$C$6:$C$2225=D$6)*('Multi-start Raw data'!$J$6:$J$2225="Fully converged"))</f>
        <v>2.544</v>
      </c>
      <c r="E14">
        <f t="array" ref="E14">SUM('Multi-start Raw data'!$D$6:$D$2225*('Multi-start Raw data'!$B$6:$B$2225=$A14)*('Multi-start Raw data'!$C$6:$C$2225=E$6)*('Multi-start Raw data'!$J$6:$J$2225="Fully converged"))</f>
        <v>2.5619999999999998</v>
      </c>
      <c r="F14">
        <f t="array" ref="F14">SUM('Multi-start Raw data'!$D$6:$D$2225*('Multi-start Raw data'!$B$6:$B$2225=$A14)*('Multi-start Raw data'!$C$6:$C$2225=F$6)*('Multi-start Raw data'!$J$6:$J$2225="Fully converged"))</f>
        <v>2.5049999999999999</v>
      </c>
      <c r="G14">
        <f t="array" ref="G14">SUM('Multi-start Raw data'!$D$6:$D$2225*('Multi-start Raw data'!$B$6:$B$2225=$A14)*('Multi-start Raw data'!$C$6:$C$2225=G$6)*('Multi-start Raw data'!$J$6:$J$2225="Fully converged"))</f>
        <v>2.5609999999999999</v>
      </c>
      <c r="H14">
        <f t="array" ref="H14">SUM('Multi-start Raw data'!$D$6:$D$2225*('Multi-start Raw data'!$B$6:$B$2225=$A14)*('Multi-start Raw data'!$C$6:$C$2225=H$6)*('Multi-start Raw data'!$J$6:$J$2225="Fully converged"))</f>
        <v>2.5470000000000002</v>
      </c>
      <c r="I14">
        <f t="array" ref="I14">SUM('Multi-start Raw data'!$D$6:$D$2225*('Multi-start Raw data'!$B$6:$B$2225=$A14)*('Multi-start Raw data'!$C$6:$C$2225=I$6)*('Multi-start Raw data'!$J$6:$J$2225="Fully converged"))</f>
        <v>2.5659999999999998</v>
      </c>
      <c r="J14">
        <f t="array" ref="J14">SUM('Multi-start Raw data'!$D$6:$D$2225*('Multi-start Raw data'!$B$6:$B$2225=$A14)*('Multi-start Raw data'!$C$6:$C$2225=J$6)*('Multi-start Raw data'!$J$6:$J$2225="Fully converged"))</f>
        <v>2.5609999999999999</v>
      </c>
      <c r="K14">
        <f t="array" ref="K14">SUM('Multi-start Raw data'!$D$6:$D$2225*('Multi-start Raw data'!$B$6:$B$2225=$A14)*('Multi-start Raw data'!$C$6:$C$2225=K$6)*('Multi-start Raw data'!$J$6:$J$2225="Fully converged"))</f>
        <v>2.5150000000000001</v>
      </c>
      <c r="L14">
        <f t="array" ref="L14">SUM('Multi-start Raw data'!$D$6:$D$2225*('Multi-start Raw data'!$B$6:$B$2225=$A14)*('Multi-start Raw data'!$C$6:$C$2225=L$6)*('Multi-start Raw data'!$J$6:$J$2225="Fully converged"))</f>
        <v>2.5619999999999998</v>
      </c>
      <c r="M14">
        <f t="array" ref="M14">SUM('Multi-start Raw data'!$D$6:$D$2225*('Multi-start Raw data'!$B$6:$B$2225=$A14)*('Multi-start Raw data'!$C$6:$C$2225=M$6)*('Multi-start Raw data'!$J$6:$J$2225="Fully converged"))</f>
        <v>2.548</v>
      </c>
      <c r="N14">
        <f t="array" ref="N14">SUM('Multi-start Raw data'!$D$6:$D$2225*('Multi-start Raw data'!$B$6:$B$2225=$A14)*('Multi-start Raw data'!$C$6:$C$2225=N$6)*('Multi-start Raw data'!$J$6:$J$2225="Fully converged"))</f>
        <v>2.548</v>
      </c>
      <c r="O14">
        <f t="array" ref="O14">SUM('Multi-start Raw data'!$D$6:$D$2225*('Multi-start Raw data'!$B$6:$B$2225=$A14)*('Multi-start Raw data'!$C$6:$C$2225=O$6)*('Multi-start Raw data'!$J$6:$J$2225="Fully converged"))</f>
        <v>2.528</v>
      </c>
      <c r="P14">
        <f t="array" ref="P14">SUM('Multi-start Raw data'!$D$6:$D$2225*('Multi-start Raw data'!$B$6:$B$2225=$A14)*('Multi-start Raw data'!$C$6:$C$2225=P$6)*('Multi-start Raw data'!$J$6:$J$2225="Fully converged"))</f>
        <v>2.5659999999999998</v>
      </c>
      <c r="Q14">
        <f t="array" ref="Q14">SUM('Multi-start Raw data'!$D$6:$D$2225*('Multi-start Raw data'!$B$6:$B$2225=$A14)*('Multi-start Raw data'!$C$6:$C$2225=Q$6)*('Multi-start Raw data'!$J$6:$J$2225="Fully converged"))</f>
        <v>2.548</v>
      </c>
      <c r="R14">
        <f t="array" ref="R14">SUM('Multi-start Raw data'!$D$6:$D$2225*('Multi-start Raw data'!$B$6:$B$2225=$A14)*('Multi-start Raw data'!$C$6:$C$2225=R$6)*('Multi-start Raw data'!$J$6:$J$2225="Fully converged"))</f>
        <v>2.5619999999999998</v>
      </c>
      <c r="S14">
        <f t="array" ref="S14">SUM('Multi-start Raw data'!$D$6:$D$2225*('Multi-start Raw data'!$B$6:$B$2225=$A14)*('Multi-start Raw data'!$C$6:$C$2225=S$6)*('Multi-start Raw data'!$J$6:$J$2225="Fully converged"))</f>
        <v>0</v>
      </c>
      <c r="T14">
        <f t="array" ref="T14">SUM('Multi-start Raw data'!$D$6:$D$2225*('Multi-start Raw data'!$B$6:$B$2225=$A14)*('Multi-start Raw data'!$C$6:$C$2225=T$6)*('Multi-start Raw data'!$J$6:$J$2225="Fully converged"))</f>
        <v>2.5619999999999998</v>
      </c>
      <c r="U14">
        <f t="array" ref="U14">SUM('Multi-start Raw data'!$D$6:$D$2225*('Multi-start Raw data'!$B$6:$B$2225=$A14)*('Multi-start Raw data'!$C$6:$C$2225=U$6)*('Multi-start Raw data'!$J$6:$J$2225="Fully converged"))</f>
        <v>2.5609999999999999</v>
      </c>
      <c r="W14" s="6">
        <f t="shared" si="9"/>
        <v>2.5619999999999998</v>
      </c>
      <c r="X14" s="6">
        <f t="shared" si="10"/>
        <v>2.5659999999999998</v>
      </c>
      <c r="Y14" s="6">
        <f t="shared" si="11"/>
        <v>2.5659999999999998</v>
      </c>
      <c r="Z14" s="6">
        <f t="shared" si="12"/>
        <v>2.5659999999999998</v>
      </c>
      <c r="AA14" s="6">
        <f t="shared" si="13"/>
        <v>2.5659999999999998</v>
      </c>
      <c r="AB14" s="6"/>
      <c r="AC14" s="6">
        <f t="shared" si="14"/>
        <v>4.0000000000000036E-3</v>
      </c>
      <c r="AD14" s="6">
        <f t="shared" si="15"/>
        <v>0</v>
      </c>
      <c r="AE14" s="6">
        <f t="shared" si="16"/>
        <v>0</v>
      </c>
      <c r="AF14" s="6">
        <f t="shared" si="17"/>
        <v>0</v>
      </c>
      <c r="AG14" s="6">
        <f t="shared" si="18"/>
        <v>0.15588464536243196</v>
      </c>
      <c r="AH14" s="6">
        <f t="shared" si="19"/>
        <v>0</v>
      </c>
      <c r="AI14" s="6">
        <f t="shared" si="20"/>
        <v>0</v>
      </c>
      <c r="AJ14" s="6">
        <f t="shared" si="21"/>
        <v>0</v>
      </c>
      <c r="AK14" s="6">
        <f t="shared" si="22"/>
        <v>0</v>
      </c>
      <c r="AM14" s="16">
        <f t="shared" si="23"/>
        <v>0.1</v>
      </c>
    </row>
    <row r="15" spans="1:39" x14ac:dyDescent="0.3">
      <c r="A15" s="1" t="s">
        <v>402</v>
      </c>
      <c r="B15">
        <f t="array" ref="B15">SUM('Multi-start Raw data'!$D$6:$D$2225*('Multi-start Raw data'!$B$6:$B$2225=$A15)*('Multi-start Raw data'!$C$6:$C$2225=B$6)*('Multi-start Raw data'!$J$6:$J$2225="Fully converged"))</f>
        <v>2.125</v>
      </c>
      <c r="C15">
        <f t="array" ref="C15">SUM('Multi-start Raw data'!$D$6:$D$2225*('Multi-start Raw data'!$B$6:$B$2225=$A15)*('Multi-start Raw data'!$C$6:$C$2225=C$6)*('Multi-start Raw data'!$J$6:$J$2225="Fully converged"))</f>
        <v>2.1040000000000001</v>
      </c>
      <c r="D15">
        <f t="array" ref="D15">SUM('Multi-start Raw data'!$D$6:$D$2225*('Multi-start Raw data'!$B$6:$B$2225=$A15)*('Multi-start Raw data'!$C$6:$C$2225=D$6)*('Multi-start Raw data'!$J$6:$J$2225="Fully converged"))</f>
        <v>2.1110000000000002</v>
      </c>
      <c r="E15">
        <f t="array" ref="E15">SUM('Multi-start Raw data'!$D$6:$D$2225*('Multi-start Raw data'!$B$6:$B$2225=$A15)*('Multi-start Raw data'!$C$6:$C$2225=E$6)*('Multi-start Raw data'!$J$6:$J$2225="Fully converged"))</f>
        <v>0</v>
      </c>
      <c r="F15">
        <f t="array" ref="F15">SUM('Multi-start Raw data'!$D$6:$D$2225*('Multi-start Raw data'!$B$6:$B$2225=$A15)*('Multi-start Raw data'!$C$6:$C$2225=F$6)*('Multi-start Raw data'!$J$6:$J$2225="Fully converged"))</f>
        <v>2.1259999999999999</v>
      </c>
      <c r="G15">
        <f t="array" ref="G15">SUM('Multi-start Raw data'!$D$6:$D$2225*('Multi-start Raw data'!$B$6:$B$2225=$A15)*('Multi-start Raw data'!$C$6:$C$2225=G$6)*('Multi-start Raw data'!$J$6:$J$2225="Fully converged"))</f>
        <v>1.9159999999999999</v>
      </c>
      <c r="H15">
        <f t="array" ref="H15">SUM('Multi-start Raw data'!$D$6:$D$2225*('Multi-start Raw data'!$B$6:$B$2225=$A15)*('Multi-start Raw data'!$C$6:$C$2225=H$6)*('Multi-start Raw data'!$J$6:$J$2225="Fully converged"))</f>
        <v>2.1219999999999999</v>
      </c>
      <c r="I15">
        <f t="array" ref="I15">SUM('Multi-start Raw data'!$D$6:$D$2225*('Multi-start Raw data'!$B$6:$B$2225=$A15)*('Multi-start Raw data'!$C$6:$C$2225=I$6)*('Multi-start Raw data'!$J$6:$J$2225="Fully converged"))</f>
        <v>2.1139999999999999</v>
      </c>
      <c r="J15">
        <f t="array" ref="J15">SUM('Multi-start Raw data'!$D$6:$D$2225*('Multi-start Raw data'!$B$6:$B$2225=$A15)*('Multi-start Raw data'!$C$6:$C$2225=J$6)*('Multi-start Raw data'!$J$6:$J$2225="Fully converged"))</f>
        <v>2.1070000000000002</v>
      </c>
      <c r="K15">
        <f t="array" ref="K15">SUM('Multi-start Raw data'!$D$6:$D$2225*('Multi-start Raw data'!$B$6:$B$2225=$A15)*('Multi-start Raw data'!$C$6:$C$2225=K$6)*('Multi-start Raw data'!$J$6:$J$2225="Fully converged"))</f>
        <v>2.0990000000000002</v>
      </c>
      <c r="L15">
        <f t="array" ref="L15">SUM('Multi-start Raw data'!$D$6:$D$2225*('Multi-start Raw data'!$B$6:$B$2225=$A15)*('Multi-start Raw data'!$C$6:$C$2225=L$6)*('Multi-start Raw data'!$J$6:$J$2225="Fully converged"))</f>
        <v>2.1139999999999999</v>
      </c>
      <c r="M15">
        <f t="array" ref="M15">SUM('Multi-start Raw data'!$D$6:$D$2225*('Multi-start Raw data'!$B$6:$B$2225=$A15)*('Multi-start Raw data'!$C$6:$C$2225=M$6)*('Multi-start Raw data'!$J$6:$J$2225="Fully converged"))</f>
        <v>2.105</v>
      </c>
      <c r="N15">
        <f t="array" ref="N15">SUM('Multi-start Raw data'!$D$6:$D$2225*('Multi-start Raw data'!$B$6:$B$2225=$A15)*('Multi-start Raw data'!$C$6:$C$2225=N$6)*('Multi-start Raw data'!$J$6:$J$2225="Fully converged"))</f>
        <v>2.1259999999999999</v>
      </c>
      <c r="O15">
        <f t="array" ref="O15">SUM('Multi-start Raw data'!$D$6:$D$2225*('Multi-start Raw data'!$B$6:$B$2225=$A15)*('Multi-start Raw data'!$C$6:$C$2225=O$6)*('Multi-start Raw data'!$J$6:$J$2225="Fully converged"))</f>
        <v>0</v>
      </c>
      <c r="P15">
        <f t="array" ref="P15">SUM('Multi-start Raw data'!$D$6:$D$2225*('Multi-start Raw data'!$B$6:$B$2225=$A15)*('Multi-start Raw data'!$C$6:$C$2225=P$6)*('Multi-start Raw data'!$J$6:$J$2225="Fully converged"))</f>
        <v>2.117</v>
      </c>
      <c r="Q15">
        <f t="array" ref="Q15">SUM('Multi-start Raw data'!$D$6:$D$2225*('Multi-start Raw data'!$B$6:$B$2225=$A15)*('Multi-start Raw data'!$C$6:$C$2225=Q$6)*('Multi-start Raw data'!$J$6:$J$2225="Fully converged"))</f>
        <v>2.1139999999999999</v>
      </c>
      <c r="R15">
        <f t="array" ref="R15">SUM('Multi-start Raw data'!$D$6:$D$2225*('Multi-start Raw data'!$B$6:$B$2225=$A15)*('Multi-start Raw data'!$C$6:$C$2225=R$6)*('Multi-start Raw data'!$J$6:$J$2225="Fully converged"))</f>
        <v>2.1110000000000002</v>
      </c>
      <c r="S15">
        <f t="array" ref="S15">SUM('Multi-start Raw data'!$D$6:$D$2225*('Multi-start Raw data'!$B$6:$B$2225=$A15)*('Multi-start Raw data'!$C$6:$C$2225=S$6)*('Multi-start Raw data'!$J$6:$J$2225="Fully converged"))</f>
        <v>2.1139999999999999</v>
      </c>
      <c r="T15">
        <f t="array" ref="T15">SUM('Multi-start Raw data'!$D$6:$D$2225*('Multi-start Raw data'!$B$6:$B$2225=$A15)*('Multi-start Raw data'!$C$6:$C$2225=T$6)*('Multi-start Raw data'!$J$6:$J$2225="Fully converged"))</f>
        <v>2.105</v>
      </c>
      <c r="U15">
        <f t="array" ref="U15">SUM('Multi-start Raw data'!$D$6:$D$2225*('Multi-start Raw data'!$B$6:$B$2225=$A15)*('Multi-start Raw data'!$C$6:$C$2225=U$6)*('Multi-start Raw data'!$J$6:$J$2225="Fully converged"))</f>
        <v>2.1070000000000002</v>
      </c>
      <c r="W15" s="6">
        <f t="shared" si="9"/>
        <v>2.125</v>
      </c>
      <c r="X15" s="6">
        <f t="shared" si="10"/>
        <v>2.1259999999999999</v>
      </c>
      <c r="Y15" s="6">
        <f t="shared" si="11"/>
        <v>2.1259999999999999</v>
      </c>
      <c r="Z15" s="6">
        <f t="shared" si="12"/>
        <v>2.1259999999999999</v>
      </c>
      <c r="AA15" s="6">
        <f t="shared" si="13"/>
        <v>2.1259999999999999</v>
      </c>
      <c r="AB15" s="6"/>
      <c r="AC15" s="6">
        <f t="shared" si="14"/>
        <v>9.9999999999988987E-4</v>
      </c>
      <c r="AD15" s="6">
        <f t="shared" si="15"/>
        <v>0</v>
      </c>
      <c r="AE15" s="6">
        <f t="shared" si="16"/>
        <v>0</v>
      </c>
      <c r="AF15" s="6">
        <f t="shared" si="17"/>
        <v>0</v>
      </c>
      <c r="AG15" s="6">
        <f t="shared" si="18"/>
        <v>4.7036688617116178E-2</v>
      </c>
      <c r="AH15" s="6">
        <f t="shared" si="19"/>
        <v>0</v>
      </c>
      <c r="AI15" s="6">
        <f t="shared" si="20"/>
        <v>0</v>
      </c>
      <c r="AJ15" s="6">
        <f t="shared" si="21"/>
        <v>0</v>
      </c>
      <c r="AK15" s="6">
        <f t="shared" si="22"/>
        <v>0</v>
      </c>
      <c r="AM15" s="16">
        <f t="shared" si="23"/>
        <v>0.1</v>
      </c>
    </row>
    <row r="16" spans="1:39" x14ac:dyDescent="0.3">
      <c r="A16" s="1" t="s">
        <v>432</v>
      </c>
      <c r="B16">
        <f t="array" ref="B16">SUM('Multi-start Raw data'!$D$6:$D$2225*('Multi-start Raw data'!$B$6:$B$2225=$A16)*('Multi-start Raw data'!$C$6:$C$2225=B$6)*('Multi-start Raw data'!$J$6:$J$2225="Fully converged"))</f>
        <v>2.4980000000000002</v>
      </c>
      <c r="C16">
        <f t="array" ref="C16">SUM('Multi-start Raw data'!$D$6:$D$2225*('Multi-start Raw data'!$B$6:$B$2225=$A16)*('Multi-start Raw data'!$C$6:$C$2225=C$6)*('Multi-start Raw data'!$J$6:$J$2225="Fully converged"))</f>
        <v>2.4950000000000001</v>
      </c>
      <c r="D16">
        <f t="array" ref="D16">SUM('Multi-start Raw data'!$D$6:$D$2225*('Multi-start Raw data'!$B$6:$B$2225=$A16)*('Multi-start Raw data'!$C$6:$C$2225=D$6)*('Multi-start Raw data'!$J$6:$J$2225="Fully converged"))</f>
        <v>2.4980000000000002</v>
      </c>
      <c r="E16">
        <f t="array" ref="E16">SUM('Multi-start Raw data'!$D$6:$D$2225*('Multi-start Raw data'!$B$6:$B$2225=$A16)*('Multi-start Raw data'!$C$6:$C$2225=E$6)*('Multi-start Raw data'!$J$6:$J$2225="Fully converged"))</f>
        <v>2.4990000000000001</v>
      </c>
      <c r="F16">
        <f t="array" ref="F16">SUM('Multi-start Raw data'!$D$6:$D$2225*('Multi-start Raw data'!$B$6:$B$2225=$A16)*('Multi-start Raw data'!$C$6:$C$2225=F$6)*('Multi-start Raw data'!$J$6:$J$2225="Fully converged"))</f>
        <v>2.4990000000000001</v>
      </c>
      <c r="G16">
        <f t="array" ref="G16">SUM('Multi-start Raw data'!$D$6:$D$2225*('Multi-start Raw data'!$B$6:$B$2225=$A16)*('Multi-start Raw data'!$C$6:$C$2225=G$6)*('Multi-start Raw data'!$J$6:$J$2225="Fully converged"))</f>
        <v>2.4969999999999999</v>
      </c>
      <c r="H16">
        <f t="array" ref="H16">SUM('Multi-start Raw data'!$D$6:$D$2225*('Multi-start Raw data'!$B$6:$B$2225=$A16)*('Multi-start Raw data'!$C$6:$C$2225=H$6)*('Multi-start Raw data'!$J$6:$J$2225="Fully converged"))</f>
        <v>2.4769999999999999</v>
      </c>
      <c r="I16">
        <f t="array" ref="I16">SUM('Multi-start Raw data'!$D$6:$D$2225*('Multi-start Raw data'!$B$6:$B$2225=$A16)*('Multi-start Raw data'!$C$6:$C$2225=I$6)*('Multi-start Raw data'!$J$6:$J$2225="Fully converged"))</f>
        <v>2.4940000000000002</v>
      </c>
      <c r="J16">
        <f t="array" ref="J16">SUM('Multi-start Raw data'!$D$6:$D$2225*('Multi-start Raw data'!$B$6:$B$2225=$A16)*('Multi-start Raw data'!$C$6:$C$2225=J$6)*('Multi-start Raw data'!$J$6:$J$2225="Fully converged"))</f>
        <v>2.4969999999999999</v>
      </c>
      <c r="K16">
        <f t="array" ref="K16">SUM('Multi-start Raw data'!$D$6:$D$2225*('Multi-start Raw data'!$B$6:$B$2225=$A16)*('Multi-start Raw data'!$C$6:$C$2225=K$6)*('Multi-start Raw data'!$J$6:$J$2225="Fully converged"))</f>
        <v>2.4969999999999999</v>
      </c>
      <c r="L16">
        <f t="array" ref="L16">SUM('Multi-start Raw data'!$D$6:$D$2225*('Multi-start Raw data'!$B$6:$B$2225=$A16)*('Multi-start Raw data'!$C$6:$C$2225=L$6)*('Multi-start Raw data'!$J$6:$J$2225="Fully converged"))</f>
        <v>2.5</v>
      </c>
      <c r="M16">
        <f t="array" ref="M16">SUM('Multi-start Raw data'!$D$6:$D$2225*('Multi-start Raw data'!$B$6:$B$2225=$A16)*('Multi-start Raw data'!$C$6:$C$2225=M$6)*('Multi-start Raw data'!$J$6:$J$2225="Fully converged"))</f>
        <v>2.4750000000000001</v>
      </c>
      <c r="N16">
        <f t="array" ref="N16">SUM('Multi-start Raw data'!$D$6:$D$2225*('Multi-start Raw data'!$B$6:$B$2225=$A16)*('Multi-start Raw data'!$C$6:$C$2225=N$6)*('Multi-start Raw data'!$J$6:$J$2225="Fully converged"))</f>
        <v>2.4969999999999999</v>
      </c>
      <c r="O16">
        <f t="array" ref="O16">SUM('Multi-start Raw data'!$D$6:$D$2225*('Multi-start Raw data'!$B$6:$B$2225=$A16)*('Multi-start Raw data'!$C$6:$C$2225=O$6)*('Multi-start Raw data'!$J$6:$J$2225="Fully converged"))</f>
        <v>2.4980000000000002</v>
      </c>
      <c r="P16">
        <f t="array" ref="P16">SUM('Multi-start Raw data'!$D$6:$D$2225*('Multi-start Raw data'!$B$6:$B$2225=$A16)*('Multi-start Raw data'!$C$6:$C$2225=P$6)*('Multi-start Raw data'!$J$6:$J$2225="Fully converged"))</f>
        <v>2.4990000000000001</v>
      </c>
      <c r="Q16">
        <f t="array" ref="Q16">SUM('Multi-start Raw data'!$D$6:$D$2225*('Multi-start Raw data'!$B$6:$B$2225=$A16)*('Multi-start Raw data'!$C$6:$C$2225=Q$6)*('Multi-start Raw data'!$J$6:$J$2225="Fully converged"))</f>
        <v>2.496</v>
      </c>
      <c r="R16">
        <f t="array" ref="R16">SUM('Multi-start Raw data'!$D$6:$D$2225*('Multi-start Raw data'!$B$6:$B$2225=$A16)*('Multi-start Raw data'!$C$6:$C$2225=R$6)*('Multi-start Raw data'!$J$6:$J$2225="Fully converged"))</f>
        <v>2.4990000000000001</v>
      </c>
      <c r="S16">
        <f t="array" ref="S16">SUM('Multi-start Raw data'!$D$6:$D$2225*('Multi-start Raw data'!$B$6:$B$2225=$A16)*('Multi-start Raw data'!$C$6:$C$2225=S$6)*('Multi-start Raw data'!$J$6:$J$2225="Fully converged"))</f>
        <v>2.5</v>
      </c>
      <c r="T16">
        <f t="array" ref="T16">SUM('Multi-start Raw data'!$D$6:$D$2225*('Multi-start Raw data'!$B$6:$B$2225=$A16)*('Multi-start Raw data'!$C$6:$C$2225=T$6)*('Multi-start Raw data'!$J$6:$J$2225="Fully converged"))</f>
        <v>0</v>
      </c>
      <c r="U16">
        <f t="array" ref="U16">SUM('Multi-start Raw data'!$D$6:$D$2225*('Multi-start Raw data'!$B$6:$B$2225=$A16)*('Multi-start Raw data'!$C$6:$C$2225=U$6)*('Multi-start Raw data'!$J$6:$J$2225="Fully converged"))</f>
        <v>2.4980000000000002</v>
      </c>
      <c r="W16" s="6">
        <f t="shared" si="9"/>
        <v>2.4990000000000001</v>
      </c>
      <c r="X16" s="6">
        <f t="shared" si="10"/>
        <v>2.4990000000000001</v>
      </c>
      <c r="Y16" s="6">
        <f t="shared" si="11"/>
        <v>2.5</v>
      </c>
      <c r="Z16" s="6">
        <f t="shared" si="12"/>
        <v>2.5</v>
      </c>
      <c r="AA16" s="6">
        <f t="shared" si="13"/>
        <v>2.5</v>
      </c>
      <c r="AB16" s="6"/>
      <c r="AC16" s="6">
        <f t="shared" si="14"/>
        <v>0</v>
      </c>
      <c r="AD16" s="6">
        <f t="shared" si="15"/>
        <v>9.9999999999988987E-4</v>
      </c>
      <c r="AE16" s="6">
        <f t="shared" si="16"/>
        <v>0</v>
      </c>
      <c r="AF16" s="6">
        <f t="shared" si="17"/>
        <v>0</v>
      </c>
      <c r="AG16" s="6">
        <f t="shared" si="18"/>
        <v>3.9999999999995595E-2</v>
      </c>
      <c r="AH16" s="6">
        <f t="shared" si="19"/>
        <v>3.9999999999995595E-2</v>
      </c>
      <c r="AI16" s="6">
        <f t="shared" si="20"/>
        <v>0</v>
      </c>
      <c r="AJ16" s="6">
        <f t="shared" si="21"/>
        <v>0</v>
      </c>
      <c r="AK16" s="6">
        <f t="shared" si="22"/>
        <v>0</v>
      </c>
      <c r="AM16" s="16">
        <f t="shared" si="23"/>
        <v>0.1</v>
      </c>
    </row>
    <row r="17" spans="1:39" x14ac:dyDescent="0.3">
      <c r="A17" s="1" t="s">
        <v>461</v>
      </c>
      <c r="B17">
        <f t="array" ref="B17">SUM('Multi-start Raw data'!$D$6:$D$2225*('Multi-start Raw data'!$B$6:$B$2225=$A17)*('Multi-start Raw data'!$C$6:$C$2225=B$6)*('Multi-start Raw data'!$J$6:$J$2225="Fully converged"))</f>
        <v>2.5550000000000002</v>
      </c>
      <c r="C17">
        <f t="array" ref="C17">SUM('Multi-start Raw data'!$D$6:$D$2225*('Multi-start Raw data'!$B$6:$B$2225=$A17)*('Multi-start Raw data'!$C$6:$C$2225=C$6)*('Multi-start Raw data'!$J$6:$J$2225="Fully converged"))</f>
        <v>2.5499999999999998</v>
      </c>
      <c r="D17">
        <f t="array" ref="D17">SUM('Multi-start Raw data'!$D$6:$D$2225*('Multi-start Raw data'!$B$6:$B$2225=$A17)*('Multi-start Raw data'!$C$6:$C$2225=D$6)*('Multi-start Raw data'!$J$6:$J$2225="Fully converged"))</f>
        <v>2.5550000000000002</v>
      </c>
      <c r="E17">
        <f t="array" ref="E17">SUM('Multi-start Raw data'!$D$6:$D$2225*('Multi-start Raw data'!$B$6:$B$2225=$A17)*('Multi-start Raw data'!$C$6:$C$2225=E$6)*('Multi-start Raw data'!$J$6:$J$2225="Fully converged"))</f>
        <v>2.5550000000000002</v>
      </c>
      <c r="F17">
        <f t="array" ref="F17">SUM('Multi-start Raw data'!$D$6:$D$2225*('Multi-start Raw data'!$B$6:$B$2225=$A17)*('Multi-start Raw data'!$C$6:$C$2225=F$6)*('Multi-start Raw data'!$J$6:$J$2225="Fully converged"))</f>
        <v>2.5499999999999998</v>
      </c>
      <c r="G17">
        <f t="array" ref="G17">SUM('Multi-start Raw data'!$D$6:$D$2225*('Multi-start Raw data'!$B$6:$B$2225=$A17)*('Multi-start Raw data'!$C$6:$C$2225=G$6)*('Multi-start Raw data'!$J$6:$J$2225="Fully converged"))</f>
        <v>2.5550000000000002</v>
      </c>
      <c r="H17">
        <f t="array" ref="H17">SUM('Multi-start Raw data'!$D$6:$D$2225*('Multi-start Raw data'!$B$6:$B$2225=$A17)*('Multi-start Raw data'!$C$6:$C$2225=H$6)*('Multi-start Raw data'!$J$6:$J$2225="Fully converged"))</f>
        <v>2.5550000000000002</v>
      </c>
      <c r="I17">
        <f t="array" ref="I17">SUM('Multi-start Raw data'!$D$6:$D$2225*('Multi-start Raw data'!$B$6:$B$2225=$A17)*('Multi-start Raw data'!$C$6:$C$2225=I$6)*('Multi-start Raw data'!$J$6:$J$2225="Fully converged"))</f>
        <v>2.5550000000000002</v>
      </c>
      <c r="J17">
        <f t="array" ref="J17">SUM('Multi-start Raw data'!$D$6:$D$2225*('Multi-start Raw data'!$B$6:$B$2225=$A17)*('Multi-start Raw data'!$C$6:$C$2225=J$6)*('Multi-start Raw data'!$J$6:$J$2225="Fully converged"))</f>
        <v>2.5499999999999998</v>
      </c>
      <c r="K17">
        <f t="array" ref="K17">SUM('Multi-start Raw data'!$D$6:$D$2225*('Multi-start Raw data'!$B$6:$B$2225=$A17)*('Multi-start Raw data'!$C$6:$C$2225=K$6)*('Multi-start Raw data'!$J$6:$J$2225="Fully converged"))</f>
        <v>2.5499999999999998</v>
      </c>
      <c r="L17">
        <f t="array" ref="L17">SUM('Multi-start Raw data'!$D$6:$D$2225*('Multi-start Raw data'!$B$6:$B$2225=$A17)*('Multi-start Raw data'!$C$6:$C$2225=L$6)*('Multi-start Raw data'!$J$6:$J$2225="Fully converged"))</f>
        <v>2.5550000000000002</v>
      </c>
      <c r="M17">
        <f t="array" ref="M17">SUM('Multi-start Raw data'!$D$6:$D$2225*('Multi-start Raw data'!$B$6:$B$2225=$A17)*('Multi-start Raw data'!$C$6:$C$2225=M$6)*('Multi-start Raw data'!$J$6:$J$2225="Fully converged"))</f>
        <v>2.5550000000000002</v>
      </c>
      <c r="N17">
        <f t="array" ref="N17">SUM('Multi-start Raw data'!$D$6:$D$2225*('Multi-start Raw data'!$B$6:$B$2225=$A17)*('Multi-start Raw data'!$C$6:$C$2225=N$6)*('Multi-start Raw data'!$J$6:$J$2225="Fully converged"))</f>
        <v>2.5329999999999999</v>
      </c>
      <c r="O17">
        <f t="array" ref="O17">SUM('Multi-start Raw data'!$D$6:$D$2225*('Multi-start Raw data'!$B$6:$B$2225=$A17)*('Multi-start Raw data'!$C$6:$C$2225=O$6)*('Multi-start Raw data'!$J$6:$J$2225="Fully converged"))</f>
        <v>2.5499999999999998</v>
      </c>
      <c r="P17">
        <f t="array" ref="P17">SUM('Multi-start Raw data'!$D$6:$D$2225*('Multi-start Raw data'!$B$6:$B$2225=$A17)*('Multi-start Raw data'!$C$6:$C$2225=P$6)*('Multi-start Raw data'!$J$6:$J$2225="Fully converged"))</f>
        <v>2.5329999999999999</v>
      </c>
      <c r="Q17">
        <f t="array" ref="Q17">SUM('Multi-start Raw data'!$D$6:$D$2225*('Multi-start Raw data'!$B$6:$B$2225=$A17)*('Multi-start Raw data'!$C$6:$C$2225=Q$6)*('Multi-start Raw data'!$J$6:$J$2225="Fully converged"))</f>
        <v>2.5550000000000002</v>
      </c>
      <c r="R17">
        <f t="array" ref="R17">SUM('Multi-start Raw data'!$D$6:$D$2225*('Multi-start Raw data'!$B$6:$B$2225=$A17)*('Multi-start Raw data'!$C$6:$C$2225=R$6)*('Multi-start Raw data'!$J$6:$J$2225="Fully converged"))</f>
        <v>2.5499999999999998</v>
      </c>
      <c r="S17">
        <f t="array" ref="S17">SUM('Multi-start Raw data'!$D$6:$D$2225*('Multi-start Raw data'!$B$6:$B$2225=$A17)*('Multi-start Raw data'!$C$6:$C$2225=S$6)*('Multi-start Raw data'!$J$6:$J$2225="Fully converged"))</f>
        <v>2.5350000000000001</v>
      </c>
      <c r="T17">
        <f t="array" ref="T17">SUM('Multi-start Raw data'!$D$6:$D$2225*('Multi-start Raw data'!$B$6:$B$2225=$A17)*('Multi-start Raw data'!$C$6:$C$2225=T$6)*('Multi-start Raw data'!$J$6:$J$2225="Fully converged"))</f>
        <v>0</v>
      </c>
      <c r="U17">
        <f t="array" ref="U17">SUM('Multi-start Raw data'!$D$6:$D$2225*('Multi-start Raw data'!$B$6:$B$2225=$A17)*('Multi-start Raw data'!$C$6:$C$2225=U$6)*('Multi-start Raw data'!$J$6:$J$2225="Fully converged"))</f>
        <v>2.5499999999999998</v>
      </c>
      <c r="W17" s="6">
        <f t="shared" si="9"/>
        <v>2.5550000000000002</v>
      </c>
      <c r="X17" s="6">
        <f t="shared" si="10"/>
        <v>2.5550000000000002</v>
      </c>
      <c r="Y17" s="6">
        <f t="shared" si="11"/>
        <v>2.5550000000000002</v>
      </c>
      <c r="Z17" s="6">
        <f t="shared" si="12"/>
        <v>2.5550000000000002</v>
      </c>
      <c r="AA17" s="6">
        <f t="shared" si="13"/>
        <v>2.5550000000000002</v>
      </c>
      <c r="AB17" s="6"/>
      <c r="AC17" s="6">
        <f t="shared" si="14"/>
        <v>0</v>
      </c>
      <c r="AD17" s="6">
        <f t="shared" si="15"/>
        <v>0</v>
      </c>
      <c r="AE17" s="6">
        <f t="shared" si="16"/>
        <v>0</v>
      </c>
      <c r="AF17" s="6">
        <f t="shared" si="17"/>
        <v>0</v>
      </c>
      <c r="AG17" s="6">
        <f t="shared" si="18"/>
        <v>0</v>
      </c>
      <c r="AH17" s="6">
        <f t="shared" si="19"/>
        <v>0</v>
      </c>
      <c r="AI17" s="6">
        <f t="shared" si="20"/>
        <v>0</v>
      </c>
      <c r="AJ17" s="6">
        <f t="shared" si="21"/>
        <v>0</v>
      </c>
      <c r="AK17" s="6">
        <f t="shared" si="22"/>
        <v>0</v>
      </c>
      <c r="AM17" s="16">
        <f t="shared" si="23"/>
        <v>0.1</v>
      </c>
    </row>
    <row r="18" spans="1:39" x14ac:dyDescent="0.3">
      <c r="A18" s="1" t="s">
        <v>488</v>
      </c>
      <c r="B18">
        <f t="array" ref="B18">SUM('Multi-start Raw data'!$D$6:$D$2225*('Multi-start Raw data'!$B$6:$B$2225=$A18)*('Multi-start Raw data'!$C$6:$C$2225=B$6)*('Multi-start Raw data'!$J$6:$J$2225="Fully converged"))</f>
        <v>2.5409999999999999</v>
      </c>
      <c r="C18">
        <f t="array" ref="C18">SUM('Multi-start Raw data'!$D$6:$D$2225*('Multi-start Raw data'!$B$6:$B$2225=$A18)*('Multi-start Raw data'!$C$6:$C$2225=C$6)*('Multi-start Raw data'!$J$6:$J$2225="Fully converged"))</f>
        <v>2.5249999999999999</v>
      </c>
      <c r="D18">
        <f t="array" ref="D18">SUM('Multi-start Raw data'!$D$6:$D$2225*('Multi-start Raw data'!$B$6:$B$2225=$A18)*('Multi-start Raw data'!$C$6:$C$2225=D$6)*('Multi-start Raw data'!$J$6:$J$2225="Fully converged"))</f>
        <v>2.5449999999999999</v>
      </c>
      <c r="E18">
        <f t="array" ref="E18">SUM('Multi-start Raw data'!$D$6:$D$2225*('Multi-start Raw data'!$B$6:$B$2225=$A18)*('Multi-start Raw data'!$C$6:$C$2225=E$6)*('Multi-start Raw data'!$J$6:$J$2225="Fully converged"))</f>
        <v>0</v>
      </c>
      <c r="F18">
        <f t="array" ref="F18">SUM('Multi-start Raw data'!$D$6:$D$2225*('Multi-start Raw data'!$B$6:$B$2225=$A18)*('Multi-start Raw data'!$C$6:$C$2225=F$6)*('Multi-start Raw data'!$J$6:$J$2225="Fully converged"))</f>
        <v>2.54</v>
      </c>
      <c r="G18">
        <f t="array" ref="G18">SUM('Multi-start Raw data'!$D$6:$D$2225*('Multi-start Raw data'!$B$6:$B$2225=$A18)*('Multi-start Raw data'!$C$6:$C$2225=G$6)*('Multi-start Raw data'!$J$6:$J$2225="Fully converged"))</f>
        <v>2.5390000000000001</v>
      </c>
      <c r="H18">
        <f t="array" ref="H18">SUM('Multi-start Raw data'!$D$6:$D$2225*('Multi-start Raw data'!$B$6:$B$2225=$A18)*('Multi-start Raw data'!$C$6:$C$2225=H$6)*('Multi-start Raw data'!$J$6:$J$2225="Fully converged"))</f>
        <v>0</v>
      </c>
      <c r="I18">
        <f t="array" ref="I18">SUM('Multi-start Raw data'!$D$6:$D$2225*('Multi-start Raw data'!$B$6:$B$2225=$A18)*('Multi-start Raw data'!$C$6:$C$2225=I$6)*('Multi-start Raw data'!$J$6:$J$2225="Fully converged"))</f>
        <v>2.536</v>
      </c>
      <c r="J18">
        <f t="array" ref="J18">SUM('Multi-start Raw data'!$D$6:$D$2225*('Multi-start Raw data'!$B$6:$B$2225=$A18)*('Multi-start Raw data'!$C$6:$C$2225=J$6)*('Multi-start Raw data'!$J$6:$J$2225="Fully converged"))</f>
        <v>0</v>
      </c>
      <c r="K18">
        <f t="array" ref="K18">SUM('Multi-start Raw data'!$D$6:$D$2225*('Multi-start Raw data'!$B$6:$B$2225=$A18)*('Multi-start Raw data'!$C$6:$C$2225=K$6)*('Multi-start Raw data'!$J$6:$J$2225="Fully converged"))</f>
        <v>2.54</v>
      </c>
      <c r="L18">
        <f t="array" ref="L18">SUM('Multi-start Raw data'!$D$6:$D$2225*('Multi-start Raw data'!$B$6:$B$2225=$A18)*('Multi-start Raw data'!$C$6:$C$2225=L$6)*('Multi-start Raw data'!$J$6:$J$2225="Fully converged"))</f>
        <v>2.54</v>
      </c>
      <c r="M18">
        <f t="array" ref="M18">SUM('Multi-start Raw data'!$D$6:$D$2225*('Multi-start Raw data'!$B$6:$B$2225=$A18)*('Multi-start Raw data'!$C$6:$C$2225=M$6)*('Multi-start Raw data'!$J$6:$J$2225="Fully converged"))</f>
        <v>2.528</v>
      </c>
      <c r="N18">
        <f t="array" ref="N18">SUM('Multi-start Raw data'!$D$6:$D$2225*('Multi-start Raw data'!$B$6:$B$2225=$A18)*('Multi-start Raw data'!$C$6:$C$2225=N$6)*('Multi-start Raw data'!$J$6:$J$2225="Fully converged"))</f>
        <v>2.528</v>
      </c>
      <c r="O18">
        <f t="array" ref="O18">SUM('Multi-start Raw data'!$D$6:$D$2225*('Multi-start Raw data'!$B$6:$B$2225=$A18)*('Multi-start Raw data'!$C$6:$C$2225=O$6)*('Multi-start Raw data'!$J$6:$J$2225="Fully converged"))</f>
        <v>2.5409999999999999</v>
      </c>
      <c r="P18">
        <f t="array" ref="P18">SUM('Multi-start Raw data'!$D$6:$D$2225*('Multi-start Raw data'!$B$6:$B$2225=$A18)*('Multi-start Raw data'!$C$6:$C$2225=P$6)*('Multi-start Raw data'!$J$6:$J$2225="Fully converged"))</f>
        <v>2.528</v>
      </c>
      <c r="Q18">
        <f t="array" ref="Q18">SUM('Multi-start Raw data'!$D$6:$D$2225*('Multi-start Raw data'!$B$6:$B$2225=$A18)*('Multi-start Raw data'!$C$6:$C$2225=Q$6)*('Multi-start Raw data'!$J$6:$J$2225="Fully converged"))</f>
        <v>2.4889999999999999</v>
      </c>
      <c r="R18">
        <f t="array" ref="R18">SUM('Multi-start Raw data'!$D$6:$D$2225*('Multi-start Raw data'!$B$6:$B$2225=$A18)*('Multi-start Raw data'!$C$6:$C$2225=R$6)*('Multi-start Raw data'!$J$6:$J$2225="Fully converged"))</f>
        <v>2.5409999999999999</v>
      </c>
      <c r="S18">
        <f t="array" ref="S18">SUM('Multi-start Raw data'!$D$6:$D$2225*('Multi-start Raw data'!$B$6:$B$2225=$A18)*('Multi-start Raw data'!$C$6:$C$2225=S$6)*('Multi-start Raw data'!$J$6:$J$2225="Fully converged"))</f>
        <v>2.5219999999999998</v>
      </c>
      <c r="T18">
        <f t="array" ref="T18">SUM('Multi-start Raw data'!$D$6:$D$2225*('Multi-start Raw data'!$B$6:$B$2225=$A18)*('Multi-start Raw data'!$C$6:$C$2225=T$6)*('Multi-start Raw data'!$J$6:$J$2225="Fully converged"))</f>
        <v>2.5449999999999999</v>
      </c>
      <c r="U18">
        <f t="array" ref="U18">SUM('Multi-start Raw data'!$D$6:$D$2225*('Multi-start Raw data'!$B$6:$B$2225=$A18)*('Multi-start Raw data'!$C$6:$C$2225=U$6)*('Multi-start Raw data'!$J$6:$J$2225="Fully converged"))</f>
        <v>2.5409999999999999</v>
      </c>
      <c r="W18" s="6">
        <f t="shared" si="9"/>
        <v>2.5449999999999999</v>
      </c>
      <c r="X18" s="6">
        <f t="shared" si="10"/>
        <v>2.5449999999999999</v>
      </c>
      <c r="Y18" s="6">
        <f t="shared" si="11"/>
        <v>2.5449999999999999</v>
      </c>
      <c r="Z18" s="6">
        <f t="shared" si="12"/>
        <v>2.5449999999999999</v>
      </c>
      <c r="AA18" s="6">
        <f t="shared" si="13"/>
        <v>2.5449999999999999</v>
      </c>
      <c r="AB18" s="6"/>
      <c r="AC18" s="6">
        <f t="shared" si="14"/>
        <v>0</v>
      </c>
      <c r="AD18" s="6">
        <f t="shared" si="15"/>
        <v>0</v>
      </c>
      <c r="AE18" s="6">
        <f t="shared" si="16"/>
        <v>0</v>
      </c>
      <c r="AF18" s="6">
        <f t="shared" si="17"/>
        <v>0</v>
      </c>
      <c r="AG18" s="6">
        <f t="shared" si="18"/>
        <v>0</v>
      </c>
      <c r="AH18" s="6">
        <f t="shared" si="19"/>
        <v>0</v>
      </c>
      <c r="AI18" s="6">
        <f t="shared" si="20"/>
        <v>0</v>
      </c>
      <c r="AJ18" s="6">
        <f t="shared" si="21"/>
        <v>0</v>
      </c>
      <c r="AK18" s="6">
        <f t="shared" si="22"/>
        <v>0</v>
      </c>
      <c r="AM18" s="16">
        <f t="shared" si="23"/>
        <v>0.1</v>
      </c>
    </row>
    <row r="19" spans="1:39" x14ac:dyDescent="0.3">
      <c r="A19" s="1" t="s">
        <v>517</v>
      </c>
      <c r="B19">
        <f t="array" ref="B19">SUM('Multi-start Raw data'!$D$6:$D$2225*('Multi-start Raw data'!$B$6:$B$2225=$A19)*('Multi-start Raw data'!$C$6:$C$2225=B$6)*('Multi-start Raw data'!$J$6:$J$2225="Fully converged"))</f>
        <v>2.5230000000000001</v>
      </c>
      <c r="C19">
        <f t="array" ref="C19">SUM('Multi-start Raw data'!$D$6:$D$2225*('Multi-start Raw data'!$B$6:$B$2225=$A19)*('Multi-start Raw data'!$C$6:$C$2225=C$6)*('Multi-start Raw data'!$J$6:$J$2225="Fully converged"))</f>
        <v>2.5379999999999998</v>
      </c>
      <c r="D19">
        <f t="array" ref="D19">SUM('Multi-start Raw data'!$D$6:$D$2225*('Multi-start Raw data'!$B$6:$B$2225=$A19)*('Multi-start Raw data'!$C$6:$C$2225=D$6)*('Multi-start Raw data'!$J$6:$J$2225="Fully converged"))</f>
        <v>2.5430000000000001</v>
      </c>
      <c r="E19">
        <f t="array" ref="E19">SUM('Multi-start Raw data'!$D$6:$D$2225*('Multi-start Raw data'!$B$6:$B$2225=$A19)*('Multi-start Raw data'!$C$6:$C$2225=E$6)*('Multi-start Raw data'!$J$6:$J$2225="Fully converged"))</f>
        <v>2.5019999999999998</v>
      </c>
      <c r="F19">
        <f t="array" ref="F19">SUM('Multi-start Raw data'!$D$6:$D$2225*('Multi-start Raw data'!$B$6:$B$2225=$A19)*('Multi-start Raw data'!$C$6:$C$2225=F$6)*('Multi-start Raw data'!$J$6:$J$2225="Fully converged"))</f>
        <v>2.5289999999999999</v>
      </c>
      <c r="G19">
        <f t="array" ref="G19">SUM('Multi-start Raw data'!$D$6:$D$2225*('Multi-start Raw data'!$B$6:$B$2225=$A19)*('Multi-start Raw data'!$C$6:$C$2225=G$6)*('Multi-start Raw data'!$J$6:$J$2225="Fully converged"))</f>
        <v>2.5390000000000001</v>
      </c>
      <c r="H19">
        <f t="array" ref="H19">SUM('Multi-start Raw data'!$D$6:$D$2225*('Multi-start Raw data'!$B$6:$B$2225=$A19)*('Multi-start Raw data'!$C$6:$C$2225=H$6)*('Multi-start Raw data'!$J$6:$J$2225="Fully converged"))</f>
        <v>2.5379999999999998</v>
      </c>
      <c r="I19">
        <f t="array" ref="I19">SUM('Multi-start Raw data'!$D$6:$D$2225*('Multi-start Raw data'!$B$6:$B$2225=$A19)*('Multi-start Raw data'!$C$6:$C$2225=I$6)*('Multi-start Raw data'!$J$6:$J$2225="Fully converged"))</f>
        <v>2.5459999999999998</v>
      </c>
      <c r="J19">
        <f t="array" ref="J19">SUM('Multi-start Raw data'!$D$6:$D$2225*('Multi-start Raw data'!$B$6:$B$2225=$A19)*('Multi-start Raw data'!$C$6:$C$2225=J$6)*('Multi-start Raw data'!$J$6:$J$2225="Fully converged"))</f>
        <v>2.5419999999999998</v>
      </c>
      <c r="K19">
        <f t="array" ref="K19">SUM('Multi-start Raw data'!$D$6:$D$2225*('Multi-start Raw data'!$B$6:$B$2225=$A19)*('Multi-start Raw data'!$C$6:$C$2225=K$6)*('Multi-start Raw data'!$J$6:$J$2225="Fully converged"))</f>
        <v>2.5270000000000001</v>
      </c>
      <c r="L19">
        <f t="array" ref="L19">SUM('Multi-start Raw data'!$D$6:$D$2225*('Multi-start Raw data'!$B$6:$B$2225=$A19)*('Multi-start Raw data'!$C$6:$C$2225=L$6)*('Multi-start Raw data'!$J$6:$J$2225="Fully converged"))</f>
        <v>2.5430000000000001</v>
      </c>
      <c r="M19">
        <f t="array" ref="M19">SUM('Multi-start Raw data'!$D$6:$D$2225*('Multi-start Raw data'!$B$6:$B$2225=$A19)*('Multi-start Raw data'!$C$6:$C$2225=M$6)*('Multi-start Raw data'!$J$6:$J$2225="Fully converged"))</f>
        <v>2.5270000000000001</v>
      </c>
      <c r="N19">
        <f t="array" ref="N19">SUM('Multi-start Raw data'!$D$6:$D$2225*('Multi-start Raw data'!$B$6:$B$2225=$A19)*('Multi-start Raw data'!$C$6:$C$2225=N$6)*('Multi-start Raw data'!$J$6:$J$2225="Fully converged"))</f>
        <v>2.5249999999999999</v>
      </c>
      <c r="O19">
        <f t="array" ref="O19">SUM('Multi-start Raw data'!$D$6:$D$2225*('Multi-start Raw data'!$B$6:$B$2225=$A19)*('Multi-start Raw data'!$C$6:$C$2225=O$6)*('Multi-start Raw data'!$J$6:$J$2225="Fully converged"))</f>
        <v>2.524</v>
      </c>
      <c r="P19">
        <f t="array" ref="P19">SUM('Multi-start Raw data'!$D$6:$D$2225*('Multi-start Raw data'!$B$6:$B$2225=$A19)*('Multi-start Raw data'!$C$6:$C$2225=P$6)*('Multi-start Raw data'!$J$6:$J$2225="Fully converged"))</f>
        <v>2.5430000000000001</v>
      </c>
      <c r="Q19">
        <f t="array" ref="Q19">SUM('Multi-start Raw data'!$D$6:$D$2225*('Multi-start Raw data'!$B$6:$B$2225=$A19)*('Multi-start Raw data'!$C$6:$C$2225=Q$6)*('Multi-start Raw data'!$J$6:$J$2225="Fully converged"))</f>
        <v>2.5259999999999998</v>
      </c>
      <c r="R19">
        <f t="array" ref="R19">SUM('Multi-start Raw data'!$D$6:$D$2225*('Multi-start Raw data'!$B$6:$B$2225=$A19)*('Multi-start Raw data'!$C$6:$C$2225=R$6)*('Multi-start Raw data'!$J$6:$J$2225="Fully converged"))</f>
        <v>2.5430000000000001</v>
      </c>
      <c r="S19">
        <f t="array" ref="S19">SUM('Multi-start Raw data'!$D$6:$D$2225*('Multi-start Raw data'!$B$6:$B$2225=$A19)*('Multi-start Raw data'!$C$6:$C$2225=S$6)*('Multi-start Raw data'!$J$6:$J$2225="Fully converged"))</f>
        <v>2.5259999999999998</v>
      </c>
      <c r="T19">
        <f t="array" ref="T19">SUM('Multi-start Raw data'!$D$6:$D$2225*('Multi-start Raw data'!$B$6:$B$2225=$A19)*('Multi-start Raw data'!$C$6:$C$2225=T$6)*('Multi-start Raw data'!$J$6:$J$2225="Fully converged"))</f>
        <v>0</v>
      </c>
      <c r="U19">
        <f t="array" ref="U19">SUM('Multi-start Raw data'!$D$6:$D$2225*('Multi-start Raw data'!$B$6:$B$2225=$A19)*('Multi-start Raw data'!$C$6:$C$2225=U$6)*('Multi-start Raw data'!$J$6:$J$2225="Fully converged"))</f>
        <v>2.5430000000000001</v>
      </c>
      <c r="W19" s="6">
        <f t="shared" si="9"/>
        <v>2.5430000000000001</v>
      </c>
      <c r="X19" s="6">
        <f t="shared" si="10"/>
        <v>2.5459999999999998</v>
      </c>
      <c r="Y19" s="6">
        <f t="shared" si="11"/>
        <v>2.5459999999999998</v>
      </c>
      <c r="Z19" s="6">
        <f t="shared" si="12"/>
        <v>2.5459999999999998</v>
      </c>
      <c r="AA19" s="6">
        <f t="shared" si="13"/>
        <v>2.5459999999999998</v>
      </c>
      <c r="AB19" s="6"/>
      <c r="AC19" s="6">
        <f t="shared" si="14"/>
        <v>2.9999999999996696E-3</v>
      </c>
      <c r="AD19" s="6">
        <f t="shared" si="15"/>
        <v>0</v>
      </c>
      <c r="AE19" s="6">
        <f t="shared" si="16"/>
        <v>0</v>
      </c>
      <c r="AF19" s="6">
        <f t="shared" si="17"/>
        <v>0</v>
      </c>
      <c r="AG19" s="6">
        <f t="shared" si="18"/>
        <v>0.11783189316573724</v>
      </c>
      <c r="AH19" s="6">
        <f t="shared" si="19"/>
        <v>0</v>
      </c>
      <c r="AI19" s="6">
        <f t="shared" si="20"/>
        <v>0</v>
      </c>
      <c r="AJ19" s="6">
        <f t="shared" si="21"/>
        <v>0</v>
      </c>
      <c r="AK19" s="6">
        <f t="shared" si="22"/>
        <v>0</v>
      </c>
      <c r="AM19" s="16">
        <f t="shared" si="23"/>
        <v>0.1</v>
      </c>
    </row>
    <row r="20" spans="1:39" x14ac:dyDescent="0.3">
      <c r="A20" s="1" t="s">
        <v>542</v>
      </c>
      <c r="B20">
        <f t="array" ref="B20">SUM('Multi-start Raw data'!$D$6:$D$2225*('Multi-start Raw data'!$B$6:$B$2225=$A20)*('Multi-start Raw data'!$C$6:$C$2225=B$6)*('Multi-start Raw data'!$J$6:$J$2225="Fully converged"))</f>
        <v>2.4020000000000001</v>
      </c>
      <c r="C20">
        <f t="array" ref="C20">SUM('Multi-start Raw data'!$D$6:$D$2225*('Multi-start Raw data'!$B$6:$B$2225=$A20)*('Multi-start Raw data'!$C$6:$C$2225=C$6)*('Multi-start Raw data'!$J$6:$J$2225="Fully converged"))</f>
        <v>2.3860000000000001</v>
      </c>
      <c r="D20">
        <f t="array" ref="D20">SUM('Multi-start Raw data'!$D$6:$D$2225*('Multi-start Raw data'!$B$6:$B$2225=$A20)*('Multi-start Raw data'!$C$6:$C$2225=D$6)*('Multi-start Raw data'!$J$6:$J$2225="Fully converged"))</f>
        <v>2.4049999999999998</v>
      </c>
      <c r="E20">
        <f t="array" ref="E20">SUM('Multi-start Raw data'!$D$6:$D$2225*('Multi-start Raw data'!$B$6:$B$2225=$A20)*('Multi-start Raw data'!$C$6:$C$2225=E$6)*('Multi-start Raw data'!$J$6:$J$2225="Fully converged"))</f>
        <v>2.4009999999999998</v>
      </c>
      <c r="F20">
        <f t="array" ref="F20">SUM('Multi-start Raw data'!$D$6:$D$2225*('Multi-start Raw data'!$B$6:$B$2225=$A20)*('Multi-start Raw data'!$C$6:$C$2225=F$6)*('Multi-start Raw data'!$J$6:$J$2225="Fully converged"))</f>
        <v>2.4020000000000001</v>
      </c>
      <c r="G20">
        <f t="array" ref="G20">SUM('Multi-start Raw data'!$D$6:$D$2225*('Multi-start Raw data'!$B$6:$B$2225=$A20)*('Multi-start Raw data'!$C$6:$C$2225=G$6)*('Multi-start Raw data'!$J$6:$J$2225="Fully converged"))</f>
        <v>2.3860000000000001</v>
      </c>
      <c r="H20">
        <f t="array" ref="H20">SUM('Multi-start Raw data'!$D$6:$D$2225*('Multi-start Raw data'!$B$6:$B$2225=$A20)*('Multi-start Raw data'!$C$6:$C$2225=H$6)*('Multi-start Raw data'!$J$6:$J$2225="Fully converged"))</f>
        <v>2.4020000000000001</v>
      </c>
      <c r="I20">
        <f t="array" ref="I20">SUM('Multi-start Raw data'!$D$6:$D$2225*('Multi-start Raw data'!$B$6:$B$2225=$A20)*('Multi-start Raw data'!$C$6:$C$2225=I$6)*('Multi-start Raw data'!$J$6:$J$2225="Fully converged"))</f>
        <v>2.4049999999999998</v>
      </c>
      <c r="J20">
        <f t="array" ref="J20">SUM('Multi-start Raw data'!$D$6:$D$2225*('Multi-start Raw data'!$B$6:$B$2225=$A20)*('Multi-start Raw data'!$C$6:$C$2225=J$6)*('Multi-start Raw data'!$J$6:$J$2225="Fully converged"))</f>
        <v>2.4020000000000001</v>
      </c>
      <c r="K20">
        <f t="array" ref="K20">SUM('Multi-start Raw data'!$D$6:$D$2225*('Multi-start Raw data'!$B$6:$B$2225=$A20)*('Multi-start Raw data'!$C$6:$C$2225=K$6)*('Multi-start Raw data'!$J$6:$J$2225="Fully converged"))</f>
        <v>2.4020000000000001</v>
      </c>
      <c r="L20">
        <f t="array" ref="L20">SUM('Multi-start Raw data'!$D$6:$D$2225*('Multi-start Raw data'!$B$6:$B$2225=$A20)*('Multi-start Raw data'!$C$6:$C$2225=L$6)*('Multi-start Raw data'!$J$6:$J$2225="Fully converged"))</f>
        <v>2.4049999999999998</v>
      </c>
      <c r="M20">
        <f t="array" ref="M20">SUM('Multi-start Raw data'!$D$6:$D$2225*('Multi-start Raw data'!$B$6:$B$2225=$A20)*('Multi-start Raw data'!$C$6:$C$2225=M$6)*('Multi-start Raw data'!$J$6:$J$2225="Fully converged"))</f>
        <v>2.3860000000000001</v>
      </c>
      <c r="N20">
        <f t="array" ref="N20">SUM('Multi-start Raw data'!$D$6:$D$2225*('Multi-start Raw data'!$B$6:$B$2225=$A20)*('Multi-start Raw data'!$C$6:$C$2225=N$6)*('Multi-start Raw data'!$J$6:$J$2225="Fully converged"))</f>
        <v>2.3879999999999999</v>
      </c>
      <c r="O20">
        <f t="array" ref="O20">SUM('Multi-start Raw data'!$D$6:$D$2225*('Multi-start Raw data'!$B$6:$B$2225=$A20)*('Multi-start Raw data'!$C$6:$C$2225=O$6)*('Multi-start Raw data'!$J$6:$J$2225="Fully converged"))</f>
        <v>2.3809999999999998</v>
      </c>
      <c r="P20">
        <f t="array" ref="P20">SUM('Multi-start Raw data'!$D$6:$D$2225*('Multi-start Raw data'!$B$6:$B$2225=$A20)*('Multi-start Raw data'!$C$6:$C$2225=P$6)*('Multi-start Raw data'!$J$6:$J$2225="Fully converged"))</f>
        <v>2.4009999999999998</v>
      </c>
      <c r="Q20">
        <f t="array" ref="Q20">SUM('Multi-start Raw data'!$D$6:$D$2225*('Multi-start Raw data'!$B$6:$B$2225=$A20)*('Multi-start Raw data'!$C$6:$C$2225=Q$6)*('Multi-start Raw data'!$J$6:$J$2225="Fully converged"))</f>
        <v>2.4049999999999998</v>
      </c>
      <c r="R20">
        <f t="array" ref="R20">SUM('Multi-start Raw data'!$D$6:$D$2225*('Multi-start Raw data'!$B$6:$B$2225=$A20)*('Multi-start Raw data'!$C$6:$C$2225=R$6)*('Multi-start Raw data'!$J$6:$J$2225="Fully converged"))</f>
        <v>2.4020000000000001</v>
      </c>
      <c r="S20">
        <f t="array" ref="S20">SUM('Multi-start Raw data'!$D$6:$D$2225*('Multi-start Raw data'!$B$6:$B$2225=$A20)*('Multi-start Raw data'!$C$6:$C$2225=S$6)*('Multi-start Raw data'!$J$6:$J$2225="Fully converged"))</f>
        <v>2.4020000000000001</v>
      </c>
      <c r="T20">
        <f t="array" ref="T20">SUM('Multi-start Raw data'!$D$6:$D$2225*('Multi-start Raw data'!$B$6:$B$2225=$A20)*('Multi-start Raw data'!$C$6:$C$2225=T$6)*('Multi-start Raw data'!$J$6:$J$2225="Fully converged"))</f>
        <v>2.4009999999999998</v>
      </c>
      <c r="U20">
        <f t="array" ref="U20">SUM('Multi-start Raw data'!$D$6:$D$2225*('Multi-start Raw data'!$B$6:$B$2225=$A20)*('Multi-start Raw data'!$C$6:$C$2225=U$6)*('Multi-start Raw data'!$J$6:$J$2225="Fully converged"))</f>
        <v>2.4049999999999998</v>
      </c>
      <c r="W20" s="6">
        <f t="shared" si="9"/>
        <v>2.4049999999999998</v>
      </c>
      <c r="X20" s="6">
        <f t="shared" si="10"/>
        <v>2.4049999999999998</v>
      </c>
      <c r="Y20" s="6">
        <f t="shared" si="11"/>
        <v>2.4049999999999998</v>
      </c>
      <c r="Z20" s="6">
        <f t="shared" si="12"/>
        <v>2.4049999999999998</v>
      </c>
      <c r="AA20" s="6">
        <f t="shared" si="13"/>
        <v>2.4049999999999998</v>
      </c>
      <c r="AB20" s="6"/>
      <c r="AC20" s="6">
        <f t="shared" si="14"/>
        <v>0</v>
      </c>
      <c r="AD20" s="6">
        <f t="shared" si="15"/>
        <v>0</v>
      </c>
      <c r="AE20" s="6">
        <f t="shared" si="16"/>
        <v>0</v>
      </c>
      <c r="AF20" s="6">
        <f t="shared" si="17"/>
        <v>0</v>
      </c>
      <c r="AG20" s="6">
        <f t="shared" si="18"/>
        <v>0</v>
      </c>
      <c r="AH20" s="6">
        <f t="shared" si="19"/>
        <v>0</v>
      </c>
      <c r="AI20" s="6">
        <f t="shared" si="20"/>
        <v>0</v>
      </c>
      <c r="AJ20" s="6">
        <f t="shared" si="21"/>
        <v>0</v>
      </c>
      <c r="AK20" s="6">
        <f t="shared" si="22"/>
        <v>0</v>
      </c>
      <c r="AM20" s="16">
        <f t="shared" si="23"/>
        <v>0.1</v>
      </c>
    </row>
    <row r="21" spans="1:39" x14ac:dyDescent="0.3">
      <c r="A21" s="1" t="s">
        <v>566</v>
      </c>
      <c r="B21">
        <f t="array" ref="B21">SUM('Multi-start Raw data'!$D$6:$D$2225*('Multi-start Raw data'!$B$6:$B$2225=$A21)*('Multi-start Raw data'!$C$6:$C$2225=B$6)*('Multi-start Raw data'!$J$6:$J$2225="Fully converged"))</f>
        <v>2.4769999999999999</v>
      </c>
      <c r="C21">
        <f t="array" ref="C21">SUM('Multi-start Raw data'!$D$6:$D$2225*('Multi-start Raw data'!$B$6:$B$2225=$A21)*('Multi-start Raw data'!$C$6:$C$2225=C$6)*('Multi-start Raw data'!$J$6:$J$2225="Fully converged"))</f>
        <v>2.4780000000000002</v>
      </c>
      <c r="D21">
        <f t="array" ref="D21">SUM('Multi-start Raw data'!$D$6:$D$2225*('Multi-start Raw data'!$B$6:$B$2225=$A21)*('Multi-start Raw data'!$C$6:$C$2225=D$6)*('Multi-start Raw data'!$J$6:$J$2225="Fully converged"))</f>
        <v>2.4750000000000001</v>
      </c>
      <c r="E21">
        <f t="array" ref="E21">SUM('Multi-start Raw data'!$D$6:$D$2225*('Multi-start Raw data'!$B$6:$B$2225=$A21)*('Multi-start Raw data'!$C$6:$C$2225=E$6)*('Multi-start Raw data'!$J$6:$J$2225="Fully converged"))</f>
        <v>2.4769999999999999</v>
      </c>
      <c r="F21">
        <f t="array" ref="F21">SUM('Multi-start Raw data'!$D$6:$D$2225*('Multi-start Raw data'!$B$6:$B$2225=$A21)*('Multi-start Raw data'!$C$6:$C$2225=F$6)*('Multi-start Raw data'!$J$6:$J$2225="Fully converged"))</f>
        <v>2.4780000000000002</v>
      </c>
      <c r="G21">
        <f t="array" ref="G21">SUM('Multi-start Raw data'!$D$6:$D$2225*('Multi-start Raw data'!$B$6:$B$2225=$A21)*('Multi-start Raw data'!$C$6:$C$2225=G$6)*('Multi-start Raw data'!$J$6:$J$2225="Fully converged"))</f>
        <v>2.4329999999999998</v>
      </c>
      <c r="H21">
        <f t="array" ref="H21">SUM('Multi-start Raw data'!$D$6:$D$2225*('Multi-start Raw data'!$B$6:$B$2225=$A21)*('Multi-start Raw data'!$C$6:$C$2225=H$6)*('Multi-start Raw data'!$J$6:$J$2225="Fully converged"))</f>
        <v>0</v>
      </c>
      <c r="I21">
        <f t="array" ref="I21">SUM('Multi-start Raw data'!$D$6:$D$2225*('Multi-start Raw data'!$B$6:$B$2225=$A21)*('Multi-start Raw data'!$C$6:$C$2225=I$6)*('Multi-start Raw data'!$J$6:$J$2225="Fully converged"))</f>
        <v>2.4809999999999999</v>
      </c>
      <c r="J21">
        <f t="array" ref="J21">SUM('Multi-start Raw data'!$D$6:$D$2225*('Multi-start Raw data'!$B$6:$B$2225=$A21)*('Multi-start Raw data'!$C$6:$C$2225=J$6)*('Multi-start Raw data'!$J$6:$J$2225="Fully converged"))</f>
        <v>2.4780000000000002</v>
      </c>
      <c r="K21">
        <f t="array" ref="K21">SUM('Multi-start Raw data'!$D$6:$D$2225*('Multi-start Raw data'!$B$6:$B$2225=$A21)*('Multi-start Raw data'!$C$6:$C$2225=K$6)*('Multi-start Raw data'!$J$6:$J$2225="Fully converged"))</f>
        <v>2.4780000000000002</v>
      </c>
      <c r="L21">
        <f t="array" ref="L21">SUM('Multi-start Raw data'!$D$6:$D$2225*('Multi-start Raw data'!$B$6:$B$2225=$A21)*('Multi-start Raw data'!$C$6:$C$2225=L$6)*('Multi-start Raw data'!$J$6:$J$2225="Fully converged"))</f>
        <v>2.4849999999999999</v>
      </c>
      <c r="M21">
        <f t="array" ref="M21">SUM('Multi-start Raw data'!$D$6:$D$2225*('Multi-start Raw data'!$B$6:$B$2225=$A21)*('Multi-start Raw data'!$C$6:$C$2225=M$6)*('Multi-start Raw data'!$J$6:$J$2225="Fully converged"))</f>
        <v>2.4849999999999999</v>
      </c>
      <c r="N21">
        <f t="array" ref="N21">SUM('Multi-start Raw data'!$D$6:$D$2225*('Multi-start Raw data'!$B$6:$B$2225=$A21)*('Multi-start Raw data'!$C$6:$C$2225=N$6)*('Multi-start Raw data'!$J$6:$J$2225="Fully converged"))</f>
        <v>2.4780000000000002</v>
      </c>
      <c r="O21">
        <f t="array" ref="O21">SUM('Multi-start Raw data'!$D$6:$D$2225*('Multi-start Raw data'!$B$6:$B$2225=$A21)*('Multi-start Raw data'!$C$6:$C$2225=O$6)*('Multi-start Raw data'!$J$6:$J$2225="Fully converged"))</f>
        <v>2.4830000000000001</v>
      </c>
      <c r="P21">
        <f t="array" ref="P21">SUM('Multi-start Raw data'!$D$6:$D$2225*('Multi-start Raw data'!$B$6:$B$2225=$A21)*('Multi-start Raw data'!$C$6:$C$2225=P$6)*('Multi-start Raw data'!$J$6:$J$2225="Fully converged"))</f>
        <v>2.4790000000000001</v>
      </c>
      <c r="Q21">
        <f t="array" ref="Q21">SUM('Multi-start Raw data'!$D$6:$D$2225*('Multi-start Raw data'!$B$6:$B$2225=$A21)*('Multi-start Raw data'!$C$6:$C$2225=Q$6)*('Multi-start Raw data'!$J$6:$J$2225="Fully converged"))</f>
        <v>2.4350000000000001</v>
      </c>
      <c r="R21">
        <f t="array" ref="R21">SUM('Multi-start Raw data'!$D$6:$D$2225*('Multi-start Raw data'!$B$6:$B$2225=$A21)*('Multi-start Raw data'!$C$6:$C$2225=R$6)*('Multi-start Raw data'!$J$6:$J$2225="Fully converged"))</f>
        <v>2.4769999999999999</v>
      </c>
      <c r="S21">
        <f t="array" ref="S21">SUM('Multi-start Raw data'!$D$6:$D$2225*('Multi-start Raw data'!$B$6:$B$2225=$A21)*('Multi-start Raw data'!$C$6:$C$2225=S$6)*('Multi-start Raw data'!$J$6:$J$2225="Fully converged"))</f>
        <v>2.4780000000000002</v>
      </c>
      <c r="T21">
        <f t="array" ref="T21">SUM('Multi-start Raw data'!$D$6:$D$2225*('Multi-start Raw data'!$B$6:$B$2225=$A21)*('Multi-start Raw data'!$C$6:$C$2225=T$6)*('Multi-start Raw data'!$J$6:$J$2225="Fully converged"))</f>
        <v>0</v>
      </c>
      <c r="U21">
        <f t="array" ref="U21">SUM('Multi-start Raw data'!$D$6:$D$2225*('Multi-start Raw data'!$B$6:$B$2225=$A21)*('Multi-start Raw data'!$C$6:$C$2225=U$6)*('Multi-start Raw data'!$J$6:$J$2225="Fully converged"))</f>
        <v>2.4769999999999999</v>
      </c>
      <c r="W21" s="6">
        <f t="shared" si="9"/>
        <v>2.4780000000000002</v>
      </c>
      <c r="X21" s="6">
        <f t="shared" si="10"/>
        <v>2.4809999999999999</v>
      </c>
      <c r="Y21" s="6">
        <f t="shared" si="11"/>
        <v>2.4849999999999999</v>
      </c>
      <c r="Z21" s="6">
        <f t="shared" si="12"/>
        <v>2.4849999999999999</v>
      </c>
      <c r="AA21" s="6">
        <f t="shared" si="13"/>
        <v>2.4849999999999999</v>
      </c>
      <c r="AB21" s="6"/>
      <c r="AC21" s="6">
        <f t="shared" si="14"/>
        <v>2.9999999999996696E-3</v>
      </c>
      <c r="AD21" s="6">
        <f t="shared" si="15"/>
        <v>4.0000000000000036E-3</v>
      </c>
      <c r="AE21" s="6">
        <f t="shared" si="16"/>
        <v>0</v>
      </c>
      <c r="AF21" s="6">
        <f t="shared" si="17"/>
        <v>0</v>
      </c>
      <c r="AG21" s="6">
        <f t="shared" si="18"/>
        <v>0.28169014084505728</v>
      </c>
      <c r="AH21" s="6">
        <f t="shared" si="19"/>
        <v>0.16096579476861181</v>
      </c>
      <c r="AI21" s="6">
        <f t="shared" si="20"/>
        <v>0</v>
      </c>
      <c r="AJ21" s="6">
        <f t="shared" si="21"/>
        <v>0</v>
      </c>
      <c r="AK21" s="6">
        <f t="shared" si="22"/>
        <v>0</v>
      </c>
      <c r="AM21" s="16">
        <f t="shared" si="23"/>
        <v>0.1</v>
      </c>
    </row>
    <row r="22" spans="1:39" x14ac:dyDescent="0.3">
      <c r="A22" s="1" t="s">
        <v>593</v>
      </c>
      <c r="B22">
        <f t="array" ref="B22">SUM('Multi-start Raw data'!$D$6:$D$2225*('Multi-start Raw data'!$B$6:$B$2225=$A22)*('Multi-start Raw data'!$C$6:$C$2225=B$6)*('Multi-start Raw data'!$J$6:$J$2225="Fully converged"))</f>
        <v>1.9950000000000001</v>
      </c>
      <c r="C22">
        <f t="array" ref="C22">SUM('Multi-start Raw data'!$D$6:$D$2225*('Multi-start Raw data'!$B$6:$B$2225=$A22)*('Multi-start Raw data'!$C$6:$C$2225=C$6)*('Multi-start Raw data'!$J$6:$J$2225="Fully converged"))</f>
        <v>1.9990000000000001</v>
      </c>
      <c r="D22">
        <f t="array" ref="D22">SUM('Multi-start Raw data'!$D$6:$D$2225*('Multi-start Raw data'!$B$6:$B$2225=$A22)*('Multi-start Raw data'!$C$6:$C$2225=D$6)*('Multi-start Raw data'!$J$6:$J$2225="Fully converged"))</f>
        <v>2.0089999999999999</v>
      </c>
      <c r="E22">
        <f t="array" ref="E22">SUM('Multi-start Raw data'!$D$6:$D$2225*('Multi-start Raw data'!$B$6:$B$2225=$A22)*('Multi-start Raw data'!$C$6:$C$2225=E$6)*('Multi-start Raw data'!$J$6:$J$2225="Fully converged"))</f>
        <v>2.0089999999999999</v>
      </c>
      <c r="F22">
        <f t="array" ref="F22">SUM('Multi-start Raw data'!$D$6:$D$2225*('Multi-start Raw data'!$B$6:$B$2225=$A22)*('Multi-start Raw data'!$C$6:$C$2225=F$6)*('Multi-start Raw data'!$J$6:$J$2225="Fully converged"))</f>
        <v>2.0089999999999999</v>
      </c>
      <c r="G22">
        <f t="array" ref="G22">SUM('Multi-start Raw data'!$D$6:$D$2225*('Multi-start Raw data'!$B$6:$B$2225=$A22)*('Multi-start Raw data'!$C$6:$C$2225=G$6)*('Multi-start Raw data'!$J$6:$J$2225="Fully converged"))</f>
        <v>2.0089999999999999</v>
      </c>
      <c r="H22">
        <f t="array" ref="H22">SUM('Multi-start Raw data'!$D$6:$D$2225*('Multi-start Raw data'!$B$6:$B$2225=$A22)*('Multi-start Raw data'!$C$6:$C$2225=H$6)*('Multi-start Raw data'!$J$6:$J$2225="Fully converged"))</f>
        <v>2.0089999999999999</v>
      </c>
      <c r="I22">
        <f t="array" ref="I22">SUM('Multi-start Raw data'!$D$6:$D$2225*('Multi-start Raw data'!$B$6:$B$2225=$A22)*('Multi-start Raw data'!$C$6:$C$2225=I$6)*('Multi-start Raw data'!$J$6:$J$2225="Fully converged"))</f>
        <v>2.0089999999999999</v>
      </c>
      <c r="J22">
        <f t="array" ref="J22">SUM('Multi-start Raw data'!$D$6:$D$2225*('Multi-start Raw data'!$B$6:$B$2225=$A22)*('Multi-start Raw data'!$C$6:$C$2225=J$6)*('Multi-start Raw data'!$J$6:$J$2225="Fully converged"))</f>
        <v>1.9950000000000001</v>
      </c>
      <c r="K22">
        <f t="array" ref="K22">SUM('Multi-start Raw data'!$D$6:$D$2225*('Multi-start Raw data'!$B$6:$B$2225=$A22)*('Multi-start Raw data'!$C$6:$C$2225=K$6)*('Multi-start Raw data'!$J$6:$J$2225="Fully converged"))</f>
        <v>1.9950000000000001</v>
      </c>
      <c r="L22">
        <f t="array" ref="L22">SUM('Multi-start Raw data'!$D$6:$D$2225*('Multi-start Raw data'!$B$6:$B$2225=$A22)*('Multi-start Raw data'!$C$6:$C$2225=L$6)*('Multi-start Raw data'!$J$6:$J$2225="Fully converged"))</f>
        <v>2.0089999999999999</v>
      </c>
      <c r="M22">
        <f t="array" ref="M22">SUM('Multi-start Raw data'!$D$6:$D$2225*('Multi-start Raw data'!$B$6:$B$2225=$A22)*('Multi-start Raw data'!$C$6:$C$2225=M$6)*('Multi-start Raw data'!$J$6:$J$2225="Fully converged"))</f>
        <v>2.0089999999999999</v>
      </c>
      <c r="N22">
        <f t="array" ref="N22">SUM('Multi-start Raw data'!$D$6:$D$2225*('Multi-start Raw data'!$B$6:$B$2225=$A22)*('Multi-start Raw data'!$C$6:$C$2225=N$6)*('Multi-start Raw data'!$J$6:$J$2225="Fully converged"))</f>
        <v>0</v>
      </c>
      <c r="O22">
        <f t="array" ref="O22">SUM('Multi-start Raw data'!$D$6:$D$2225*('Multi-start Raw data'!$B$6:$B$2225=$A22)*('Multi-start Raw data'!$C$6:$C$2225=O$6)*('Multi-start Raw data'!$J$6:$J$2225="Fully converged"))</f>
        <v>1.9950000000000001</v>
      </c>
      <c r="P22">
        <f t="array" ref="P22">SUM('Multi-start Raw data'!$D$6:$D$2225*('Multi-start Raw data'!$B$6:$B$2225=$A22)*('Multi-start Raw data'!$C$6:$C$2225=P$6)*('Multi-start Raw data'!$J$6:$J$2225="Fully converged"))</f>
        <v>1.9950000000000001</v>
      </c>
      <c r="Q22">
        <f t="array" ref="Q22">SUM('Multi-start Raw data'!$D$6:$D$2225*('Multi-start Raw data'!$B$6:$B$2225=$A22)*('Multi-start Raw data'!$C$6:$C$2225=Q$6)*('Multi-start Raw data'!$J$6:$J$2225="Fully converged"))</f>
        <v>0</v>
      </c>
      <c r="R22">
        <f t="array" ref="R22">SUM('Multi-start Raw data'!$D$6:$D$2225*('Multi-start Raw data'!$B$6:$B$2225=$A22)*('Multi-start Raw data'!$C$6:$C$2225=R$6)*('Multi-start Raw data'!$J$6:$J$2225="Fully converged"))</f>
        <v>2.0089999999999999</v>
      </c>
      <c r="S22">
        <f t="array" ref="S22">SUM('Multi-start Raw data'!$D$6:$D$2225*('Multi-start Raw data'!$B$6:$B$2225=$A22)*('Multi-start Raw data'!$C$6:$C$2225=S$6)*('Multi-start Raw data'!$J$6:$J$2225="Fully converged"))</f>
        <v>1.9950000000000001</v>
      </c>
      <c r="T22">
        <f t="array" ref="T22">SUM('Multi-start Raw data'!$D$6:$D$2225*('Multi-start Raw data'!$B$6:$B$2225=$A22)*('Multi-start Raw data'!$C$6:$C$2225=T$6)*('Multi-start Raw data'!$J$6:$J$2225="Fully converged"))</f>
        <v>2.0099999999999998</v>
      </c>
      <c r="U22">
        <f t="array" ref="U22">SUM('Multi-start Raw data'!$D$6:$D$2225*('Multi-start Raw data'!$B$6:$B$2225=$A22)*('Multi-start Raw data'!$C$6:$C$2225=U$6)*('Multi-start Raw data'!$J$6:$J$2225="Fully converged"))</f>
        <v>1.996</v>
      </c>
      <c r="W22" s="6">
        <f t="shared" si="9"/>
        <v>2.0089999999999999</v>
      </c>
      <c r="X22" s="6">
        <f t="shared" si="10"/>
        <v>2.0089999999999999</v>
      </c>
      <c r="Y22" s="6">
        <f t="shared" si="11"/>
        <v>2.0089999999999999</v>
      </c>
      <c r="Z22" s="6">
        <f t="shared" si="12"/>
        <v>2.0089999999999999</v>
      </c>
      <c r="AA22" s="6">
        <f t="shared" si="13"/>
        <v>2.0099999999999998</v>
      </c>
      <c r="AB22" s="6"/>
      <c r="AC22" s="6">
        <f t="shared" si="14"/>
        <v>0</v>
      </c>
      <c r="AD22" s="6">
        <f t="shared" si="15"/>
        <v>0</v>
      </c>
      <c r="AE22" s="6">
        <f t="shared" si="16"/>
        <v>0</v>
      </c>
      <c r="AF22" s="6">
        <f t="shared" si="17"/>
        <v>9.9999999999988987E-4</v>
      </c>
      <c r="AG22" s="6">
        <f t="shared" si="18"/>
        <v>4.9751243781089048E-2</v>
      </c>
      <c r="AH22" s="6">
        <f t="shared" si="19"/>
        <v>4.9751243781089048E-2</v>
      </c>
      <c r="AI22" s="6">
        <f t="shared" si="20"/>
        <v>4.9751243781089048E-2</v>
      </c>
      <c r="AJ22" s="6">
        <f t="shared" si="21"/>
        <v>4.9751243781089048E-2</v>
      </c>
      <c r="AK22" s="6">
        <f t="shared" si="22"/>
        <v>0</v>
      </c>
      <c r="AM22" s="16">
        <f t="shared" si="23"/>
        <v>0.1</v>
      </c>
    </row>
    <row r="23" spans="1:39" x14ac:dyDescent="0.3">
      <c r="A23" s="1" t="s">
        <v>619</v>
      </c>
      <c r="B23">
        <f t="array" ref="B23">SUM('Multi-start Raw data'!$D$6:$D$2225*('Multi-start Raw data'!$B$6:$B$2225=$A23)*('Multi-start Raw data'!$C$6:$C$2225=B$6)*('Multi-start Raw data'!$J$6:$J$2225="Fully converged"))</f>
        <v>2.4380000000000002</v>
      </c>
      <c r="C23">
        <f t="array" ref="C23">SUM('Multi-start Raw data'!$D$6:$D$2225*('Multi-start Raw data'!$B$6:$B$2225=$A23)*('Multi-start Raw data'!$C$6:$C$2225=C$6)*('Multi-start Raw data'!$J$6:$J$2225="Fully converged"))</f>
        <v>2.4409999999999998</v>
      </c>
      <c r="D23">
        <f t="array" ref="D23">SUM('Multi-start Raw data'!$D$6:$D$2225*('Multi-start Raw data'!$B$6:$B$2225=$A23)*('Multi-start Raw data'!$C$6:$C$2225=D$6)*('Multi-start Raw data'!$J$6:$J$2225="Fully converged"))</f>
        <v>2.4489999999999998</v>
      </c>
      <c r="E23">
        <f t="array" ref="E23">SUM('Multi-start Raw data'!$D$6:$D$2225*('Multi-start Raw data'!$B$6:$B$2225=$A23)*('Multi-start Raw data'!$C$6:$C$2225=E$6)*('Multi-start Raw data'!$J$6:$J$2225="Fully converged"))</f>
        <v>2.4409999999999998</v>
      </c>
      <c r="F23">
        <f t="array" ref="F23">SUM('Multi-start Raw data'!$D$6:$D$2225*('Multi-start Raw data'!$B$6:$B$2225=$A23)*('Multi-start Raw data'!$C$6:$C$2225=F$6)*('Multi-start Raw data'!$J$6:$J$2225="Fully converged"))</f>
        <v>2.4430000000000001</v>
      </c>
      <c r="G23">
        <f t="array" ref="G23">SUM('Multi-start Raw data'!$D$6:$D$2225*('Multi-start Raw data'!$B$6:$B$2225=$A23)*('Multi-start Raw data'!$C$6:$C$2225=G$6)*('Multi-start Raw data'!$J$6:$J$2225="Fully converged"))</f>
        <v>2.3740000000000001</v>
      </c>
      <c r="H23">
        <f t="array" ref="H23">SUM('Multi-start Raw data'!$D$6:$D$2225*('Multi-start Raw data'!$B$6:$B$2225=$A23)*('Multi-start Raw data'!$C$6:$C$2225=H$6)*('Multi-start Raw data'!$J$6:$J$2225="Fully converged"))</f>
        <v>2.4510000000000001</v>
      </c>
      <c r="I23">
        <f t="array" ref="I23">SUM('Multi-start Raw data'!$D$6:$D$2225*('Multi-start Raw data'!$B$6:$B$2225=$A23)*('Multi-start Raw data'!$C$6:$C$2225=I$6)*('Multi-start Raw data'!$J$6:$J$2225="Fully converged"))</f>
        <v>2.4500000000000002</v>
      </c>
      <c r="J23">
        <f t="array" ref="J23">SUM('Multi-start Raw data'!$D$6:$D$2225*('Multi-start Raw data'!$B$6:$B$2225=$A23)*('Multi-start Raw data'!$C$6:$C$2225=J$6)*('Multi-start Raw data'!$J$6:$J$2225="Fully converged"))</f>
        <v>2.4430000000000001</v>
      </c>
      <c r="K23">
        <f t="array" ref="K23">SUM('Multi-start Raw data'!$D$6:$D$2225*('Multi-start Raw data'!$B$6:$B$2225=$A23)*('Multi-start Raw data'!$C$6:$C$2225=K$6)*('Multi-start Raw data'!$J$6:$J$2225="Fully converged"))</f>
        <v>2.4430000000000001</v>
      </c>
      <c r="L23">
        <f t="array" ref="L23">SUM('Multi-start Raw data'!$D$6:$D$2225*('Multi-start Raw data'!$B$6:$B$2225=$A23)*('Multi-start Raw data'!$C$6:$C$2225=L$6)*('Multi-start Raw data'!$J$6:$J$2225="Fully converged"))</f>
        <v>2.4540000000000002</v>
      </c>
      <c r="M23">
        <f t="array" ref="M23">SUM('Multi-start Raw data'!$D$6:$D$2225*('Multi-start Raw data'!$B$6:$B$2225=$A23)*('Multi-start Raw data'!$C$6:$C$2225=M$6)*('Multi-start Raw data'!$J$6:$J$2225="Fully converged"))</f>
        <v>2.4380000000000002</v>
      </c>
      <c r="N23">
        <f t="array" ref="N23">SUM('Multi-start Raw data'!$D$6:$D$2225*('Multi-start Raw data'!$B$6:$B$2225=$A23)*('Multi-start Raw data'!$C$6:$C$2225=N$6)*('Multi-start Raw data'!$J$6:$J$2225="Fully converged"))</f>
        <v>2.4380000000000002</v>
      </c>
      <c r="O23">
        <f t="array" ref="O23">SUM('Multi-start Raw data'!$D$6:$D$2225*('Multi-start Raw data'!$B$6:$B$2225=$A23)*('Multi-start Raw data'!$C$6:$C$2225=O$6)*('Multi-start Raw data'!$J$6:$J$2225="Fully converged"))</f>
        <v>2.4430000000000001</v>
      </c>
      <c r="P23">
        <f t="array" ref="P23">SUM('Multi-start Raw data'!$D$6:$D$2225*('Multi-start Raw data'!$B$6:$B$2225=$A23)*('Multi-start Raw data'!$C$6:$C$2225=P$6)*('Multi-start Raw data'!$J$6:$J$2225="Fully converged"))</f>
        <v>2.4430000000000001</v>
      </c>
      <c r="Q23">
        <f t="array" ref="Q23">SUM('Multi-start Raw data'!$D$6:$D$2225*('Multi-start Raw data'!$B$6:$B$2225=$A23)*('Multi-start Raw data'!$C$6:$C$2225=Q$6)*('Multi-start Raw data'!$J$6:$J$2225="Fully converged"))</f>
        <v>0</v>
      </c>
      <c r="R23">
        <f t="array" ref="R23">SUM('Multi-start Raw data'!$D$6:$D$2225*('Multi-start Raw data'!$B$6:$B$2225=$A23)*('Multi-start Raw data'!$C$6:$C$2225=R$6)*('Multi-start Raw data'!$J$6:$J$2225="Fully converged"))</f>
        <v>2.4409999999999998</v>
      </c>
      <c r="S23">
        <f t="array" ref="S23">SUM('Multi-start Raw data'!$D$6:$D$2225*('Multi-start Raw data'!$B$6:$B$2225=$A23)*('Multi-start Raw data'!$C$6:$C$2225=S$6)*('Multi-start Raw data'!$J$6:$J$2225="Fully converged"))</f>
        <v>0</v>
      </c>
      <c r="T23">
        <f t="array" ref="T23">SUM('Multi-start Raw data'!$D$6:$D$2225*('Multi-start Raw data'!$B$6:$B$2225=$A23)*('Multi-start Raw data'!$C$6:$C$2225=T$6)*('Multi-start Raw data'!$J$6:$J$2225="Fully converged"))</f>
        <v>2.4540000000000002</v>
      </c>
      <c r="U23">
        <f t="array" ref="U23">SUM('Multi-start Raw data'!$D$6:$D$2225*('Multi-start Raw data'!$B$6:$B$2225=$A23)*('Multi-start Raw data'!$C$6:$C$2225=U$6)*('Multi-start Raw data'!$J$6:$J$2225="Fully converged"))</f>
        <v>2.4489999999999998</v>
      </c>
      <c r="W23" s="6">
        <f t="shared" si="9"/>
        <v>2.4489999999999998</v>
      </c>
      <c r="X23" s="6">
        <f t="shared" si="10"/>
        <v>2.4510000000000001</v>
      </c>
      <c r="Y23" s="6">
        <f t="shared" si="11"/>
        <v>2.4540000000000002</v>
      </c>
      <c r="Z23" s="6">
        <f t="shared" si="12"/>
        <v>2.4540000000000002</v>
      </c>
      <c r="AA23" s="6">
        <f t="shared" si="13"/>
        <v>2.4540000000000002</v>
      </c>
      <c r="AB23" s="6"/>
      <c r="AC23" s="6">
        <f t="shared" si="14"/>
        <v>2.0000000000002238E-3</v>
      </c>
      <c r="AD23" s="6">
        <f t="shared" si="15"/>
        <v>3.0000000000001137E-3</v>
      </c>
      <c r="AE23" s="6">
        <f t="shared" si="16"/>
        <v>0</v>
      </c>
      <c r="AF23" s="6">
        <f t="shared" si="17"/>
        <v>0</v>
      </c>
      <c r="AG23" s="6">
        <f t="shared" si="18"/>
        <v>0.20374898125510746</v>
      </c>
      <c r="AH23" s="6">
        <f t="shared" si="19"/>
        <v>0.12224938875306085</v>
      </c>
      <c r="AI23" s="6">
        <f t="shared" si="20"/>
        <v>0</v>
      </c>
      <c r="AJ23" s="6">
        <f t="shared" si="21"/>
        <v>0</v>
      </c>
      <c r="AK23" s="6">
        <f t="shared" si="22"/>
        <v>0</v>
      </c>
      <c r="AM23" s="16">
        <f t="shared" si="23"/>
        <v>0.1</v>
      </c>
    </row>
    <row r="24" spans="1:39" x14ac:dyDescent="0.3">
      <c r="A24" s="1" t="s">
        <v>648</v>
      </c>
      <c r="B24">
        <f t="array" ref="B24">SUM('Multi-start Raw data'!$D$6:$D$2225*('Multi-start Raw data'!$B$6:$B$2225=$A24)*('Multi-start Raw data'!$C$6:$C$2225=B$6)*('Multi-start Raw data'!$J$6:$J$2225="Fully converged"))</f>
        <v>2.1539999999999999</v>
      </c>
      <c r="C24">
        <f t="array" ref="C24">SUM('Multi-start Raw data'!$D$6:$D$2225*('Multi-start Raw data'!$B$6:$B$2225=$A24)*('Multi-start Raw data'!$C$6:$C$2225=C$6)*('Multi-start Raw data'!$J$6:$J$2225="Fully converged"))</f>
        <v>2.1579999999999999</v>
      </c>
      <c r="D24">
        <f t="array" ref="D24">SUM('Multi-start Raw data'!$D$6:$D$2225*('Multi-start Raw data'!$B$6:$B$2225=$A24)*('Multi-start Raw data'!$C$6:$C$2225=D$6)*('Multi-start Raw data'!$J$6:$J$2225="Fully converged"))</f>
        <v>2.1779999999999999</v>
      </c>
      <c r="E24">
        <f t="array" ref="E24">SUM('Multi-start Raw data'!$D$6:$D$2225*('Multi-start Raw data'!$B$6:$B$2225=$A24)*('Multi-start Raw data'!$C$6:$C$2225=E$6)*('Multi-start Raw data'!$J$6:$J$2225="Fully converged"))</f>
        <v>2.1539999999999999</v>
      </c>
      <c r="F24">
        <f t="array" ref="F24">SUM('Multi-start Raw data'!$D$6:$D$2225*('Multi-start Raw data'!$B$6:$B$2225=$A24)*('Multi-start Raw data'!$C$6:$C$2225=F$6)*('Multi-start Raw data'!$J$6:$J$2225="Fully converged"))</f>
        <v>2.1549999999999998</v>
      </c>
      <c r="G24">
        <f t="array" ref="G24">SUM('Multi-start Raw data'!$D$6:$D$2225*('Multi-start Raw data'!$B$6:$B$2225=$A24)*('Multi-start Raw data'!$C$6:$C$2225=G$6)*('Multi-start Raw data'!$J$6:$J$2225="Fully converged"))</f>
        <v>1.9279999999999999</v>
      </c>
      <c r="H24">
        <f t="array" ref="H24">SUM('Multi-start Raw data'!$D$6:$D$2225*('Multi-start Raw data'!$B$6:$B$2225=$A24)*('Multi-start Raw data'!$C$6:$C$2225=H$6)*('Multi-start Raw data'!$J$6:$J$2225="Fully converged"))</f>
        <v>2.173</v>
      </c>
      <c r="I24">
        <f t="array" ref="I24">SUM('Multi-start Raw data'!$D$6:$D$2225*('Multi-start Raw data'!$B$6:$B$2225=$A24)*('Multi-start Raw data'!$C$6:$C$2225=I$6)*('Multi-start Raw data'!$J$6:$J$2225="Fully converged"))</f>
        <v>2.1619999999999999</v>
      </c>
      <c r="J24">
        <f t="array" ref="J24">SUM('Multi-start Raw data'!$D$6:$D$2225*('Multi-start Raw data'!$B$6:$B$2225=$A24)*('Multi-start Raw data'!$C$6:$C$2225=J$6)*('Multi-start Raw data'!$J$6:$J$2225="Fully converged"))</f>
        <v>2.1549999999999998</v>
      </c>
      <c r="K24">
        <f t="array" ref="K24">SUM('Multi-start Raw data'!$D$6:$D$2225*('Multi-start Raw data'!$B$6:$B$2225=$A24)*('Multi-start Raw data'!$C$6:$C$2225=K$6)*('Multi-start Raw data'!$J$6:$J$2225="Fully converged"))</f>
        <v>2.1549999999999998</v>
      </c>
      <c r="L24">
        <f t="array" ref="L24">SUM('Multi-start Raw data'!$D$6:$D$2225*('Multi-start Raw data'!$B$6:$B$2225=$A24)*('Multi-start Raw data'!$C$6:$C$2225=L$6)*('Multi-start Raw data'!$J$6:$J$2225="Fully converged"))</f>
        <v>2.1539999999999999</v>
      </c>
      <c r="M24">
        <f t="array" ref="M24">SUM('Multi-start Raw data'!$D$6:$D$2225*('Multi-start Raw data'!$B$6:$B$2225=$A24)*('Multi-start Raw data'!$C$6:$C$2225=M$6)*('Multi-start Raw data'!$J$6:$J$2225="Fully converged"))</f>
        <v>2.1680000000000001</v>
      </c>
      <c r="N24">
        <f t="array" ref="N24">SUM('Multi-start Raw data'!$D$6:$D$2225*('Multi-start Raw data'!$B$6:$B$2225=$A24)*('Multi-start Raw data'!$C$6:$C$2225=N$6)*('Multi-start Raw data'!$J$6:$J$2225="Fully converged"))</f>
        <v>0</v>
      </c>
      <c r="O24">
        <f t="array" ref="O24">SUM('Multi-start Raw data'!$D$6:$D$2225*('Multi-start Raw data'!$B$6:$B$2225=$A24)*('Multi-start Raw data'!$C$6:$C$2225=O$6)*('Multi-start Raw data'!$J$6:$J$2225="Fully converged"))</f>
        <v>0</v>
      </c>
      <c r="P24">
        <f t="array" ref="P24">SUM('Multi-start Raw data'!$D$6:$D$2225*('Multi-start Raw data'!$B$6:$B$2225=$A24)*('Multi-start Raw data'!$C$6:$C$2225=P$6)*('Multi-start Raw data'!$J$6:$J$2225="Fully converged"))</f>
        <v>2.1619999999999999</v>
      </c>
      <c r="Q24">
        <f t="array" ref="Q24">SUM('Multi-start Raw data'!$D$6:$D$2225*('Multi-start Raw data'!$B$6:$B$2225=$A24)*('Multi-start Raw data'!$C$6:$C$2225=Q$6)*('Multi-start Raw data'!$J$6:$J$2225="Fully converged"))</f>
        <v>2.1619999999999999</v>
      </c>
      <c r="R24">
        <f t="array" ref="R24">SUM('Multi-start Raw data'!$D$6:$D$2225*('Multi-start Raw data'!$B$6:$B$2225=$A24)*('Multi-start Raw data'!$C$6:$C$2225=R$6)*('Multi-start Raw data'!$J$6:$J$2225="Fully converged"))</f>
        <v>2.1480000000000001</v>
      </c>
      <c r="S24">
        <f t="array" ref="S24">SUM('Multi-start Raw data'!$D$6:$D$2225*('Multi-start Raw data'!$B$6:$B$2225=$A24)*('Multi-start Raw data'!$C$6:$C$2225=S$6)*('Multi-start Raw data'!$J$6:$J$2225="Fully converged"))</f>
        <v>2.1549999999999998</v>
      </c>
      <c r="T24">
        <f t="array" ref="T24">SUM('Multi-start Raw data'!$D$6:$D$2225*('Multi-start Raw data'!$B$6:$B$2225=$A24)*('Multi-start Raw data'!$C$6:$C$2225=T$6)*('Multi-start Raw data'!$J$6:$J$2225="Fully converged"))</f>
        <v>2.1779999999999999</v>
      </c>
      <c r="U24">
        <f t="array" ref="U24">SUM('Multi-start Raw data'!$D$6:$D$2225*('Multi-start Raw data'!$B$6:$B$2225=$A24)*('Multi-start Raw data'!$C$6:$C$2225=U$6)*('Multi-start Raw data'!$J$6:$J$2225="Fully converged"))</f>
        <v>2.1760000000000002</v>
      </c>
      <c r="W24" s="6">
        <f t="shared" si="9"/>
        <v>2.1779999999999999</v>
      </c>
      <c r="X24" s="6">
        <f t="shared" si="10"/>
        <v>2.1779999999999999</v>
      </c>
      <c r="Y24" s="6">
        <f t="shared" si="11"/>
        <v>2.1779999999999999</v>
      </c>
      <c r="Z24" s="6">
        <f t="shared" si="12"/>
        <v>2.1779999999999999</v>
      </c>
      <c r="AA24" s="6">
        <f t="shared" si="13"/>
        <v>2.1779999999999999</v>
      </c>
      <c r="AB24" s="6"/>
      <c r="AC24" s="6">
        <f t="shared" si="14"/>
        <v>0</v>
      </c>
      <c r="AD24" s="6">
        <f t="shared" si="15"/>
        <v>0</v>
      </c>
      <c r="AE24" s="6">
        <f t="shared" si="16"/>
        <v>0</v>
      </c>
      <c r="AF24" s="6">
        <f t="shared" si="17"/>
        <v>0</v>
      </c>
      <c r="AG24" s="6">
        <f t="shared" si="18"/>
        <v>0</v>
      </c>
      <c r="AH24" s="6">
        <f t="shared" si="19"/>
        <v>0</v>
      </c>
      <c r="AI24" s="6">
        <f t="shared" si="20"/>
        <v>0</v>
      </c>
      <c r="AJ24" s="6">
        <f t="shared" si="21"/>
        <v>0</v>
      </c>
      <c r="AK24" s="6">
        <f t="shared" si="22"/>
        <v>0</v>
      </c>
      <c r="AM24" s="16">
        <f t="shared" si="23"/>
        <v>0.1</v>
      </c>
    </row>
    <row r="25" spans="1:39" x14ac:dyDescent="0.3">
      <c r="A25" s="1" t="s">
        <v>679</v>
      </c>
      <c r="B25">
        <f t="array" ref="B25">SUM('Multi-start Raw data'!$D$6:$D$2225*('Multi-start Raw data'!$B$6:$B$2225=$A25)*('Multi-start Raw data'!$C$6:$C$2225=B$6)*('Multi-start Raw data'!$J$6:$J$2225="Fully converged"))</f>
        <v>2.5249999999999999</v>
      </c>
      <c r="C25">
        <f t="array" ref="C25">SUM('Multi-start Raw data'!$D$6:$D$2225*('Multi-start Raw data'!$B$6:$B$2225=$A25)*('Multi-start Raw data'!$C$6:$C$2225=C$6)*('Multi-start Raw data'!$J$6:$J$2225="Fully converged"))</f>
        <v>2.5329999999999999</v>
      </c>
      <c r="D25">
        <f t="array" ref="D25">SUM('Multi-start Raw data'!$D$6:$D$2225*('Multi-start Raw data'!$B$6:$B$2225=$A25)*('Multi-start Raw data'!$C$6:$C$2225=D$6)*('Multi-start Raw data'!$J$6:$J$2225="Fully converged"))</f>
        <v>2.5190000000000001</v>
      </c>
      <c r="E25">
        <f t="array" ref="E25">SUM('Multi-start Raw data'!$D$6:$D$2225*('Multi-start Raw data'!$B$6:$B$2225=$A25)*('Multi-start Raw data'!$C$6:$C$2225=E$6)*('Multi-start Raw data'!$J$6:$J$2225="Fully converged"))</f>
        <v>2.5390000000000001</v>
      </c>
      <c r="F25">
        <f t="array" ref="F25">SUM('Multi-start Raw data'!$D$6:$D$2225*('Multi-start Raw data'!$B$6:$B$2225=$A25)*('Multi-start Raw data'!$C$6:$C$2225=F$6)*('Multi-start Raw data'!$J$6:$J$2225="Fully converged"))</f>
        <v>2.5190000000000001</v>
      </c>
      <c r="G25">
        <f t="array" ref="G25">SUM('Multi-start Raw data'!$D$6:$D$2225*('Multi-start Raw data'!$B$6:$B$2225=$A25)*('Multi-start Raw data'!$C$6:$C$2225=G$6)*('Multi-start Raw data'!$J$6:$J$2225="Fully converged"))</f>
        <v>2.4870000000000001</v>
      </c>
      <c r="H25">
        <f t="array" ref="H25">SUM('Multi-start Raw data'!$D$6:$D$2225*('Multi-start Raw data'!$B$6:$B$2225=$A25)*('Multi-start Raw data'!$C$6:$C$2225=H$6)*('Multi-start Raw data'!$J$6:$J$2225="Fully converged"))</f>
        <v>2.5219999999999998</v>
      </c>
      <c r="I25">
        <f t="array" ref="I25">SUM('Multi-start Raw data'!$D$6:$D$2225*('Multi-start Raw data'!$B$6:$B$2225=$A25)*('Multi-start Raw data'!$C$6:$C$2225=I$6)*('Multi-start Raw data'!$J$6:$J$2225="Fully converged"))</f>
        <v>2.536</v>
      </c>
      <c r="J25">
        <f t="array" ref="J25">SUM('Multi-start Raw data'!$D$6:$D$2225*('Multi-start Raw data'!$B$6:$B$2225=$A25)*('Multi-start Raw data'!$C$6:$C$2225=J$6)*('Multi-start Raw data'!$J$6:$J$2225="Fully converged"))</f>
        <v>2.5390000000000001</v>
      </c>
      <c r="K25">
        <f t="array" ref="K25">SUM('Multi-start Raw data'!$D$6:$D$2225*('Multi-start Raw data'!$B$6:$B$2225=$A25)*('Multi-start Raw data'!$C$6:$C$2225=K$6)*('Multi-start Raw data'!$J$6:$J$2225="Fully converged"))</f>
        <v>2.5179999999999998</v>
      </c>
      <c r="L25">
        <f t="array" ref="L25">SUM('Multi-start Raw data'!$D$6:$D$2225*('Multi-start Raw data'!$B$6:$B$2225=$A25)*('Multi-start Raw data'!$C$6:$C$2225=L$6)*('Multi-start Raw data'!$J$6:$J$2225="Fully converged"))</f>
        <v>2.5369999999999999</v>
      </c>
      <c r="M25">
        <f t="array" ref="M25">SUM('Multi-start Raw data'!$D$6:$D$2225*('Multi-start Raw data'!$B$6:$B$2225=$A25)*('Multi-start Raw data'!$C$6:$C$2225=M$6)*('Multi-start Raw data'!$J$6:$J$2225="Fully converged"))</f>
        <v>2.5379999999999998</v>
      </c>
      <c r="N25">
        <f t="array" ref="N25">SUM('Multi-start Raw data'!$D$6:$D$2225*('Multi-start Raw data'!$B$6:$B$2225=$A25)*('Multi-start Raw data'!$C$6:$C$2225=N$6)*('Multi-start Raw data'!$J$6:$J$2225="Fully converged"))</f>
        <v>0</v>
      </c>
      <c r="O25">
        <f t="array" ref="O25">SUM('Multi-start Raw data'!$D$6:$D$2225*('Multi-start Raw data'!$B$6:$B$2225=$A25)*('Multi-start Raw data'!$C$6:$C$2225=O$6)*('Multi-start Raw data'!$J$6:$J$2225="Fully converged"))</f>
        <v>0</v>
      </c>
      <c r="P25">
        <f t="array" ref="P25">SUM('Multi-start Raw data'!$D$6:$D$2225*('Multi-start Raw data'!$B$6:$B$2225=$A25)*('Multi-start Raw data'!$C$6:$C$2225=P$6)*('Multi-start Raw data'!$J$6:$J$2225="Fully converged"))</f>
        <v>2.5190000000000001</v>
      </c>
      <c r="Q25">
        <f t="array" ref="Q25">SUM('Multi-start Raw data'!$D$6:$D$2225*('Multi-start Raw data'!$B$6:$B$2225=$A25)*('Multi-start Raw data'!$C$6:$C$2225=Q$6)*('Multi-start Raw data'!$J$6:$J$2225="Fully converged"))</f>
        <v>2.4929999999999999</v>
      </c>
      <c r="R25">
        <f t="array" ref="R25">SUM('Multi-start Raw data'!$D$6:$D$2225*('Multi-start Raw data'!$B$6:$B$2225=$A25)*('Multi-start Raw data'!$C$6:$C$2225=R$6)*('Multi-start Raw data'!$J$6:$J$2225="Fully converged"))</f>
        <v>2.5209999999999999</v>
      </c>
      <c r="S25">
        <f t="array" ref="S25">SUM('Multi-start Raw data'!$D$6:$D$2225*('Multi-start Raw data'!$B$6:$B$2225=$A25)*('Multi-start Raw data'!$C$6:$C$2225=S$6)*('Multi-start Raw data'!$J$6:$J$2225="Fully converged"))</f>
        <v>2.5379999999999998</v>
      </c>
      <c r="T25">
        <f t="array" ref="T25">SUM('Multi-start Raw data'!$D$6:$D$2225*('Multi-start Raw data'!$B$6:$B$2225=$A25)*('Multi-start Raw data'!$C$6:$C$2225=T$6)*('Multi-start Raw data'!$J$6:$J$2225="Fully converged"))</f>
        <v>2.5390000000000001</v>
      </c>
      <c r="U25">
        <f t="array" ref="U25">SUM('Multi-start Raw data'!$D$6:$D$2225*('Multi-start Raw data'!$B$6:$B$2225=$A25)*('Multi-start Raw data'!$C$6:$C$2225=U$6)*('Multi-start Raw data'!$J$6:$J$2225="Fully converged"))</f>
        <v>2.5379999999999998</v>
      </c>
      <c r="W25" s="6">
        <f t="shared" si="9"/>
        <v>2.5390000000000001</v>
      </c>
      <c r="X25" s="6">
        <f t="shared" si="10"/>
        <v>2.5390000000000001</v>
      </c>
      <c r="Y25" s="6">
        <f t="shared" si="11"/>
        <v>2.5390000000000001</v>
      </c>
      <c r="Z25" s="6">
        <f t="shared" si="12"/>
        <v>2.5390000000000001</v>
      </c>
      <c r="AA25" s="6">
        <f t="shared" si="13"/>
        <v>2.5390000000000001</v>
      </c>
      <c r="AB25" s="6"/>
      <c r="AC25" s="6">
        <f t="shared" si="14"/>
        <v>0</v>
      </c>
      <c r="AD25" s="6">
        <f t="shared" si="15"/>
        <v>0</v>
      </c>
      <c r="AE25" s="6">
        <f t="shared" si="16"/>
        <v>0</v>
      </c>
      <c r="AF25" s="6">
        <f t="shared" si="17"/>
        <v>0</v>
      </c>
      <c r="AG25" s="6">
        <f t="shared" si="18"/>
        <v>0</v>
      </c>
      <c r="AH25" s="6">
        <f t="shared" si="19"/>
        <v>0</v>
      </c>
      <c r="AI25" s="6">
        <f t="shared" si="20"/>
        <v>0</v>
      </c>
      <c r="AJ25" s="6">
        <f t="shared" si="21"/>
        <v>0</v>
      </c>
      <c r="AK25" s="6">
        <f t="shared" si="22"/>
        <v>0</v>
      </c>
      <c r="AM25" s="16">
        <f t="shared" si="23"/>
        <v>0.1</v>
      </c>
    </row>
    <row r="26" spans="1:39" x14ac:dyDescent="0.3">
      <c r="A26" s="1" t="s">
        <v>706</v>
      </c>
      <c r="B26">
        <f t="array" ref="B26">SUM('Multi-start Raw data'!$D$6:$D$2225*('Multi-start Raw data'!$B$6:$B$2225=$A26)*('Multi-start Raw data'!$C$6:$C$2225=B$6)*('Multi-start Raw data'!$J$6:$J$2225="Fully converged"))</f>
        <v>2.5470000000000002</v>
      </c>
      <c r="C26">
        <f t="array" ref="C26">SUM('Multi-start Raw data'!$D$6:$D$2225*('Multi-start Raw data'!$B$6:$B$2225=$A26)*('Multi-start Raw data'!$C$6:$C$2225=C$6)*('Multi-start Raw data'!$J$6:$J$2225="Fully converged"))</f>
        <v>2.5830000000000002</v>
      </c>
      <c r="D26">
        <f t="array" ref="D26">SUM('Multi-start Raw data'!$D$6:$D$2225*('Multi-start Raw data'!$B$6:$B$2225=$A26)*('Multi-start Raw data'!$C$6:$C$2225=D$6)*('Multi-start Raw data'!$J$6:$J$2225="Fully converged"))</f>
        <v>2.589</v>
      </c>
      <c r="E26">
        <f t="array" ref="E26">SUM('Multi-start Raw data'!$D$6:$D$2225*('Multi-start Raw data'!$B$6:$B$2225=$A26)*('Multi-start Raw data'!$C$6:$C$2225=E$6)*('Multi-start Raw data'!$J$6:$J$2225="Fully converged"))</f>
        <v>2.5880000000000001</v>
      </c>
      <c r="F26">
        <f t="array" ref="F26">SUM('Multi-start Raw data'!$D$6:$D$2225*('Multi-start Raw data'!$B$6:$B$2225=$A26)*('Multi-start Raw data'!$C$6:$C$2225=F$6)*('Multi-start Raw data'!$J$6:$J$2225="Fully converged"))</f>
        <v>2.5910000000000002</v>
      </c>
      <c r="G26">
        <f t="array" ref="G26">SUM('Multi-start Raw data'!$D$6:$D$2225*('Multi-start Raw data'!$B$6:$B$2225=$A26)*('Multi-start Raw data'!$C$6:$C$2225=G$6)*('Multi-start Raw data'!$J$6:$J$2225="Fully converged"))</f>
        <v>2.5329999999999999</v>
      </c>
      <c r="H26">
        <f t="array" ref="H26">SUM('Multi-start Raw data'!$D$6:$D$2225*('Multi-start Raw data'!$B$6:$B$2225=$A26)*('Multi-start Raw data'!$C$6:$C$2225=H$6)*('Multi-start Raw data'!$J$6:$J$2225="Fully converged"))</f>
        <v>2.5910000000000002</v>
      </c>
      <c r="I26">
        <f t="array" ref="I26">SUM('Multi-start Raw data'!$D$6:$D$2225*('Multi-start Raw data'!$B$6:$B$2225=$A26)*('Multi-start Raw data'!$C$6:$C$2225=I$6)*('Multi-start Raw data'!$J$6:$J$2225="Fully converged"))</f>
        <v>2.5910000000000002</v>
      </c>
      <c r="J26">
        <f t="array" ref="J26">SUM('Multi-start Raw data'!$D$6:$D$2225*('Multi-start Raw data'!$B$6:$B$2225=$A26)*('Multi-start Raw data'!$C$6:$C$2225=J$6)*('Multi-start Raw data'!$J$6:$J$2225="Fully converged"))</f>
        <v>2.5880000000000001</v>
      </c>
      <c r="K26">
        <f t="array" ref="K26">SUM('Multi-start Raw data'!$D$6:$D$2225*('Multi-start Raw data'!$B$6:$B$2225=$A26)*('Multi-start Raw data'!$C$6:$C$2225=K$6)*('Multi-start Raw data'!$J$6:$J$2225="Fully converged"))</f>
        <v>2.5760000000000001</v>
      </c>
      <c r="L26">
        <f t="array" ref="L26">SUM('Multi-start Raw data'!$D$6:$D$2225*('Multi-start Raw data'!$B$6:$B$2225=$A26)*('Multi-start Raw data'!$C$6:$C$2225=L$6)*('Multi-start Raw data'!$J$6:$J$2225="Fully converged"))</f>
        <v>2.589</v>
      </c>
      <c r="M26">
        <f t="array" ref="M26">SUM('Multi-start Raw data'!$D$6:$D$2225*('Multi-start Raw data'!$B$6:$B$2225=$A26)*('Multi-start Raw data'!$C$6:$C$2225=M$6)*('Multi-start Raw data'!$J$6:$J$2225="Fully converged"))</f>
        <v>2.5870000000000002</v>
      </c>
      <c r="N26">
        <f t="array" ref="N26">SUM('Multi-start Raw data'!$D$6:$D$2225*('Multi-start Raw data'!$B$6:$B$2225=$A26)*('Multi-start Raw data'!$C$6:$C$2225=N$6)*('Multi-start Raw data'!$J$6:$J$2225="Fully converged"))</f>
        <v>2.5779999999999998</v>
      </c>
      <c r="O26">
        <f t="array" ref="O26">SUM('Multi-start Raw data'!$D$6:$D$2225*('Multi-start Raw data'!$B$6:$B$2225=$A26)*('Multi-start Raw data'!$C$6:$C$2225=O$6)*('Multi-start Raw data'!$J$6:$J$2225="Fully converged"))</f>
        <v>2.5760000000000001</v>
      </c>
      <c r="P26">
        <f t="array" ref="P26">SUM('Multi-start Raw data'!$D$6:$D$2225*('Multi-start Raw data'!$B$6:$B$2225=$A26)*('Multi-start Raw data'!$C$6:$C$2225=P$6)*('Multi-start Raw data'!$J$6:$J$2225="Fully converged"))</f>
        <v>2.5910000000000002</v>
      </c>
      <c r="Q26">
        <f t="array" ref="Q26">SUM('Multi-start Raw data'!$D$6:$D$2225*('Multi-start Raw data'!$B$6:$B$2225=$A26)*('Multi-start Raw data'!$C$6:$C$2225=Q$6)*('Multi-start Raw data'!$J$6:$J$2225="Fully converged"))</f>
        <v>0</v>
      </c>
      <c r="R26">
        <f t="array" ref="R26">SUM('Multi-start Raw data'!$D$6:$D$2225*('Multi-start Raw data'!$B$6:$B$2225=$A26)*('Multi-start Raw data'!$C$6:$C$2225=R$6)*('Multi-start Raw data'!$J$6:$J$2225="Fully converged"))</f>
        <v>0</v>
      </c>
      <c r="S26">
        <f t="array" ref="S26">SUM('Multi-start Raw data'!$D$6:$D$2225*('Multi-start Raw data'!$B$6:$B$2225=$A26)*('Multi-start Raw data'!$C$6:$C$2225=S$6)*('Multi-start Raw data'!$J$6:$J$2225="Fully converged"))</f>
        <v>2.573</v>
      </c>
      <c r="T26">
        <f t="array" ref="T26">SUM('Multi-start Raw data'!$D$6:$D$2225*('Multi-start Raw data'!$B$6:$B$2225=$A26)*('Multi-start Raw data'!$C$6:$C$2225=T$6)*('Multi-start Raw data'!$J$6:$J$2225="Fully converged"))</f>
        <v>2.5880000000000001</v>
      </c>
      <c r="U26">
        <f t="array" ref="U26">SUM('Multi-start Raw data'!$D$6:$D$2225*('Multi-start Raw data'!$B$6:$B$2225=$A26)*('Multi-start Raw data'!$C$6:$C$2225=U$6)*('Multi-start Raw data'!$J$6:$J$2225="Fully converged"))</f>
        <v>2.573</v>
      </c>
      <c r="W26" s="6">
        <f t="shared" si="9"/>
        <v>2.589</v>
      </c>
      <c r="X26" s="6">
        <f t="shared" si="10"/>
        <v>2.5910000000000002</v>
      </c>
      <c r="Y26" s="6">
        <f t="shared" si="11"/>
        <v>2.5910000000000002</v>
      </c>
      <c r="Z26" s="6">
        <f t="shared" si="12"/>
        <v>2.5910000000000002</v>
      </c>
      <c r="AA26" s="6">
        <f t="shared" si="13"/>
        <v>2.5910000000000002</v>
      </c>
      <c r="AB26" s="6"/>
      <c r="AC26" s="6">
        <f t="shared" si="14"/>
        <v>2.0000000000002238E-3</v>
      </c>
      <c r="AD26" s="6">
        <f t="shared" si="15"/>
        <v>0</v>
      </c>
      <c r="AE26" s="6">
        <f t="shared" si="16"/>
        <v>0</v>
      </c>
      <c r="AF26" s="6">
        <f t="shared" si="17"/>
        <v>0</v>
      </c>
      <c r="AG26" s="6">
        <f t="shared" si="18"/>
        <v>7.7190274025481426E-2</v>
      </c>
      <c r="AH26" s="6">
        <f t="shared" si="19"/>
        <v>0</v>
      </c>
      <c r="AI26" s="6">
        <f t="shared" si="20"/>
        <v>0</v>
      </c>
      <c r="AJ26" s="6">
        <f t="shared" si="21"/>
        <v>0</v>
      </c>
      <c r="AK26" s="6">
        <f t="shared" si="22"/>
        <v>0</v>
      </c>
      <c r="AM26" s="16">
        <f t="shared" si="23"/>
        <v>0.1</v>
      </c>
    </row>
    <row r="27" spans="1:39" x14ac:dyDescent="0.3">
      <c r="A27" s="1" t="s">
        <v>737</v>
      </c>
      <c r="B27">
        <f t="array" ref="B27">SUM('Multi-start Raw data'!$D$6:$D$2225*('Multi-start Raw data'!$B$6:$B$2225=$A27)*('Multi-start Raw data'!$C$6:$C$2225=B$6)*('Multi-start Raw data'!$J$6:$J$2225="Fully converged"))</f>
        <v>2.4889999999999999</v>
      </c>
      <c r="C27">
        <f t="array" ref="C27">SUM('Multi-start Raw data'!$D$6:$D$2225*('Multi-start Raw data'!$B$6:$B$2225=$A27)*('Multi-start Raw data'!$C$6:$C$2225=C$6)*('Multi-start Raw data'!$J$6:$J$2225="Fully converged"))</f>
        <v>2.4889999999999999</v>
      </c>
      <c r="D27">
        <f t="array" ref="D27">SUM('Multi-start Raw data'!$D$6:$D$2225*('Multi-start Raw data'!$B$6:$B$2225=$A27)*('Multi-start Raw data'!$C$6:$C$2225=D$6)*('Multi-start Raw data'!$J$6:$J$2225="Fully converged"))</f>
        <v>0</v>
      </c>
      <c r="E27">
        <f t="array" ref="E27">SUM('Multi-start Raw data'!$D$6:$D$2225*('Multi-start Raw data'!$B$6:$B$2225=$A27)*('Multi-start Raw data'!$C$6:$C$2225=E$6)*('Multi-start Raw data'!$J$6:$J$2225="Fully converged"))</f>
        <v>2.4279999999999999</v>
      </c>
      <c r="F27">
        <f t="array" ref="F27">SUM('Multi-start Raw data'!$D$6:$D$2225*('Multi-start Raw data'!$B$6:$B$2225=$A27)*('Multi-start Raw data'!$C$6:$C$2225=F$6)*('Multi-start Raw data'!$J$6:$J$2225="Fully converged"))</f>
        <v>2.4900000000000002</v>
      </c>
      <c r="G27">
        <f t="array" ref="G27">SUM('Multi-start Raw data'!$D$6:$D$2225*('Multi-start Raw data'!$B$6:$B$2225=$A27)*('Multi-start Raw data'!$C$6:$C$2225=G$6)*('Multi-start Raw data'!$J$6:$J$2225="Fully converged"))</f>
        <v>2.4889999999999999</v>
      </c>
      <c r="H27">
        <f t="array" ref="H27">SUM('Multi-start Raw data'!$D$6:$D$2225*('Multi-start Raw data'!$B$6:$B$2225=$A27)*('Multi-start Raw data'!$C$6:$C$2225=H$6)*('Multi-start Raw data'!$J$6:$J$2225="Fully converged"))</f>
        <v>2.4849999999999999</v>
      </c>
      <c r="I27">
        <f t="array" ref="I27">SUM('Multi-start Raw data'!$D$6:$D$2225*('Multi-start Raw data'!$B$6:$B$2225=$A27)*('Multi-start Raw data'!$C$6:$C$2225=I$6)*('Multi-start Raw data'!$J$6:$J$2225="Fully converged"))</f>
        <v>2.484</v>
      </c>
      <c r="J27">
        <f t="array" ref="J27">SUM('Multi-start Raw data'!$D$6:$D$2225*('Multi-start Raw data'!$B$6:$B$2225=$A27)*('Multi-start Raw data'!$C$6:$C$2225=J$6)*('Multi-start Raw data'!$J$6:$J$2225="Fully converged"))</f>
        <v>2.488</v>
      </c>
      <c r="K27">
        <f t="array" ref="K27">SUM('Multi-start Raw data'!$D$6:$D$2225*('Multi-start Raw data'!$B$6:$B$2225=$A27)*('Multi-start Raw data'!$C$6:$C$2225=K$6)*('Multi-start Raw data'!$J$6:$J$2225="Fully converged"))</f>
        <v>2.4889999999999999</v>
      </c>
      <c r="L27">
        <f t="array" ref="L27">SUM('Multi-start Raw data'!$D$6:$D$2225*('Multi-start Raw data'!$B$6:$B$2225=$A27)*('Multi-start Raw data'!$C$6:$C$2225=L$6)*('Multi-start Raw data'!$J$6:$J$2225="Fully converged"))</f>
        <v>2.4820000000000002</v>
      </c>
      <c r="M27">
        <f t="array" ref="M27">SUM('Multi-start Raw data'!$D$6:$D$2225*('Multi-start Raw data'!$B$6:$B$2225=$A27)*('Multi-start Raw data'!$C$6:$C$2225=M$6)*('Multi-start Raw data'!$J$6:$J$2225="Fully converged"))</f>
        <v>2.4900000000000002</v>
      </c>
      <c r="N27">
        <f t="array" ref="N27">SUM('Multi-start Raw data'!$D$6:$D$2225*('Multi-start Raw data'!$B$6:$B$2225=$A27)*('Multi-start Raw data'!$C$6:$C$2225=N$6)*('Multi-start Raw data'!$J$6:$J$2225="Fully converged"))</f>
        <v>2.4889999999999999</v>
      </c>
      <c r="O27">
        <f t="array" ref="O27">SUM('Multi-start Raw data'!$D$6:$D$2225*('Multi-start Raw data'!$B$6:$B$2225=$A27)*('Multi-start Raw data'!$C$6:$C$2225=O$6)*('Multi-start Raw data'!$J$6:$J$2225="Fully converged"))</f>
        <v>0</v>
      </c>
      <c r="P27">
        <f t="array" ref="P27">SUM('Multi-start Raw data'!$D$6:$D$2225*('Multi-start Raw data'!$B$6:$B$2225=$A27)*('Multi-start Raw data'!$C$6:$C$2225=P$6)*('Multi-start Raw data'!$J$6:$J$2225="Fully converged"))</f>
        <v>2.4889999999999999</v>
      </c>
      <c r="Q27">
        <f t="array" ref="Q27">SUM('Multi-start Raw data'!$D$6:$D$2225*('Multi-start Raw data'!$B$6:$B$2225=$A27)*('Multi-start Raw data'!$C$6:$C$2225=Q$6)*('Multi-start Raw data'!$J$6:$J$2225="Fully converged"))</f>
        <v>2.4849999999999999</v>
      </c>
      <c r="R27">
        <f t="array" ref="R27">SUM('Multi-start Raw data'!$D$6:$D$2225*('Multi-start Raw data'!$B$6:$B$2225=$A27)*('Multi-start Raw data'!$C$6:$C$2225=R$6)*('Multi-start Raw data'!$J$6:$J$2225="Fully converged"))</f>
        <v>2.4889999999999999</v>
      </c>
      <c r="S27">
        <f t="array" ref="S27">SUM('Multi-start Raw data'!$D$6:$D$2225*('Multi-start Raw data'!$B$6:$B$2225=$A27)*('Multi-start Raw data'!$C$6:$C$2225=S$6)*('Multi-start Raw data'!$J$6:$J$2225="Fully converged"))</f>
        <v>2.4900000000000002</v>
      </c>
      <c r="T27">
        <f t="array" ref="T27">SUM('Multi-start Raw data'!$D$6:$D$2225*('Multi-start Raw data'!$B$6:$B$2225=$A27)*('Multi-start Raw data'!$C$6:$C$2225=T$6)*('Multi-start Raw data'!$J$6:$J$2225="Fully converged"))</f>
        <v>2.4889999999999999</v>
      </c>
      <c r="U27">
        <f t="array" ref="U27">SUM('Multi-start Raw data'!$D$6:$D$2225*('Multi-start Raw data'!$B$6:$B$2225=$A27)*('Multi-start Raw data'!$C$6:$C$2225=U$6)*('Multi-start Raw data'!$J$6:$J$2225="Fully converged"))</f>
        <v>2.4860000000000002</v>
      </c>
      <c r="W27" s="6">
        <f t="shared" si="9"/>
        <v>2.4889999999999999</v>
      </c>
      <c r="X27" s="6">
        <f t="shared" si="10"/>
        <v>2.4900000000000002</v>
      </c>
      <c r="Y27" s="6">
        <f t="shared" si="11"/>
        <v>2.4900000000000002</v>
      </c>
      <c r="Z27" s="6">
        <f t="shared" si="12"/>
        <v>2.4900000000000002</v>
      </c>
      <c r="AA27" s="6">
        <f t="shared" si="13"/>
        <v>2.4900000000000002</v>
      </c>
      <c r="AB27" s="6"/>
      <c r="AC27" s="6">
        <f t="shared" si="14"/>
        <v>1.000000000000334E-3</v>
      </c>
      <c r="AD27" s="6">
        <f t="shared" si="15"/>
        <v>0</v>
      </c>
      <c r="AE27" s="6">
        <f t="shared" si="16"/>
        <v>0</v>
      </c>
      <c r="AF27" s="6">
        <f t="shared" si="17"/>
        <v>0</v>
      </c>
      <c r="AG27" s="6">
        <f t="shared" si="18"/>
        <v>4.016064257029453E-2</v>
      </c>
      <c r="AH27" s="6">
        <f t="shared" si="19"/>
        <v>0</v>
      </c>
      <c r="AI27" s="6">
        <f t="shared" si="20"/>
        <v>0</v>
      </c>
      <c r="AJ27" s="6">
        <f t="shared" si="21"/>
        <v>0</v>
      </c>
      <c r="AK27" s="6">
        <f t="shared" si="22"/>
        <v>0</v>
      </c>
      <c r="AM27" s="16">
        <f t="shared" si="23"/>
        <v>0.1</v>
      </c>
    </row>
    <row r="28" spans="1:39" x14ac:dyDescent="0.3">
      <c r="A28" s="1" t="s">
        <v>765</v>
      </c>
      <c r="B28">
        <f t="array" ref="B28">SUM('Multi-start Raw data'!$D$6:$D$2225*('Multi-start Raw data'!$B$6:$B$2225=$A28)*('Multi-start Raw data'!$C$6:$C$2225=B$6)*('Multi-start Raw data'!$J$6:$J$2225="Fully converged"))</f>
        <v>2.5049999999999999</v>
      </c>
      <c r="C28">
        <f t="array" ref="C28">SUM('Multi-start Raw data'!$D$6:$D$2225*('Multi-start Raw data'!$B$6:$B$2225=$A28)*('Multi-start Raw data'!$C$6:$C$2225=C$6)*('Multi-start Raw data'!$J$6:$J$2225="Fully converged"))</f>
        <v>2.5059999999999998</v>
      </c>
      <c r="D28">
        <f t="array" ref="D28">SUM('Multi-start Raw data'!$D$6:$D$2225*('Multi-start Raw data'!$B$6:$B$2225=$A28)*('Multi-start Raw data'!$C$6:$C$2225=D$6)*('Multi-start Raw data'!$J$6:$J$2225="Fully converged"))</f>
        <v>2.484</v>
      </c>
      <c r="E28">
        <f t="array" ref="E28">SUM('Multi-start Raw data'!$D$6:$D$2225*('Multi-start Raw data'!$B$6:$B$2225=$A28)*('Multi-start Raw data'!$C$6:$C$2225=E$6)*('Multi-start Raw data'!$J$6:$J$2225="Fully converged"))</f>
        <v>2.5009999999999999</v>
      </c>
      <c r="F28">
        <f t="array" ref="F28">SUM('Multi-start Raw data'!$D$6:$D$2225*('Multi-start Raw data'!$B$6:$B$2225=$A28)*('Multi-start Raw data'!$C$6:$C$2225=F$6)*('Multi-start Raw data'!$J$6:$J$2225="Fully converged"))</f>
        <v>2.508</v>
      </c>
      <c r="G28">
        <f t="array" ref="G28">SUM('Multi-start Raw data'!$D$6:$D$2225*('Multi-start Raw data'!$B$6:$B$2225=$A28)*('Multi-start Raw data'!$C$6:$C$2225=G$6)*('Multi-start Raw data'!$J$6:$J$2225="Fully converged"))</f>
        <v>2.5049999999999999</v>
      </c>
      <c r="H28">
        <f t="array" ref="H28">SUM('Multi-start Raw data'!$D$6:$D$2225*('Multi-start Raw data'!$B$6:$B$2225=$A28)*('Multi-start Raw data'!$C$6:$C$2225=H$6)*('Multi-start Raw data'!$J$6:$J$2225="Fully converged"))</f>
        <v>2.5030000000000001</v>
      </c>
      <c r="I28">
        <f t="array" ref="I28">SUM('Multi-start Raw data'!$D$6:$D$2225*('Multi-start Raw data'!$B$6:$B$2225=$A28)*('Multi-start Raw data'!$C$6:$C$2225=I$6)*('Multi-start Raw data'!$J$6:$J$2225="Fully converged"))</f>
        <v>2.508</v>
      </c>
      <c r="J28">
        <f t="array" ref="J28">SUM('Multi-start Raw data'!$D$6:$D$2225*('Multi-start Raw data'!$B$6:$B$2225=$A28)*('Multi-start Raw data'!$C$6:$C$2225=J$6)*('Multi-start Raw data'!$J$6:$J$2225="Fully converged"))</f>
        <v>2.5059999999999998</v>
      </c>
      <c r="K28">
        <f t="array" ref="K28">SUM('Multi-start Raw data'!$D$6:$D$2225*('Multi-start Raw data'!$B$6:$B$2225=$A28)*('Multi-start Raw data'!$C$6:$C$2225=K$6)*('Multi-start Raw data'!$J$6:$J$2225="Fully converged"))</f>
        <v>2.4929999999999999</v>
      </c>
      <c r="L28">
        <f t="array" ref="L28">SUM('Multi-start Raw data'!$D$6:$D$2225*('Multi-start Raw data'!$B$6:$B$2225=$A28)*('Multi-start Raw data'!$C$6:$C$2225=L$6)*('Multi-start Raw data'!$J$6:$J$2225="Fully converged"))</f>
        <v>2.5059999999999998</v>
      </c>
      <c r="M28">
        <f t="array" ref="M28">SUM('Multi-start Raw data'!$D$6:$D$2225*('Multi-start Raw data'!$B$6:$B$2225=$A28)*('Multi-start Raw data'!$C$6:$C$2225=M$6)*('Multi-start Raw data'!$J$6:$J$2225="Fully converged"))</f>
        <v>2.5070000000000001</v>
      </c>
      <c r="N28">
        <f t="array" ref="N28">SUM('Multi-start Raw data'!$D$6:$D$2225*('Multi-start Raw data'!$B$6:$B$2225=$A28)*('Multi-start Raw data'!$C$6:$C$2225=N$6)*('Multi-start Raw data'!$J$6:$J$2225="Fully converged"))</f>
        <v>2.4900000000000002</v>
      </c>
      <c r="O28">
        <f t="array" ref="O28">SUM('Multi-start Raw data'!$D$6:$D$2225*('Multi-start Raw data'!$B$6:$B$2225=$A28)*('Multi-start Raw data'!$C$6:$C$2225=O$6)*('Multi-start Raw data'!$J$6:$J$2225="Fully converged"))</f>
        <v>2.504</v>
      </c>
      <c r="P28">
        <f t="array" ref="P28">SUM('Multi-start Raw data'!$D$6:$D$2225*('Multi-start Raw data'!$B$6:$B$2225=$A28)*('Multi-start Raw data'!$C$6:$C$2225=P$6)*('Multi-start Raw data'!$J$6:$J$2225="Fully converged"))</f>
        <v>2.508</v>
      </c>
      <c r="Q28">
        <f t="array" ref="Q28">SUM('Multi-start Raw data'!$D$6:$D$2225*('Multi-start Raw data'!$B$6:$B$2225=$A28)*('Multi-start Raw data'!$C$6:$C$2225=Q$6)*('Multi-start Raw data'!$J$6:$J$2225="Fully converged"))</f>
        <v>2.508</v>
      </c>
      <c r="R28">
        <f t="array" ref="R28">SUM('Multi-start Raw data'!$D$6:$D$2225*('Multi-start Raw data'!$B$6:$B$2225=$A28)*('Multi-start Raw data'!$C$6:$C$2225=R$6)*('Multi-start Raw data'!$J$6:$J$2225="Fully converged"))</f>
        <v>2.5059999999999998</v>
      </c>
      <c r="S28">
        <f t="array" ref="S28">SUM('Multi-start Raw data'!$D$6:$D$2225*('Multi-start Raw data'!$B$6:$B$2225=$A28)*('Multi-start Raw data'!$C$6:$C$2225=S$6)*('Multi-start Raw data'!$J$6:$J$2225="Fully converged"))</f>
        <v>2.4900000000000002</v>
      </c>
      <c r="T28">
        <f t="array" ref="T28">SUM('Multi-start Raw data'!$D$6:$D$2225*('Multi-start Raw data'!$B$6:$B$2225=$A28)*('Multi-start Raw data'!$C$6:$C$2225=T$6)*('Multi-start Raw data'!$J$6:$J$2225="Fully converged"))</f>
        <v>2.5049999999999999</v>
      </c>
      <c r="U28">
        <f t="array" ref="U28">SUM('Multi-start Raw data'!$D$6:$D$2225*('Multi-start Raw data'!$B$6:$B$2225=$A28)*('Multi-start Raw data'!$C$6:$C$2225=U$6)*('Multi-start Raw data'!$J$6:$J$2225="Fully converged"))</f>
        <v>2.4870000000000001</v>
      </c>
      <c r="W28" s="6">
        <f t="shared" si="9"/>
        <v>2.5059999999999998</v>
      </c>
      <c r="X28" s="6">
        <f t="shared" si="10"/>
        <v>2.508</v>
      </c>
      <c r="Y28" s="6">
        <f t="shared" si="11"/>
        <v>2.508</v>
      </c>
      <c r="Z28" s="6">
        <f t="shared" si="12"/>
        <v>2.508</v>
      </c>
      <c r="AA28" s="6">
        <f t="shared" si="13"/>
        <v>2.508</v>
      </c>
      <c r="AB28" s="6"/>
      <c r="AC28" s="6">
        <f t="shared" si="14"/>
        <v>2.0000000000002238E-3</v>
      </c>
      <c r="AD28" s="6">
        <f t="shared" si="15"/>
        <v>0</v>
      </c>
      <c r="AE28" s="6">
        <f t="shared" si="16"/>
        <v>0</v>
      </c>
      <c r="AF28" s="6">
        <f t="shared" si="17"/>
        <v>0</v>
      </c>
      <c r="AG28" s="6">
        <f t="shared" si="18"/>
        <v>7.9744816586930778E-2</v>
      </c>
      <c r="AH28" s="6">
        <f t="shared" si="19"/>
        <v>0</v>
      </c>
      <c r="AI28" s="6">
        <f t="shared" si="20"/>
        <v>0</v>
      </c>
      <c r="AJ28" s="6">
        <f t="shared" si="21"/>
        <v>0</v>
      </c>
      <c r="AK28" s="6">
        <f t="shared" si="22"/>
        <v>0</v>
      </c>
      <c r="AM28" s="16">
        <f t="shared" si="23"/>
        <v>0.1</v>
      </c>
    </row>
    <row r="29" spans="1:39" x14ac:dyDescent="0.3">
      <c r="A29" s="1" t="s">
        <v>790</v>
      </c>
      <c r="B29">
        <f t="array" ref="B29">SUM('Multi-start Raw data'!$D$6:$D$2225*('Multi-start Raw data'!$B$6:$B$2225=$A29)*('Multi-start Raw data'!$C$6:$C$2225=B$6)*('Multi-start Raw data'!$J$6:$J$2225="Fully converged"))</f>
        <v>2.4990000000000001</v>
      </c>
      <c r="C29">
        <f t="array" ref="C29">SUM('Multi-start Raw data'!$D$6:$D$2225*('Multi-start Raw data'!$B$6:$B$2225=$A29)*('Multi-start Raw data'!$C$6:$C$2225=C$6)*('Multi-start Raw data'!$J$6:$J$2225="Fully converged"))</f>
        <v>2.5</v>
      </c>
      <c r="D29">
        <f t="array" ref="D29">SUM('Multi-start Raw data'!$D$6:$D$2225*('Multi-start Raw data'!$B$6:$B$2225=$A29)*('Multi-start Raw data'!$C$6:$C$2225=D$6)*('Multi-start Raw data'!$J$6:$J$2225="Fully converged"))</f>
        <v>2.4980000000000002</v>
      </c>
      <c r="E29">
        <f t="array" ref="E29">SUM('Multi-start Raw data'!$D$6:$D$2225*('Multi-start Raw data'!$B$6:$B$2225=$A29)*('Multi-start Raw data'!$C$6:$C$2225=E$6)*('Multi-start Raw data'!$J$6:$J$2225="Fully converged"))</f>
        <v>2.4449999999999998</v>
      </c>
      <c r="F29">
        <f t="array" ref="F29">SUM('Multi-start Raw data'!$D$6:$D$2225*('Multi-start Raw data'!$B$6:$B$2225=$A29)*('Multi-start Raw data'!$C$6:$C$2225=F$6)*('Multi-start Raw data'!$J$6:$J$2225="Fully converged"))</f>
        <v>2.4990000000000001</v>
      </c>
      <c r="G29">
        <f t="array" ref="G29">SUM('Multi-start Raw data'!$D$6:$D$2225*('Multi-start Raw data'!$B$6:$B$2225=$A29)*('Multi-start Raw data'!$C$6:$C$2225=G$6)*('Multi-start Raw data'!$J$6:$J$2225="Fully converged"))</f>
        <v>2.4980000000000002</v>
      </c>
      <c r="H29">
        <f t="array" ref="H29">SUM('Multi-start Raw data'!$D$6:$D$2225*('Multi-start Raw data'!$B$6:$B$2225=$A29)*('Multi-start Raw data'!$C$6:$C$2225=H$6)*('Multi-start Raw data'!$J$6:$J$2225="Fully converged"))</f>
        <v>2.496</v>
      </c>
      <c r="I29">
        <f t="array" ref="I29">SUM('Multi-start Raw data'!$D$6:$D$2225*('Multi-start Raw data'!$B$6:$B$2225=$A29)*('Multi-start Raw data'!$C$6:$C$2225=I$6)*('Multi-start Raw data'!$J$6:$J$2225="Fully converged"))</f>
        <v>2.4940000000000002</v>
      </c>
      <c r="J29">
        <f t="array" ref="J29">SUM('Multi-start Raw data'!$D$6:$D$2225*('Multi-start Raw data'!$B$6:$B$2225=$A29)*('Multi-start Raw data'!$C$6:$C$2225=J$6)*('Multi-start Raw data'!$J$6:$J$2225="Fully converged"))</f>
        <v>2.4940000000000002</v>
      </c>
      <c r="K29">
        <f t="array" ref="K29">SUM('Multi-start Raw data'!$D$6:$D$2225*('Multi-start Raw data'!$B$6:$B$2225=$A29)*('Multi-start Raw data'!$C$6:$C$2225=K$6)*('Multi-start Raw data'!$J$6:$J$2225="Fully converged"))</f>
        <v>2.5</v>
      </c>
      <c r="L29">
        <f t="array" ref="L29">SUM('Multi-start Raw data'!$D$6:$D$2225*('Multi-start Raw data'!$B$6:$B$2225=$A29)*('Multi-start Raw data'!$C$6:$C$2225=L$6)*('Multi-start Raw data'!$J$6:$J$2225="Fully converged"))</f>
        <v>0</v>
      </c>
      <c r="M29">
        <f t="array" ref="M29">SUM('Multi-start Raw data'!$D$6:$D$2225*('Multi-start Raw data'!$B$6:$B$2225=$A29)*('Multi-start Raw data'!$C$6:$C$2225=M$6)*('Multi-start Raw data'!$J$6:$J$2225="Fully converged"))</f>
        <v>2.4769999999999999</v>
      </c>
      <c r="N29">
        <f t="array" ref="N29">SUM('Multi-start Raw data'!$D$6:$D$2225*('Multi-start Raw data'!$B$6:$B$2225=$A29)*('Multi-start Raw data'!$C$6:$C$2225=N$6)*('Multi-start Raw data'!$J$6:$J$2225="Fully converged"))</f>
        <v>2.496</v>
      </c>
      <c r="O29">
        <f t="array" ref="O29">SUM('Multi-start Raw data'!$D$6:$D$2225*('Multi-start Raw data'!$B$6:$B$2225=$A29)*('Multi-start Raw data'!$C$6:$C$2225=O$6)*('Multi-start Raw data'!$J$6:$J$2225="Fully converged"))</f>
        <v>2.4990000000000001</v>
      </c>
      <c r="P29">
        <f t="array" ref="P29">SUM('Multi-start Raw data'!$D$6:$D$2225*('Multi-start Raw data'!$B$6:$B$2225=$A29)*('Multi-start Raw data'!$C$6:$C$2225=P$6)*('Multi-start Raw data'!$J$6:$J$2225="Fully converged"))</f>
        <v>2.4769999999999999</v>
      </c>
      <c r="Q29">
        <f t="array" ref="Q29">SUM('Multi-start Raw data'!$D$6:$D$2225*('Multi-start Raw data'!$B$6:$B$2225=$A29)*('Multi-start Raw data'!$C$6:$C$2225=Q$6)*('Multi-start Raw data'!$J$6:$J$2225="Fully converged"))</f>
        <v>2.4740000000000002</v>
      </c>
      <c r="R29">
        <f t="array" ref="R29">SUM('Multi-start Raw data'!$D$6:$D$2225*('Multi-start Raw data'!$B$6:$B$2225=$A29)*('Multi-start Raw data'!$C$6:$C$2225=R$6)*('Multi-start Raw data'!$J$6:$J$2225="Fully converged"))</f>
        <v>2.4969999999999999</v>
      </c>
      <c r="S29">
        <f t="array" ref="S29">SUM('Multi-start Raw data'!$D$6:$D$2225*('Multi-start Raw data'!$B$6:$B$2225=$A29)*('Multi-start Raw data'!$C$6:$C$2225=S$6)*('Multi-start Raw data'!$J$6:$J$2225="Fully converged"))</f>
        <v>2.5</v>
      </c>
      <c r="T29">
        <f t="array" ref="T29">SUM('Multi-start Raw data'!$D$6:$D$2225*('Multi-start Raw data'!$B$6:$B$2225=$A29)*('Multi-start Raw data'!$C$6:$C$2225=T$6)*('Multi-start Raw data'!$J$6:$J$2225="Fully converged"))</f>
        <v>2.5</v>
      </c>
      <c r="U29">
        <f t="array" ref="U29">SUM('Multi-start Raw data'!$D$6:$D$2225*('Multi-start Raw data'!$B$6:$B$2225=$A29)*('Multi-start Raw data'!$C$6:$C$2225=U$6)*('Multi-start Raw data'!$J$6:$J$2225="Fully converged"))</f>
        <v>2.4990000000000001</v>
      </c>
      <c r="W29" s="6">
        <f t="shared" si="9"/>
        <v>2.5</v>
      </c>
      <c r="X29" s="6">
        <f t="shared" si="10"/>
        <v>2.5</v>
      </c>
      <c r="Y29" s="6">
        <f t="shared" si="11"/>
        <v>2.5</v>
      </c>
      <c r="Z29" s="6">
        <f t="shared" si="12"/>
        <v>2.5</v>
      </c>
      <c r="AA29" s="6">
        <f t="shared" si="13"/>
        <v>2.5</v>
      </c>
      <c r="AB29" s="6"/>
      <c r="AC29" s="6">
        <f t="shared" si="14"/>
        <v>0</v>
      </c>
      <c r="AD29" s="6">
        <f t="shared" si="15"/>
        <v>0</v>
      </c>
      <c r="AE29" s="6">
        <f t="shared" si="16"/>
        <v>0</v>
      </c>
      <c r="AF29" s="6">
        <f t="shared" si="17"/>
        <v>0</v>
      </c>
      <c r="AG29" s="6">
        <f t="shared" si="18"/>
        <v>0</v>
      </c>
      <c r="AH29" s="6">
        <f t="shared" si="19"/>
        <v>0</v>
      </c>
      <c r="AI29" s="6">
        <f t="shared" si="20"/>
        <v>0</v>
      </c>
      <c r="AJ29" s="6">
        <f t="shared" si="21"/>
        <v>0</v>
      </c>
      <c r="AK29" s="6">
        <f t="shared" si="22"/>
        <v>0</v>
      </c>
      <c r="AM29" s="16">
        <f t="shared" si="23"/>
        <v>0.1</v>
      </c>
    </row>
    <row r="30" spans="1:39" x14ac:dyDescent="0.3">
      <c r="A30" s="1" t="s">
        <v>810</v>
      </c>
      <c r="B30">
        <f t="array" ref="B30">SUM('Multi-start Raw data'!$D$6:$D$2225*('Multi-start Raw data'!$B$6:$B$2225=$A30)*('Multi-start Raw data'!$C$6:$C$2225=B$6)*('Multi-start Raw data'!$J$6:$J$2225="Fully converged"))</f>
        <v>2.492</v>
      </c>
      <c r="C30">
        <f t="array" ref="C30">SUM('Multi-start Raw data'!$D$6:$D$2225*('Multi-start Raw data'!$B$6:$B$2225=$A30)*('Multi-start Raw data'!$C$6:$C$2225=C$6)*('Multi-start Raw data'!$J$6:$J$2225="Fully converged"))</f>
        <v>2.4689999999999999</v>
      </c>
      <c r="D30">
        <f t="array" ref="D30">SUM('Multi-start Raw data'!$D$6:$D$2225*('Multi-start Raw data'!$B$6:$B$2225=$A30)*('Multi-start Raw data'!$C$6:$C$2225=D$6)*('Multi-start Raw data'!$J$6:$J$2225="Fully converged"))</f>
        <v>2.4980000000000002</v>
      </c>
      <c r="E30">
        <f t="array" ref="E30">SUM('Multi-start Raw data'!$D$6:$D$2225*('Multi-start Raw data'!$B$6:$B$2225=$A30)*('Multi-start Raw data'!$C$6:$C$2225=E$6)*('Multi-start Raw data'!$J$6:$J$2225="Fully converged"))</f>
        <v>2.4980000000000002</v>
      </c>
      <c r="F30">
        <f t="array" ref="F30">SUM('Multi-start Raw data'!$D$6:$D$2225*('Multi-start Raw data'!$B$6:$B$2225=$A30)*('Multi-start Raw data'!$C$6:$C$2225=F$6)*('Multi-start Raw data'!$J$6:$J$2225="Fully converged"))</f>
        <v>2.4790000000000001</v>
      </c>
      <c r="G30">
        <f t="array" ref="G30">SUM('Multi-start Raw data'!$D$6:$D$2225*('Multi-start Raw data'!$B$6:$B$2225=$A30)*('Multi-start Raw data'!$C$6:$C$2225=G$6)*('Multi-start Raw data'!$J$6:$J$2225="Fully converged"))</f>
        <v>2.4940000000000002</v>
      </c>
      <c r="H30">
        <f t="array" ref="H30">SUM('Multi-start Raw data'!$D$6:$D$2225*('Multi-start Raw data'!$B$6:$B$2225=$A30)*('Multi-start Raw data'!$C$6:$C$2225=H$6)*('Multi-start Raw data'!$J$6:$J$2225="Fully converged"))</f>
        <v>2.476</v>
      </c>
      <c r="I30">
        <f t="array" ref="I30">SUM('Multi-start Raw data'!$D$6:$D$2225*('Multi-start Raw data'!$B$6:$B$2225=$A30)*('Multi-start Raw data'!$C$6:$C$2225=I$6)*('Multi-start Raw data'!$J$6:$J$2225="Fully converged"))</f>
        <v>2.4980000000000002</v>
      </c>
      <c r="J30">
        <f t="array" ref="J30">SUM('Multi-start Raw data'!$D$6:$D$2225*('Multi-start Raw data'!$B$6:$B$2225=$A30)*('Multi-start Raw data'!$C$6:$C$2225=J$6)*('Multi-start Raw data'!$J$6:$J$2225="Fully converged"))</f>
        <v>2.496</v>
      </c>
      <c r="K30">
        <f t="array" ref="K30">SUM('Multi-start Raw data'!$D$6:$D$2225*('Multi-start Raw data'!$B$6:$B$2225=$A30)*('Multi-start Raw data'!$C$6:$C$2225=K$6)*('Multi-start Raw data'!$J$6:$J$2225="Fully converged"))</f>
        <v>2.496</v>
      </c>
      <c r="L30">
        <f t="array" ref="L30">SUM('Multi-start Raw data'!$D$6:$D$2225*('Multi-start Raw data'!$B$6:$B$2225=$A30)*('Multi-start Raw data'!$C$6:$C$2225=L$6)*('Multi-start Raw data'!$J$6:$J$2225="Fully converged"))</f>
        <v>2.4969999999999999</v>
      </c>
      <c r="M30">
        <f t="array" ref="M30">SUM('Multi-start Raw data'!$D$6:$D$2225*('Multi-start Raw data'!$B$6:$B$2225=$A30)*('Multi-start Raw data'!$C$6:$C$2225=M$6)*('Multi-start Raw data'!$J$6:$J$2225="Fully converged"))</f>
        <v>2.4980000000000002</v>
      </c>
      <c r="N30">
        <f t="array" ref="N30">SUM('Multi-start Raw data'!$D$6:$D$2225*('Multi-start Raw data'!$B$6:$B$2225=$A30)*('Multi-start Raw data'!$C$6:$C$2225=N$6)*('Multi-start Raw data'!$J$6:$J$2225="Fully converged"))</f>
        <v>2.496</v>
      </c>
      <c r="O30">
        <f t="array" ref="O30">SUM('Multi-start Raw data'!$D$6:$D$2225*('Multi-start Raw data'!$B$6:$B$2225=$A30)*('Multi-start Raw data'!$C$6:$C$2225=O$6)*('Multi-start Raw data'!$J$6:$J$2225="Fully converged"))</f>
        <v>2.4969999999999999</v>
      </c>
      <c r="P30">
        <f t="array" ref="P30">SUM('Multi-start Raw data'!$D$6:$D$2225*('Multi-start Raw data'!$B$6:$B$2225=$A30)*('Multi-start Raw data'!$C$6:$C$2225=P$6)*('Multi-start Raw data'!$J$6:$J$2225="Fully converged"))</f>
        <v>2.4980000000000002</v>
      </c>
      <c r="Q30">
        <f t="array" ref="Q30">SUM('Multi-start Raw data'!$D$6:$D$2225*('Multi-start Raw data'!$B$6:$B$2225=$A30)*('Multi-start Raw data'!$C$6:$C$2225=Q$6)*('Multi-start Raw data'!$J$6:$J$2225="Fully converged"))</f>
        <v>2.488</v>
      </c>
      <c r="R30">
        <f t="array" ref="R30">SUM('Multi-start Raw data'!$D$6:$D$2225*('Multi-start Raw data'!$B$6:$B$2225=$A30)*('Multi-start Raw data'!$C$6:$C$2225=R$6)*('Multi-start Raw data'!$J$6:$J$2225="Fully converged"))</f>
        <v>2.4980000000000002</v>
      </c>
      <c r="S30">
        <f t="array" ref="S30">SUM('Multi-start Raw data'!$D$6:$D$2225*('Multi-start Raw data'!$B$6:$B$2225=$A30)*('Multi-start Raw data'!$C$6:$C$2225=S$6)*('Multi-start Raw data'!$J$6:$J$2225="Fully converged"))</f>
        <v>2.4969999999999999</v>
      </c>
      <c r="T30">
        <f t="array" ref="T30">SUM('Multi-start Raw data'!$D$6:$D$2225*('Multi-start Raw data'!$B$6:$B$2225=$A30)*('Multi-start Raw data'!$C$6:$C$2225=T$6)*('Multi-start Raw data'!$J$6:$J$2225="Fully converged"))</f>
        <v>2.4969999999999999</v>
      </c>
      <c r="U30">
        <f t="array" ref="U30">SUM('Multi-start Raw data'!$D$6:$D$2225*('Multi-start Raw data'!$B$6:$B$2225=$A30)*('Multi-start Raw data'!$C$6:$C$2225=U$6)*('Multi-start Raw data'!$J$6:$J$2225="Fully converged"))</f>
        <v>2.4950000000000001</v>
      </c>
      <c r="W30" s="6">
        <f t="shared" si="9"/>
        <v>2.4980000000000002</v>
      </c>
      <c r="X30" s="6">
        <f t="shared" si="10"/>
        <v>2.4980000000000002</v>
      </c>
      <c r="Y30" s="6">
        <f t="shared" si="11"/>
        <v>2.4980000000000002</v>
      </c>
      <c r="Z30" s="6">
        <f t="shared" si="12"/>
        <v>2.4980000000000002</v>
      </c>
      <c r="AA30" s="6">
        <f t="shared" si="13"/>
        <v>2.4980000000000002</v>
      </c>
      <c r="AB30" s="6"/>
      <c r="AC30" s="6">
        <f t="shared" si="14"/>
        <v>0</v>
      </c>
      <c r="AD30" s="6">
        <f t="shared" si="15"/>
        <v>0</v>
      </c>
      <c r="AE30" s="6">
        <f t="shared" si="16"/>
        <v>0</v>
      </c>
      <c r="AF30" s="6">
        <f t="shared" si="17"/>
        <v>0</v>
      </c>
      <c r="AG30" s="6">
        <f t="shared" si="18"/>
        <v>0</v>
      </c>
      <c r="AH30" s="6">
        <f t="shared" si="19"/>
        <v>0</v>
      </c>
      <c r="AI30" s="6">
        <f t="shared" si="20"/>
        <v>0</v>
      </c>
      <c r="AJ30" s="6">
        <f t="shared" si="21"/>
        <v>0</v>
      </c>
      <c r="AK30" s="6">
        <f t="shared" si="22"/>
        <v>0</v>
      </c>
      <c r="AM30" s="16">
        <f t="shared" si="23"/>
        <v>0.1</v>
      </c>
    </row>
    <row r="31" spans="1:39" x14ac:dyDescent="0.3">
      <c r="A31" s="1" t="s">
        <v>830</v>
      </c>
      <c r="B31">
        <f t="array" ref="B31">SUM('Multi-start Raw data'!$D$6:$D$2225*('Multi-start Raw data'!$B$6:$B$2225=$A31)*('Multi-start Raw data'!$C$6:$C$2225=B$6)*('Multi-start Raw data'!$J$6:$J$2225="Fully converged"))</f>
        <v>2.5139999999999998</v>
      </c>
      <c r="C31">
        <f t="array" ref="C31">SUM('Multi-start Raw data'!$D$6:$D$2225*('Multi-start Raw data'!$B$6:$B$2225=$A31)*('Multi-start Raw data'!$C$6:$C$2225=C$6)*('Multi-start Raw data'!$J$6:$J$2225="Fully converged"))</f>
        <v>2.5129999999999999</v>
      </c>
      <c r="D31">
        <f t="array" ref="D31">SUM('Multi-start Raw data'!$D$6:$D$2225*('Multi-start Raw data'!$B$6:$B$2225=$A31)*('Multi-start Raw data'!$C$6:$C$2225=D$6)*('Multi-start Raw data'!$J$6:$J$2225="Fully converged"))</f>
        <v>2.4790000000000001</v>
      </c>
      <c r="E31">
        <f t="array" ref="E31">SUM('Multi-start Raw data'!$D$6:$D$2225*('Multi-start Raw data'!$B$6:$B$2225=$A31)*('Multi-start Raw data'!$C$6:$C$2225=E$6)*('Multi-start Raw data'!$J$6:$J$2225="Fully converged"))</f>
        <v>2.5139999999999998</v>
      </c>
      <c r="F31">
        <f t="array" ref="F31">SUM('Multi-start Raw data'!$D$6:$D$2225*('Multi-start Raw data'!$B$6:$B$2225=$A31)*('Multi-start Raw data'!$C$6:$C$2225=F$6)*('Multi-start Raw data'!$J$6:$J$2225="Fully converged"))</f>
        <v>2.5139999999999998</v>
      </c>
      <c r="G31">
        <f t="array" ref="G31">SUM('Multi-start Raw data'!$D$6:$D$2225*('Multi-start Raw data'!$B$6:$B$2225=$A31)*('Multi-start Raw data'!$C$6:$C$2225=G$6)*('Multi-start Raw data'!$J$6:$J$2225="Fully converged"))</f>
        <v>2.5169999999999999</v>
      </c>
      <c r="H31">
        <f t="array" ref="H31">SUM('Multi-start Raw data'!$D$6:$D$2225*('Multi-start Raw data'!$B$6:$B$2225=$A31)*('Multi-start Raw data'!$C$6:$C$2225=H$6)*('Multi-start Raw data'!$J$6:$J$2225="Fully converged"))</f>
        <v>2.4929999999999999</v>
      </c>
      <c r="I31">
        <f t="array" ref="I31">SUM('Multi-start Raw data'!$D$6:$D$2225*('Multi-start Raw data'!$B$6:$B$2225=$A31)*('Multi-start Raw data'!$C$6:$C$2225=I$6)*('Multi-start Raw data'!$J$6:$J$2225="Fully converged"))</f>
        <v>2.5150000000000001</v>
      </c>
      <c r="J31">
        <f t="array" ref="J31">SUM('Multi-start Raw data'!$D$6:$D$2225*('Multi-start Raw data'!$B$6:$B$2225=$A31)*('Multi-start Raw data'!$C$6:$C$2225=J$6)*('Multi-start Raw data'!$J$6:$J$2225="Fully converged"))</f>
        <v>2.5150000000000001</v>
      </c>
      <c r="K31">
        <f t="array" ref="K31">SUM('Multi-start Raw data'!$D$6:$D$2225*('Multi-start Raw data'!$B$6:$B$2225=$A31)*('Multi-start Raw data'!$C$6:$C$2225=K$6)*('Multi-start Raw data'!$J$6:$J$2225="Fully converged"))</f>
        <v>2.5129999999999999</v>
      </c>
      <c r="L31">
        <f t="array" ref="L31">SUM('Multi-start Raw data'!$D$6:$D$2225*('Multi-start Raw data'!$B$6:$B$2225=$A31)*('Multi-start Raw data'!$C$6:$C$2225=L$6)*('Multi-start Raw data'!$J$6:$J$2225="Fully converged"))</f>
        <v>2.5169999999999999</v>
      </c>
      <c r="M31">
        <f t="array" ref="M31">SUM('Multi-start Raw data'!$D$6:$D$2225*('Multi-start Raw data'!$B$6:$B$2225=$A31)*('Multi-start Raw data'!$C$6:$C$2225=M$6)*('Multi-start Raw data'!$J$6:$J$2225="Fully converged"))</f>
        <v>2.5089999999999999</v>
      </c>
      <c r="N31">
        <f t="array" ref="N31">SUM('Multi-start Raw data'!$D$6:$D$2225*('Multi-start Raw data'!$B$6:$B$2225=$A31)*('Multi-start Raw data'!$C$6:$C$2225=N$6)*('Multi-start Raw data'!$J$6:$J$2225="Fully converged"))</f>
        <v>2.5150000000000001</v>
      </c>
      <c r="O31">
        <f t="array" ref="O31">SUM('Multi-start Raw data'!$D$6:$D$2225*('Multi-start Raw data'!$B$6:$B$2225=$A31)*('Multi-start Raw data'!$C$6:$C$2225=O$6)*('Multi-start Raw data'!$J$6:$J$2225="Fully converged"))</f>
        <v>2.5150000000000001</v>
      </c>
      <c r="P31">
        <f t="array" ref="P31">SUM('Multi-start Raw data'!$D$6:$D$2225*('Multi-start Raw data'!$B$6:$B$2225=$A31)*('Multi-start Raw data'!$C$6:$C$2225=P$6)*('Multi-start Raw data'!$J$6:$J$2225="Fully converged"))</f>
        <v>0</v>
      </c>
      <c r="Q31">
        <f t="array" ref="Q31">SUM('Multi-start Raw data'!$D$6:$D$2225*('Multi-start Raw data'!$B$6:$B$2225=$A31)*('Multi-start Raw data'!$C$6:$C$2225=Q$6)*('Multi-start Raw data'!$J$6:$J$2225="Fully converged"))</f>
        <v>0</v>
      </c>
      <c r="R31">
        <f t="array" ref="R31">SUM('Multi-start Raw data'!$D$6:$D$2225*('Multi-start Raw data'!$B$6:$B$2225=$A31)*('Multi-start Raw data'!$C$6:$C$2225=R$6)*('Multi-start Raw data'!$J$6:$J$2225="Fully converged"))</f>
        <v>2.5129999999999999</v>
      </c>
      <c r="S31">
        <f t="array" ref="S31">SUM('Multi-start Raw data'!$D$6:$D$2225*('Multi-start Raw data'!$B$6:$B$2225=$A31)*('Multi-start Raw data'!$C$6:$C$2225=S$6)*('Multi-start Raw data'!$J$6:$J$2225="Fully converged"))</f>
        <v>2.5150000000000001</v>
      </c>
      <c r="T31">
        <f t="array" ref="T31">SUM('Multi-start Raw data'!$D$6:$D$2225*('Multi-start Raw data'!$B$6:$B$2225=$A31)*('Multi-start Raw data'!$C$6:$C$2225=T$6)*('Multi-start Raw data'!$J$6:$J$2225="Fully converged"))</f>
        <v>0</v>
      </c>
      <c r="U31">
        <f t="array" ref="U31">SUM('Multi-start Raw data'!$D$6:$D$2225*('Multi-start Raw data'!$B$6:$B$2225=$A31)*('Multi-start Raw data'!$C$6:$C$2225=U$6)*('Multi-start Raw data'!$J$6:$J$2225="Fully converged"))</f>
        <v>2.496</v>
      </c>
      <c r="W31" s="6">
        <f t="shared" si="9"/>
        <v>2.5139999999999998</v>
      </c>
      <c r="X31" s="6">
        <f t="shared" si="10"/>
        <v>2.5169999999999999</v>
      </c>
      <c r="Y31" s="6">
        <f t="shared" si="11"/>
        <v>2.5169999999999999</v>
      </c>
      <c r="Z31" s="6">
        <f t="shared" si="12"/>
        <v>2.5169999999999999</v>
      </c>
      <c r="AA31" s="6">
        <f t="shared" si="13"/>
        <v>2.5169999999999999</v>
      </c>
      <c r="AB31" s="6"/>
      <c r="AC31" s="6">
        <f t="shared" si="14"/>
        <v>3.0000000000001137E-3</v>
      </c>
      <c r="AD31" s="6">
        <f t="shared" si="15"/>
        <v>0</v>
      </c>
      <c r="AE31" s="6">
        <f t="shared" si="16"/>
        <v>0</v>
      </c>
      <c r="AF31" s="6">
        <f t="shared" si="17"/>
        <v>0</v>
      </c>
      <c r="AG31" s="6">
        <f t="shared" si="18"/>
        <v>0.1191895113230081</v>
      </c>
      <c r="AH31" s="6">
        <f t="shared" si="19"/>
        <v>0</v>
      </c>
      <c r="AI31" s="6">
        <f t="shared" si="20"/>
        <v>0</v>
      </c>
      <c r="AJ31" s="6">
        <f t="shared" si="21"/>
        <v>0</v>
      </c>
      <c r="AK31" s="6">
        <f t="shared" si="22"/>
        <v>0</v>
      </c>
      <c r="AM31" s="16">
        <f t="shared" si="23"/>
        <v>0.1</v>
      </c>
    </row>
    <row r="32" spans="1:39" x14ac:dyDescent="0.3">
      <c r="A32" s="1" t="s">
        <v>857</v>
      </c>
      <c r="B32">
        <f t="array" ref="B32">SUM('Multi-start Raw data'!$D$6:$D$2225*('Multi-start Raw data'!$B$6:$B$2225=$A32)*('Multi-start Raw data'!$C$6:$C$2225=B$6)*('Multi-start Raw data'!$J$6:$J$2225="Fully converged"))</f>
        <v>2.4910000000000001</v>
      </c>
      <c r="C32">
        <f t="array" ref="C32">SUM('Multi-start Raw data'!$D$6:$D$2225*('Multi-start Raw data'!$B$6:$B$2225=$A32)*('Multi-start Raw data'!$C$6:$C$2225=C$6)*('Multi-start Raw data'!$J$6:$J$2225="Fully converged"))</f>
        <v>2.5009999999999999</v>
      </c>
      <c r="D32">
        <f t="array" ref="D32">SUM('Multi-start Raw data'!$D$6:$D$2225*('Multi-start Raw data'!$B$6:$B$2225=$A32)*('Multi-start Raw data'!$C$6:$C$2225=D$6)*('Multi-start Raw data'!$J$6:$J$2225="Fully converged"))</f>
        <v>0</v>
      </c>
      <c r="E32">
        <f t="array" ref="E32">SUM('Multi-start Raw data'!$D$6:$D$2225*('Multi-start Raw data'!$B$6:$B$2225=$A32)*('Multi-start Raw data'!$C$6:$C$2225=E$6)*('Multi-start Raw data'!$J$6:$J$2225="Fully converged"))</f>
        <v>2.4580000000000002</v>
      </c>
      <c r="F32">
        <f t="array" ref="F32">SUM('Multi-start Raw data'!$D$6:$D$2225*('Multi-start Raw data'!$B$6:$B$2225=$A32)*('Multi-start Raw data'!$C$6:$C$2225=F$6)*('Multi-start Raw data'!$J$6:$J$2225="Fully converged"))</f>
        <v>2.4849999999999999</v>
      </c>
      <c r="G32">
        <f t="array" ref="G32">SUM('Multi-start Raw data'!$D$6:$D$2225*('Multi-start Raw data'!$B$6:$B$2225=$A32)*('Multi-start Raw data'!$C$6:$C$2225=G$6)*('Multi-start Raw data'!$J$6:$J$2225="Fully converged"))</f>
        <v>2.5009999999999999</v>
      </c>
      <c r="H32">
        <f t="array" ref="H32">SUM('Multi-start Raw data'!$D$6:$D$2225*('Multi-start Raw data'!$B$6:$B$2225=$A32)*('Multi-start Raw data'!$C$6:$C$2225=H$6)*('Multi-start Raw data'!$J$6:$J$2225="Fully converged"))</f>
        <v>2.48</v>
      </c>
      <c r="I32">
        <f t="array" ref="I32">SUM('Multi-start Raw data'!$D$6:$D$2225*('Multi-start Raw data'!$B$6:$B$2225=$A32)*('Multi-start Raw data'!$C$6:$C$2225=I$6)*('Multi-start Raw data'!$J$6:$J$2225="Fully converged"))</f>
        <v>2.4950000000000001</v>
      </c>
      <c r="J32">
        <f t="array" ref="J32">SUM('Multi-start Raw data'!$D$6:$D$2225*('Multi-start Raw data'!$B$6:$B$2225=$A32)*('Multi-start Raw data'!$C$6:$C$2225=J$6)*('Multi-start Raw data'!$J$6:$J$2225="Fully converged"))</f>
        <v>0</v>
      </c>
      <c r="K32">
        <f t="array" ref="K32">SUM('Multi-start Raw data'!$D$6:$D$2225*('Multi-start Raw data'!$B$6:$B$2225=$A32)*('Multi-start Raw data'!$C$6:$C$2225=K$6)*('Multi-start Raw data'!$J$6:$J$2225="Fully converged"))</f>
        <v>2.4790000000000001</v>
      </c>
      <c r="L32">
        <f t="array" ref="L32">SUM('Multi-start Raw data'!$D$6:$D$2225*('Multi-start Raw data'!$B$6:$B$2225=$A32)*('Multi-start Raw data'!$C$6:$C$2225=L$6)*('Multi-start Raw data'!$J$6:$J$2225="Fully converged"))</f>
        <v>2.4990000000000001</v>
      </c>
      <c r="M32">
        <f t="array" ref="M32">SUM('Multi-start Raw data'!$D$6:$D$2225*('Multi-start Raw data'!$B$6:$B$2225=$A32)*('Multi-start Raw data'!$C$6:$C$2225=M$6)*('Multi-start Raw data'!$J$6:$J$2225="Fully converged"))</f>
        <v>2.48</v>
      </c>
      <c r="N32">
        <f t="array" ref="N32">SUM('Multi-start Raw data'!$D$6:$D$2225*('Multi-start Raw data'!$B$6:$B$2225=$A32)*('Multi-start Raw data'!$C$6:$C$2225=N$6)*('Multi-start Raw data'!$J$6:$J$2225="Fully converged"))</f>
        <v>2.484</v>
      </c>
      <c r="O32">
        <f t="array" ref="O32">SUM('Multi-start Raw data'!$D$6:$D$2225*('Multi-start Raw data'!$B$6:$B$2225=$A32)*('Multi-start Raw data'!$C$6:$C$2225=O$6)*('Multi-start Raw data'!$J$6:$J$2225="Fully converged"))</f>
        <v>2.4780000000000002</v>
      </c>
      <c r="P32">
        <f t="array" ref="P32">SUM('Multi-start Raw data'!$D$6:$D$2225*('Multi-start Raw data'!$B$6:$B$2225=$A32)*('Multi-start Raw data'!$C$6:$C$2225=P$6)*('Multi-start Raw data'!$J$6:$J$2225="Fully converged"))</f>
        <v>2.4990000000000001</v>
      </c>
      <c r="Q32">
        <f t="array" ref="Q32">SUM('Multi-start Raw data'!$D$6:$D$2225*('Multi-start Raw data'!$B$6:$B$2225=$A32)*('Multi-start Raw data'!$C$6:$C$2225=Q$6)*('Multi-start Raw data'!$J$6:$J$2225="Fully converged"))</f>
        <v>2.4990000000000001</v>
      </c>
      <c r="R32">
        <f t="array" ref="R32">SUM('Multi-start Raw data'!$D$6:$D$2225*('Multi-start Raw data'!$B$6:$B$2225=$A32)*('Multi-start Raw data'!$C$6:$C$2225=R$6)*('Multi-start Raw data'!$J$6:$J$2225="Fully converged"))</f>
        <v>2.4990000000000001</v>
      </c>
      <c r="S32">
        <f t="array" ref="S32">SUM('Multi-start Raw data'!$D$6:$D$2225*('Multi-start Raw data'!$B$6:$B$2225=$A32)*('Multi-start Raw data'!$C$6:$C$2225=S$6)*('Multi-start Raw data'!$J$6:$J$2225="Fully converged"))</f>
        <v>2.4980000000000002</v>
      </c>
      <c r="T32">
        <f t="array" ref="T32">SUM('Multi-start Raw data'!$D$6:$D$2225*('Multi-start Raw data'!$B$6:$B$2225=$A32)*('Multi-start Raw data'!$C$6:$C$2225=T$6)*('Multi-start Raw data'!$J$6:$J$2225="Fully converged"))</f>
        <v>2.5009999999999999</v>
      </c>
      <c r="U32">
        <f t="array" ref="U32">SUM('Multi-start Raw data'!$D$6:$D$2225*('Multi-start Raw data'!$B$6:$B$2225=$A32)*('Multi-start Raw data'!$C$6:$C$2225=U$6)*('Multi-start Raw data'!$J$6:$J$2225="Fully converged"))</f>
        <v>2.4790000000000001</v>
      </c>
      <c r="W32" s="6">
        <f t="shared" si="9"/>
        <v>2.5009999999999999</v>
      </c>
      <c r="X32" s="6">
        <f t="shared" si="10"/>
        <v>2.5009999999999999</v>
      </c>
      <c r="Y32" s="6">
        <f t="shared" si="11"/>
        <v>2.5009999999999999</v>
      </c>
      <c r="Z32" s="6">
        <f t="shared" si="12"/>
        <v>2.5009999999999999</v>
      </c>
      <c r="AA32" s="6">
        <f t="shared" si="13"/>
        <v>2.5009999999999999</v>
      </c>
      <c r="AB32" s="6"/>
      <c r="AC32" s="6">
        <f t="shared" si="14"/>
        <v>0</v>
      </c>
      <c r="AD32" s="6">
        <f t="shared" si="15"/>
        <v>0</v>
      </c>
      <c r="AE32" s="6">
        <f t="shared" si="16"/>
        <v>0</v>
      </c>
      <c r="AF32" s="6">
        <f t="shared" si="17"/>
        <v>0</v>
      </c>
      <c r="AG32" s="6">
        <f t="shared" si="18"/>
        <v>0</v>
      </c>
      <c r="AH32" s="6">
        <f t="shared" si="19"/>
        <v>0</v>
      </c>
      <c r="AI32" s="6">
        <f t="shared" si="20"/>
        <v>0</v>
      </c>
      <c r="AJ32" s="6">
        <f t="shared" si="21"/>
        <v>0</v>
      </c>
      <c r="AK32" s="6">
        <f t="shared" si="22"/>
        <v>0</v>
      </c>
      <c r="AM32" s="16">
        <f t="shared" si="23"/>
        <v>0.1</v>
      </c>
    </row>
    <row r="33" spans="1:39" x14ac:dyDescent="0.3">
      <c r="A33" s="1" t="s">
        <v>879</v>
      </c>
      <c r="B33">
        <f t="array" ref="B33">SUM('Multi-start Raw data'!$D$6:$D$2225*('Multi-start Raw data'!$B$6:$B$2225=$A33)*('Multi-start Raw data'!$C$6:$C$2225=B$6)*('Multi-start Raw data'!$J$6:$J$2225="Fully converged"))</f>
        <v>2.532</v>
      </c>
      <c r="C33">
        <f t="array" ref="C33">SUM('Multi-start Raw data'!$D$6:$D$2225*('Multi-start Raw data'!$B$6:$B$2225=$A33)*('Multi-start Raw data'!$C$6:$C$2225=C$6)*('Multi-start Raw data'!$J$6:$J$2225="Fully converged"))</f>
        <v>2.5249999999999999</v>
      </c>
      <c r="D33">
        <f t="array" ref="D33">SUM('Multi-start Raw data'!$D$6:$D$2225*('Multi-start Raw data'!$B$6:$B$2225=$A33)*('Multi-start Raw data'!$C$6:$C$2225=D$6)*('Multi-start Raw data'!$J$6:$J$2225="Fully converged"))</f>
        <v>2.5190000000000001</v>
      </c>
      <c r="E33">
        <f t="array" ref="E33">SUM('Multi-start Raw data'!$D$6:$D$2225*('Multi-start Raw data'!$B$6:$B$2225=$A33)*('Multi-start Raw data'!$C$6:$C$2225=E$6)*('Multi-start Raw data'!$J$6:$J$2225="Fully converged"))</f>
        <v>2.5270000000000001</v>
      </c>
      <c r="F33">
        <f t="array" ref="F33">SUM('Multi-start Raw data'!$D$6:$D$2225*('Multi-start Raw data'!$B$6:$B$2225=$A33)*('Multi-start Raw data'!$C$6:$C$2225=F$6)*('Multi-start Raw data'!$J$6:$J$2225="Fully converged"))</f>
        <v>2.5270000000000001</v>
      </c>
      <c r="G33">
        <f t="array" ref="G33">SUM('Multi-start Raw data'!$D$6:$D$2225*('Multi-start Raw data'!$B$6:$B$2225=$A33)*('Multi-start Raw data'!$C$6:$C$2225=G$6)*('Multi-start Raw data'!$J$6:$J$2225="Fully converged"))</f>
        <v>2.5369999999999999</v>
      </c>
      <c r="H33">
        <f t="array" ref="H33">SUM('Multi-start Raw data'!$D$6:$D$2225*('Multi-start Raw data'!$B$6:$B$2225=$A33)*('Multi-start Raw data'!$C$6:$C$2225=H$6)*('Multi-start Raw data'!$J$6:$J$2225="Fully converged"))</f>
        <v>2.5270000000000001</v>
      </c>
      <c r="I33">
        <f t="array" ref="I33">SUM('Multi-start Raw data'!$D$6:$D$2225*('Multi-start Raw data'!$B$6:$B$2225=$A33)*('Multi-start Raw data'!$C$6:$C$2225=I$6)*('Multi-start Raw data'!$J$6:$J$2225="Fully converged"))</f>
        <v>2.54</v>
      </c>
      <c r="J33">
        <f t="array" ref="J33">SUM('Multi-start Raw data'!$D$6:$D$2225*('Multi-start Raw data'!$B$6:$B$2225=$A33)*('Multi-start Raw data'!$C$6:$C$2225=J$6)*('Multi-start Raw data'!$J$6:$J$2225="Fully converged"))</f>
        <v>2.5369999999999999</v>
      </c>
      <c r="K33">
        <f t="array" ref="K33">SUM('Multi-start Raw data'!$D$6:$D$2225*('Multi-start Raw data'!$B$6:$B$2225=$A33)*('Multi-start Raw data'!$C$6:$C$2225=K$6)*('Multi-start Raw data'!$J$6:$J$2225="Fully converged"))</f>
        <v>2.5190000000000001</v>
      </c>
      <c r="L33">
        <f t="array" ref="L33">SUM('Multi-start Raw data'!$D$6:$D$2225*('Multi-start Raw data'!$B$6:$B$2225=$A33)*('Multi-start Raw data'!$C$6:$C$2225=L$6)*('Multi-start Raw data'!$J$6:$J$2225="Fully converged"))</f>
        <v>2.54</v>
      </c>
      <c r="M33">
        <f t="array" ref="M33">SUM('Multi-start Raw data'!$D$6:$D$2225*('Multi-start Raw data'!$B$6:$B$2225=$A33)*('Multi-start Raw data'!$C$6:$C$2225=M$6)*('Multi-start Raw data'!$J$6:$J$2225="Fully converged"))</f>
        <v>2.5270000000000001</v>
      </c>
      <c r="N33">
        <f t="array" ref="N33">SUM('Multi-start Raw data'!$D$6:$D$2225*('Multi-start Raw data'!$B$6:$B$2225=$A33)*('Multi-start Raw data'!$C$6:$C$2225=N$6)*('Multi-start Raw data'!$J$6:$J$2225="Fully converged"))</f>
        <v>2.54</v>
      </c>
      <c r="O33">
        <f t="array" ref="O33">SUM('Multi-start Raw data'!$D$6:$D$2225*('Multi-start Raw data'!$B$6:$B$2225=$A33)*('Multi-start Raw data'!$C$6:$C$2225=O$6)*('Multi-start Raw data'!$J$6:$J$2225="Fully converged"))</f>
        <v>2.5190000000000001</v>
      </c>
      <c r="P33">
        <f t="array" ref="P33">SUM('Multi-start Raw data'!$D$6:$D$2225*('Multi-start Raw data'!$B$6:$B$2225=$A33)*('Multi-start Raw data'!$C$6:$C$2225=P$6)*('Multi-start Raw data'!$J$6:$J$2225="Fully converged"))</f>
        <v>2.5270000000000001</v>
      </c>
      <c r="Q33">
        <f t="array" ref="Q33">SUM('Multi-start Raw data'!$D$6:$D$2225*('Multi-start Raw data'!$B$6:$B$2225=$A33)*('Multi-start Raw data'!$C$6:$C$2225=Q$6)*('Multi-start Raw data'!$J$6:$J$2225="Fully converged"))</f>
        <v>2.492</v>
      </c>
      <c r="R33">
        <f t="array" ref="R33">SUM('Multi-start Raw data'!$D$6:$D$2225*('Multi-start Raw data'!$B$6:$B$2225=$A33)*('Multi-start Raw data'!$C$6:$C$2225=R$6)*('Multi-start Raw data'!$J$6:$J$2225="Fully converged"))</f>
        <v>2.5369999999999999</v>
      </c>
      <c r="S33">
        <f t="array" ref="S33">SUM('Multi-start Raw data'!$D$6:$D$2225*('Multi-start Raw data'!$B$6:$B$2225=$A33)*('Multi-start Raw data'!$C$6:$C$2225=S$6)*('Multi-start Raw data'!$J$6:$J$2225="Fully converged"))</f>
        <v>2.54</v>
      </c>
      <c r="T33">
        <f t="array" ref="T33">SUM('Multi-start Raw data'!$D$6:$D$2225*('Multi-start Raw data'!$B$6:$B$2225=$A33)*('Multi-start Raw data'!$C$6:$C$2225=T$6)*('Multi-start Raw data'!$J$6:$J$2225="Fully converged"))</f>
        <v>2.54</v>
      </c>
      <c r="U33">
        <f t="array" ref="U33">SUM('Multi-start Raw data'!$D$6:$D$2225*('Multi-start Raw data'!$B$6:$B$2225=$A33)*('Multi-start Raw data'!$C$6:$C$2225=U$6)*('Multi-start Raw data'!$J$6:$J$2225="Fully converged"))</f>
        <v>2.5190000000000001</v>
      </c>
      <c r="W33" s="6">
        <f t="shared" si="9"/>
        <v>2.532</v>
      </c>
      <c r="X33" s="6">
        <f t="shared" si="10"/>
        <v>2.54</v>
      </c>
      <c r="Y33" s="6">
        <f t="shared" si="11"/>
        <v>2.54</v>
      </c>
      <c r="Z33" s="6">
        <f t="shared" si="12"/>
        <v>2.54</v>
      </c>
      <c r="AA33" s="6">
        <f t="shared" si="13"/>
        <v>2.54</v>
      </c>
      <c r="AB33" s="6"/>
      <c r="AC33" s="6">
        <f t="shared" si="14"/>
        <v>8.0000000000000071E-3</v>
      </c>
      <c r="AD33" s="6">
        <f t="shared" si="15"/>
        <v>0</v>
      </c>
      <c r="AE33" s="6">
        <f t="shared" si="16"/>
        <v>0</v>
      </c>
      <c r="AF33" s="6">
        <f t="shared" si="17"/>
        <v>0</v>
      </c>
      <c r="AG33" s="6">
        <f t="shared" si="18"/>
        <v>0.31496062992126012</v>
      </c>
      <c r="AH33" s="6">
        <f t="shared" si="19"/>
        <v>0</v>
      </c>
      <c r="AI33" s="6">
        <f t="shared" si="20"/>
        <v>0</v>
      </c>
      <c r="AJ33" s="6">
        <f t="shared" si="21"/>
        <v>0</v>
      </c>
      <c r="AK33" s="6">
        <f t="shared" si="22"/>
        <v>0</v>
      </c>
      <c r="AM33" s="16">
        <f t="shared" si="23"/>
        <v>0.1</v>
      </c>
    </row>
    <row r="34" spans="1:39" x14ac:dyDescent="0.3">
      <c r="A34" s="1" t="s">
        <v>898</v>
      </c>
      <c r="B34">
        <f t="array" ref="B34">SUM('Multi-start Raw data'!$D$6:$D$2225*('Multi-start Raw data'!$B$6:$B$2225=$A34)*('Multi-start Raw data'!$C$6:$C$2225=B$6)*('Multi-start Raw data'!$J$6:$J$2225="Fully converged"))</f>
        <v>2.5059999999999998</v>
      </c>
      <c r="C34">
        <f t="array" ref="C34">SUM('Multi-start Raw data'!$D$6:$D$2225*('Multi-start Raw data'!$B$6:$B$2225=$A34)*('Multi-start Raw data'!$C$6:$C$2225=C$6)*('Multi-start Raw data'!$J$6:$J$2225="Fully converged"))</f>
        <v>2.5310000000000001</v>
      </c>
      <c r="D34">
        <f t="array" ref="D34">SUM('Multi-start Raw data'!$D$6:$D$2225*('Multi-start Raw data'!$B$6:$B$2225=$A34)*('Multi-start Raw data'!$C$6:$C$2225=D$6)*('Multi-start Raw data'!$J$6:$J$2225="Fully converged"))</f>
        <v>2.5249999999999999</v>
      </c>
      <c r="E34">
        <f t="array" ref="E34">SUM('Multi-start Raw data'!$D$6:$D$2225*('Multi-start Raw data'!$B$6:$B$2225=$A34)*('Multi-start Raw data'!$C$6:$C$2225=E$6)*('Multi-start Raw data'!$J$6:$J$2225="Fully converged"))</f>
        <v>2.532</v>
      </c>
      <c r="F34">
        <f t="array" ref="F34">SUM('Multi-start Raw data'!$D$6:$D$2225*('Multi-start Raw data'!$B$6:$B$2225=$A34)*('Multi-start Raw data'!$C$6:$C$2225=F$6)*('Multi-start Raw data'!$J$6:$J$2225="Fully converged"))</f>
        <v>2.5299999999999998</v>
      </c>
      <c r="G34">
        <f t="array" ref="G34">SUM('Multi-start Raw data'!$D$6:$D$2225*('Multi-start Raw data'!$B$6:$B$2225=$A34)*('Multi-start Raw data'!$C$6:$C$2225=G$6)*('Multi-start Raw data'!$J$6:$J$2225="Fully converged"))</f>
        <v>2.48</v>
      </c>
      <c r="H34">
        <f t="array" ref="H34">SUM('Multi-start Raw data'!$D$6:$D$2225*('Multi-start Raw data'!$B$6:$B$2225=$A34)*('Multi-start Raw data'!$C$6:$C$2225=H$6)*('Multi-start Raw data'!$J$6:$J$2225="Fully converged"))</f>
        <v>2.5219999999999998</v>
      </c>
      <c r="I34">
        <f t="array" ref="I34">SUM('Multi-start Raw data'!$D$6:$D$2225*('Multi-start Raw data'!$B$6:$B$2225=$A34)*('Multi-start Raw data'!$C$6:$C$2225=I$6)*('Multi-start Raw data'!$J$6:$J$2225="Fully converged"))</f>
        <v>2.5350000000000001</v>
      </c>
      <c r="J34">
        <f t="array" ref="J34">SUM('Multi-start Raw data'!$D$6:$D$2225*('Multi-start Raw data'!$B$6:$B$2225=$A34)*('Multi-start Raw data'!$C$6:$C$2225=J$6)*('Multi-start Raw data'!$J$6:$J$2225="Fully converged"))</f>
        <v>2.5299999999999998</v>
      </c>
      <c r="K34">
        <f t="array" ref="K34">SUM('Multi-start Raw data'!$D$6:$D$2225*('Multi-start Raw data'!$B$6:$B$2225=$A34)*('Multi-start Raw data'!$C$6:$C$2225=K$6)*('Multi-start Raw data'!$J$6:$J$2225="Fully converged"))</f>
        <v>2.5139999999999998</v>
      </c>
      <c r="L34">
        <f t="array" ref="L34">SUM('Multi-start Raw data'!$D$6:$D$2225*('Multi-start Raw data'!$B$6:$B$2225=$A34)*('Multi-start Raw data'!$C$6:$C$2225=L$6)*('Multi-start Raw data'!$J$6:$J$2225="Fully converged"))</f>
        <v>2.5299999999999998</v>
      </c>
      <c r="M34">
        <f t="array" ref="M34">SUM('Multi-start Raw data'!$D$6:$D$2225*('Multi-start Raw data'!$B$6:$B$2225=$A34)*('Multi-start Raw data'!$C$6:$C$2225=M$6)*('Multi-start Raw data'!$J$6:$J$2225="Fully converged"))</f>
        <v>2.5339999999999998</v>
      </c>
      <c r="N34">
        <f t="array" ref="N34">SUM('Multi-start Raw data'!$D$6:$D$2225*('Multi-start Raw data'!$B$6:$B$2225=$A34)*('Multi-start Raw data'!$C$6:$C$2225=N$6)*('Multi-start Raw data'!$J$6:$J$2225="Fully converged"))</f>
        <v>2.5139999999999998</v>
      </c>
      <c r="O34">
        <f t="array" ref="O34">SUM('Multi-start Raw data'!$D$6:$D$2225*('Multi-start Raw data'!$B$6:$B$2225=$A34)*('Multi-start Raw data'!$C$6:$C$2225=O$6)*('Multi-start Raw data'!$J$6:$J$2225="Fully converged"))</f>
        <v>2.5299999999999998</v>
      </c>
      <c r="P34">
        <f t="array" ref="P34">SUM('Multi-start Raw data'!$D$6:$D$2225*('Multi-start Raw data'!$B$6:$B$2225=$A34)*('Multi-start Raw data'!$C$6:$C$2225=P$6)*('Multi-start Raw data'!$J$6:$J$2225="Fully converged"))</f>
        <v>0</v>
      </c>
      <c r="Q34">
        <f t="array" ref="Q34">SUM('Multi-start Raw data'!$D$6:$D$2225*('Multi-start Raw data'!$B$6:$B$2225=$A34)*('Multi-start Raw data'!$C$6:$C$2225=Q$6)*('Multi-start Raw data'!$J$6:$J$2225="Fully converged"))</f>
        <v>2.4929999999999999</v>
      </c>
      <c r="R34">
        <f t="array" ref="R34">SUM('Multi-start Raw data'!$D$6:$D$2225*('Multi-start Raw data'!$B$6:$B$2225=$A34)*('Multi-start Raw data'!$C$6:$C$2225=R$6)*('Multi-start Raw data'!$J$6:$J$2225="Fully converged"))</f>
        <v>0</v>
      </c>
      <c r="S34">
        <f t="array" ref="S34">SUM('Multi-start Raw data'!$D$6:$D$2225*('Multi-start Raw data'!$B$6:$B$2225=$A34)*('Multi-start Raw data'!$C$6:$C$2225=S$6)*('Multi-start Raw data'!$J$6:$J$2225="Fully converged"))</f>
        <v>2.5299999999999998</v>
      </c>
      <c r="T34">
        <f t="array" ref="T34">SUM('Multi-start Raw data'!$D$6:$D$2225*('Multi-start Raw data'!$B$6:$B$2225=$A34)*('Multi-start Raw data'!$C$6:$C$2225=T$6)*('Multi-start Raw data'!$J$6:$J$2225="Fully converged"))</f>
        <v>2.5350000000000001</v>
      </c>
      <c r="U34">
        <f t="array" ref="U34">SUM('Multi-start Raw data'!$D$6:$D$2225*('Multi-start Raw data'!$B$6:$B$2225=$A34)*('Multi-start Raw data'!$C$6:$C$2225=U$6)*('Multi-start Raw data'!$J$6:$J$2225="Fully converged"))</f>
        <v>2.5310000000000001</v>
      </c>
      <c r="W34" s="6">
        <f t="shared" si="9"/>
        <v>2.532</v>
      </c>
      <c r="X34" s="6">
        <f t="shared" si="10"/>
        <v>2.5350000000000001</v>
      </c>
      <c r="Y34" s="6">
        <f t="shared" si="11"/>
        <v>2.5350000000000001</v>
      </c>
      <c r="Z34" s="6">
        <f t="shared" si="12"/>
        <v>2.5350000000000001</v>
      </c>
      <c r="AA34" s="6">
        <f t="shared" si="13"/>
        <v>2.5350000000000001</v>
      </c>
      <c r="AB34" s="6"/>
      <c r="AC34" s="6">
        <f t="shared" si="14"/>
        <v>3.0000000000001137E-3</v>
      </c>
      <c r="AD34" s="6">
        <f t="shared" si="15"/>
        <v>0</v>
      </c>
      <c r="AE34" s="6">
        <f t="shared" si="16"/>
        <v>0</v>
      </c>
      <c r="AF34" s="6">
        <f t="shared" si="17"/>
        <v>0</v>
      </c>
      <c r="AG34" s="6">
        <f t="shared" si="18"/>
        <v>0.11834319526627665</v>
      </c>
      <c r="AH34" s="6">
        <f t="shared" si="19"/>
        <v>0</v>
      </c>
      <c r="AI34" s="6">
        <f t="shared" si="20"/>
        <v>0</v>
      </c>
      <c r="AJ34" s="6">
        <f t="shared" si="21"/>
        <v>0</v>
      </c>
      <c r="AK34" s="6">
        <f t="shared" si="22"/>
        <v>0</v>
      </c>
      <c r="AM34" s="16">
        <f t="shared" si="23"/>
        <v>0.1</v>
      </c>
    </row>
    <row r="35" spans="1:39" x14ac:dyDescent="0.3">
      <c r="A35" s="1" t="s">
        <v>922</v>
      </c>
      <c r="B35">
        <f t="array" ref="B35">SUM('Multi-start Raw data'!$D$6:$D$2225*('Multi-start Raw data'!$B$6:$B$2225=$A35)*('Multi-start Raw data'!$C$6:$C$2225=B$6)*('Multi-start Raw data'!$J$6:$J$2225="Fully converged"))</f>
        <v>2.2290000000000001</v>
      </c>
      <c r="C35">
        <f t="array" ref="C35">SUM('Multi-start Raw data'!$D$6:$D$2225*('Multi-start Raw data'!$B$6:$B$2225=$A35)*('Multi-start Raw data'!$C$6:$C$2225=C$6)*('Multi-start Raw data'!$J$6:$J$2225="Fully converged"))</f>
        <v>2.2410000000000001</v>
      </c>
      <c r="D35">
        <f t="array" ref="D35">SUM('Multi-start Raw data'!$D$6:$D$2225*('Multi-start Raw data'!$B$6:$B$2225=$A35)*('Multi-start Raw data'!$C$6:$C$2225=D$6)*('Multi-start Raw data'!$J$6:$J$2225="Fully converged"))</f>
        <v>2.2410000000000001</v>
      </c>
      <c r="E35">
        <f t="array" ref="E35">SUM('Multi-start Raw data'!$D$6:$D$2225*('Multi-start Raw data'!$B$6:$B$2225=$A35)*('Multi-start Raw data'!$C$6:$C$2225=E$6)*('Multi-start Raw data'!$J$6:$J$2225="Fully converged"))</f>
        <v>2.226</v>
      </c>
      <c r="F35">
        <f t="array" ref="F35">SUM('Multi-start Raw data'!$D$6:$D$2225*('Multi-start Raw data'!$B$6:$B$2225=$A35)*('Multi-start Raw data'!$C$6:$C$2225=F$6)*('Multi-start Raw data'!$J$6:$J$2225="Fully converged"))</f>
        <v>2.2290000000000001</v>
      </c>
      <c r="G35">
        <f t="array" ref="G35">SUM('Multi-start Raw data'!$D$6:$D$2225*('Multi-start Raw data'!$B$6:$B$2225=$A35)*('Multi-start Raw data'!$C$6:$C$2225=G$6)*('Multi-start Raw data'!$J$6:$J$2225="Fully converged"))</f>
        <v>2.113</v>
      </c>
      <c r="H35">
        <f t="array" ref="H35">SUM('Multi-start Raw data'!$D$6:$D$2225*('Multi-start Raw data'!$B$6:$B$2225=$A35)*('Multi-start Raw data'!$C$6:$C$2225=H$6)*('Multi-start Raw data'!$J$6:$J$2225="Fully converged"))</f>
        <v>2.2469999999999999</v>
      </c>
      <c r="I35">
        <f t="array" ref="I35">SUM('Multi-start Raw data'!$D$6:$D$2225*('Multi-start Raw data'!$B$6:$B$2225=$A35)*('Multi-start Raw data'!$C$6:$C$2225=I$6)*('Multi-start Raw data'!$J$6:$J$2225="Fully converged"))</f>
        <v>2.1800000000000002</v>
      </c>
      <c r="J35">
        <f t="array" ref="J35">SUM('Multi-start Raw data'!$D$6:$D$2225*('Multi-start Raw data'!$B$6:$B$2225=$A35)*('Multi-start Raw data'!$C$6:$C$2225=J$6)*('Multi-start Raw data'!$J$6:$J$2225="Fully converged"))</f>
        <v>2.2290000000000001</v>
      </c>
      <c r="K35">
        <f t="array" ref="K35">SUM('Multi-start Raw data'!$D$6:$D$2225*('Multi-start Raw data'!$B$6:$B$2225=$A35)*('Multi-start Raw data'!$C$6:$C$2225=K$6)*('Multi-start Raw data'!$J$6:$J$2225="Fully converged"))</f>
        <v>0</v>
      </c>
      <c r="L35">
        <f t="array" ref="L35">SUM('Multi-start Raw data'!$D$6:$D$2225*('Multi-start Raw data'!$B$6:$B$2225=$A35)*('Multi-start Raw data'!$C$6:$C$2225=L$6)*('Multi-start Raw data'!$J$6:$J$2225="Fully converged"))</f>
        <v>2.2410000000000001</v>
      </c>
      <c r="M35">
        <f t="array" ref="M35">SUM('Multi-start Raw data'!$D$6:$D$2225*('Multi-start Raw data'!$B$6:$B$2225=$A35)*('Multi-start Raw data'!$C$6:$C$2225=M$6)*('Multi-start Raw data'!$J$6:$J$2225="Fully converged"))</f>
        <v>2.2309999999999999</v>
      </c>
      <c r="N35">
        <f t="array" ref="N35">SUM('Multi-start Raw data'!$D$6:$D$2225*('Multi-start Raw data'!$B$6:$B$2225=$A35)*('Multi-start Raw data'!$C$6:$C$2225=N$6)*('Multi-start Raw data'!$J$6:$J$2225="Fully converged"))</f>
        <v>0</v>
      </c>
      <c r="O35">
        <f t="array" ref="O35">SUM('Multi-start Raw data'!$D$6:$D$2225*('Multi-start Raw data'!$B$6:$B$2225=$A35)*('Multi-start Raw data'!$C$6:$C$2225=O$6)*('Multi-start Raw data'!$J$6:$J$2225="Fully converged"))</f>
        <v>2.2290000000000001</v>
      </c>
      <c r="P35">
        <f t="array" ref="P35">SUM('Multi-start Raw data'!$D$6:$D$2225*('Multi-start Raw data'!$B$6:$B$2225=$A35)*('Multi-start Raw data'!$C$6:$C$2225=P$6)*('Multi-start Raw data'!$J$6:$J$2225="Fully converged"))</f>
        <v>2.226</v>
      </c>
      <c r="Q35">
        <f t="array" ref="Q35">SUM('Multi-start Raw data'!$D$6:$D$2225*('Multi-start Raw data'!$B$6:$B$2225=$A35)*('Multi-start Raw data'!$C$6:$C$2225=Q$6)*('Multi-start Raw data'!$J$6:$J$2225="Fully converged"))</f>
        <v>2.2410000000000001</v>
      </c>
      <c r="R35">
        <f t="array" ref="R35">SUM('Multi-start Raw data'!$D$6:$D$2225*('Multi-start Raw data'!$B$6:$B$2225=$A35)*('Multi-start Raw data'!$C$6:$C$2225=R$6)*('Multi-start Raw data'!$J$6:$J$2225="Fully converged"))</f>
        <v>2.2290000000000001</v>
      </c>
      <c r="S35">
        <f t="array" ref="S35">SUM('Multi-start Raw data'!$D$6:$D$2225*('Multi-start Raw data'!$B$6:$B$2225=$A35)*('Multi-start Raw data'!$C$6:$C$2225=S$6)*('Multi-start Raw data'!$J$6:$J$2225="Fully converged"))</f>
        <v>2.2290000000000001</v>
      </c>
      <c r="T35">
        <f t="array" ref="T35">SUM('Multi-start Raw data'!$D$6:$D$2225*('Multi-start Raw data'!$B$6:$B$2225=$A35)*('Multi-start Raw data'!$C$6:$C$2225=T$6)*('Multi-start Raw data'!$J$6:$J$2225="Fully converged"))</f>
        <v>2.2429999999999999</v>
      </c>
      <c r="U35">
        <f t="array" ref="U35">SUM('Multi-start Raw data'!$D$6:$D$2225*('Multi-start Raw data'!$B$6:$B$2225=$A35)*('Multi-start Raw data'!$C$6:$C$2225=U$6)*('Multi-start Raw data'!$J$6:$J$2225="Fully converged"))</f>
        <v>2.23</v>
      </c>
      <c r="W35" s="6">
        <f t="shared" si="9"/>
        <v>2.2410000000000001</v>
      </c>
      <c r="X35" s="6">
        <f t="shared" si="10"/>
        <v>2.2469999999999999</v>
      </c>
      <c r="Y35" s="6">
        <f t="shared" si="11"/>
        <v>2.2469999999999999</v>
      </c>
      <c r="Z35" s="6">
        <f t="shared" si="12"/>
        <v>2.2469999999999999</v>
      </c>
      <c r="AA35" s="6">
        <f t="shared" si="13"/>
        <v>2.2469999999999999</v>
      </c>
      <c r="AB35" s="6"/>
      <c r="AC35" s="6">
        <f t="shared" si="14"/>
        <v>5.9999999999997833E-3</v>
      </c>
      <c r="AD35" s="6">
        <f t="shared" si="15"/>
        <v>0</v>
      </c>
      <c r="AE35" s="6">
        <f t="shared" si="16"/>
        <v>0</v>
      </c>
      <c r="AF35" s="6">
        <f t="shared" si="17"/>
        <v>0</v>
      </c>
      <c r="AG35" s="6">
        <f t="shared" si="18"/>
        <v>0.26702269692922936</v>
      </c>
      <c r="AH35" s="6">
        <f t="shared" si="19"/>
        <v>0</v>
      </c>
      <c r="AI35" s="6">
        <f t="shared" si="20"/>
        <v>0</v>
      </c>
      <c r="AJ35" s="6">
        <f t="shared" si="21"/>
        <v>0</v>
      </c>
      <c r="AK35" s="6">
        <f t="shared" si="22"/>
        <v>0</v>
      </c>
      <c r="AM35" s="16">
        <f t="shared" si="23"/>
        <v>0.1</v>
      </c>
    </row>
    <row r="36" spans="1:39" x14ac:dyDescent="0.3">
      <c r="A36" s="1" t="s">
        <v>952</v>
      </c>
      <c r="B36">
        <f t="array" ref="B36">SUM('Multi-start Raw data'!$D$6:$D$2225*('Multi-start Raw data'!$B$6:$B$2225=$A36)*('Multi-start Raw data'!$C$6:$C$2225=B$6)*('Multi-start Raw data'!$J$6:$J$2225="Fully converged"))</f>
        <v>2.4969999999999999</v>
      </c>
      <c r="C36">
        <f t="array" ref="C36">SUM('Multi-start Raw data'!$D$6:$D$2225*('Multi-start Raw data'!$B$6:$B$2225=$A36)*('Multi-start Raw data'!$C$6:$C$2225=C$6)*('Multi-start Raw data'!$J$6:$J$2225="Fully converged"))</f>
        <v>2.4900000000000002</v>
      </c>
      <c r="D36">
        <f t="array" ref="D36">SUM('Multi-start Raw data'!$D$6:$D$2225*('Multi-start Raw data'!$B$6:$B$2225=$A36)*('Multi-start Raw data'!$C$6:$C$2225=D$6)*('Multi-start Raw data'!$J$6:$J$2225="Fully converged"))</f>
        <v>2.4969999999999999</v>
      </c>
      <c r="E36">
        <f t="array" ref="E36">SUM('Multi-start Raw data'!$D$6:$D$2225*('Multi-start Raw data'!$B$6:$B$2225=$A36)*('Multi-start Raw data'!$C$6:$C$2225=E$6)*('Multi-start Raw data'!$J$6:$J$2225="Fully converged"))</f>
        <v>0</v>
      </c>
      <c r="F36">
        <f t="array" ref="F36">SUM('Multi-start Raw data'!$D$6:$D$2225*('Multi-start Raw data'!$B$6:$B$2225=$A36)*('Multi-start Raw data'!$C$6:$C$2225=F$6)*('Multi-start Raw data'!$J$6:$J$2225="Fully converged"))</f>
        <v>2.4950000000000001</v>
      </c>
      <c r="G36">
        <f t="array" ref="G36">SUM('Multi-start Raw data'!$D$6:$D$2225*('Multi-start Raw data'!$B$6:$B$2225=$A36)*('Multi-start Raw data'!$C$6:$C$2225=G$6)*('Multi-start Raw data'!$J$6:$J$2225="Fully converged"))</f>
        <v>2.4159999999999999</v>
      </c>
      <c r="H36">
        <f t="array" ref="H36">SUM('Multi-start Raw data'!$D$6:$D$2225*('Multi-start Raw data'!$B$6:$B$2225=$A36)*('Multi-start Raw data'!$C$6:$C$2225=H$6)*('Multi-start Raw data'!$J$6:$J$2225="Fully converged"))</f>
        <v>0</v>
      </c>
      <c r="I36">
        <f t="array" ref="I36">SUM('Multi-start Raw data'!$D$6:$D$2225*('Multi-start Raw data'!$B$6:$B$2225=$A36)*('Multi-start Raw data'!$C$6:$C$2225=I$6)*('Multi-start Raw data'!$J$6:$J$2225="Fully converged"))</f>
        <v>2.4969999999999999</v>
      </c>
      <c r="J36">
        <f t="array" ref="J36">SUM('Multi-start Raw data'!$D$6:$D$2225*('Multi-start Raw data'!$B$6:$B$2225=$A36)*('Multi-start Raw data'!$C$6:$C$2225=J$6)*('Multi-start Raw data'!$J$6:$J$2225="Fully converged"))</f>
        <v>2.492</v>
      </c>
      <c r="K36">
        <f t="array" ref="K36">SUM('Multi-start Raw data'!$D$6:$D$2225*('Multi-start Raw data'!$B$6:$B$2225=$A36)*('Multi-start Raw data'!$C$6:$C$2225=K$6)*('Multi-start Raw data'!$J$6:$J$2225="Fully converged"))</f>
        <v>2.496</v>
      </c>
      <c r="L36">
        <f t="array" ref="L36">SUM('Multi-start Raw data'!$D$6:$D$2225*('Multi-start Raw data'!$B$6:$B$2225=$A36)*('Multi-start Raw data'!$C$6:$C$2225=L$6)*('Multi-start Raw data'!$J$6:$J$2225="Fully converged"))</f>
        <v>2.4940000000000002</v>
      </c>
      <c r="M36">
        <f t="array" ref="M36">SUM('Multi-start Raw data'!$D$6:$D$2225*('Multi-start Raw data'!$B$6:$B$2225=$A36)*('Multi-start Raw data'!$C$6:$C$2225=M$6)*('Multi-start Raw data'!$J$6:$J$2225="Fully converged"))</f>
        <v>2.496</v>
      </c>
      <c r="N36">
        <f t="array" ref="N36">SUM('Multi-start Raw data'!$D$6:$D$2225*('Multi-start Raw data'!$B$6:$B$2225=$A36)*('Multi-start Raw data'!$C$6:$C$2225=N$6)*('Multi-start Raw data'!$J$6:$J$2225="Fully converged"))</f>
        <v>2.4969999999999999</v>
      </c>
      <c r="O36">
        <f t="array" ref="O36">SUM('Multi-start Raw data'!$D$6:$D$2225*('Multi-start Raw data'!$B$6:$B$2225=$A36)*('Multi-start Raw data'!$C$6:$C$2225=O$6)*('Multi-start Raw data'!$J$6:$J$2225="Fully converged"))</f>
        <v>2.4950000000000001</v>
      </c>
      <c r="P36">
        <f t="array" ref="P36">SUM('Multi-start Raw data'!$D$6:$D$2225*('Multi-start Raw data'!$B$6:$B$2225=$A36)*('Multi-start Raw data'!$C$6:$C$2225=P$6)*('Multi-start Raw data'!$J$6:$J$2225="Fully converged"))</f>
        <v>2.496</v>
      </c>
      <c r="Q36">
        <f t="array" ref="Q36">SUM('Multi-start Raw data'!$D$6:$D$2225*('Multi-start Raw data'!$B$6:$B$2225=$A36)*('Multi-start Raw data'!$C$6:$C$2225=Q$6)*('Multi-start Raw data'!$J$6:$J$2225="Fully converged"))</f>
        <v>2.4969999999999999</v>
      </c>
      <c r="R36">
        <f t="array" ref="R36">SUM('Multi-start Raw data'!$D$6:$D$2225*('Multi-start Raw data'!$B$6:$B$2225=$A36)*('Multi-start Raw data'!$C$6:$C$2225=R$6)*('Multi-start Raw data'!$J$6:$J$2225="Fully converged"))</f>
        <v>2.4950000000000001</v>
      </c>
      <c r="S36">
        <f t="array" ref="S36">SUM('Multi-start Raw data'!$D$6:$D$2225*('Multi-start Raw data'!$B$6:$B$2225=$A36)*('Multi-start Raw data'!$C$6:$C$2225=S$6)*('Multi-start Raw data'!$J$6:$J$2225="Fully converged"))</f>
        <v>2.496</v>
      </c>
      <c r="T36">
        <f t="array" ref="T36">SUM('Multi-start Raw data'!$D$6:$D$2225*('Multi-start Raw data'!$B$6:$B$2225=$A36)*('Multi-start Raw data'!$C$6:$C$2225=T$6)*('Multi-start Raw data'!$J$6:$J$2225="Fully converged"))</f>
        <v>2.4969999999999999</v>
      </c>
      <c r="U36">
        <f t="array" ref="U36">SUM('Multi-start Raw data'!$D$6:$D$2225*('Multi-start Raw data'!$B$6:$B$2225=$A36)*('Multi-start Raw data'!$C$6:$C$2225=U$6)*('Multi-start Raw data'!$J$6:$J$2225="Fully converged"))</f>
        <v>2.496</v>
      </c>
      <c r="W36" s="6">
        <f t="shared" si="9"/>
        <v>2.4969999999999999</v>
      </c>
      <c r="X36" s="6">
        <f t="shared" si="10"/>
        <v>2.4969999999999999</v>
      </c>
      <c r="Y36" s="6">
        <f t="shared" si="11"/>
        <v>2.4969999999999999</v>
      </c>
      <c r="Z36" s="6">
        <f t="shared" si="12"/>
        <v>2.4969999999999999</v>
      </c>
      <c r="AA36" s="6">
        <f t="shared" si="13"/>
        <v>2.4969999999999999</v>
      </c>
      <c r="AB36" s="6"/>
      <c r="AC36" s="6">
        <f t="shared" si="14"/>
        <v>0</v>
      </c>
      <c r="AD36" s="6">
        <f t="shared" si="15"/>
        <v>0</v>
      </c>
      <c r="AE36" s="6">
        <f t="shared" si="16"/>
        <v>0</v>
      </c>
      <c r="AF36" s="6">
        <f t="shared" si="17"/>
        <v>0</v>
      </c>
      <c r="AG36" s="6">
        <f t="shared" si="18"/>
        <v>0</v>
      </c>
      <c r="AH36" s="6">
        <f t="shared" si="19"/>
        <v>0</v>
      </c>
      <c r="AI36" s="6">
        <f t="shared" si="20"/>
        <v>0</v>
      </c>
      <c r="AJ36" s="6">
        <f t="shared" si="21"/>
        <v>0</v>
      </c>
      <c r="AK36" s="6">
        <f t="shared" si="22"/>
        <v>0</v>
      </c>
      <c r="AM36" s="16">
        <f t="shared" si="23"/>
        <v>0.1</v>
      </c>
    </row>
    <row r="37" spans="1:39" x14ac:dyDescent="0.3">
      <c r="A37" s="1" t="s">
        <v>974</v>
      </c>
      <c r="B37">
        <f t="array" ref="B37">SUM('Multi-start Raw data'!$D$6:$D$2225*('Multi-start Raw data'!$B$6:$B$2225=$A37)*('Multi-start Raw data'!$C$6:$C$2225=B$6)*('Multi-start Raw data'!$J$6:$J$2225="Fully converged"))</f>
        <v>2.4740000000000002</v>
      </c>
      <c r="C37">
        <f t="array" ref="C37">SUM('Multi-start Raw data'!$D$6:$D$2225*('Multi-start Raw data'!$B$6:$B$2225=$A37)*('Multi-start Raw data'!$C$6:$C$2225=C$6)*('Multi-start Raw data'!$J$6:$J$2225="Fully converged"))</f>
        <v>2.4649999999999999</v>
      </c>
      <c r="D37">
        <f t="array" ref="D37">SUM('Multi-start Raw data'!$D$6:$D$2225*('Multi-start Raw data'!$B$6:$B$2225=$A37)*('Multi-start Raw data'!$C$6:$C$2225=D$6)*('Multi-start Raw data'!$J$6:$J$2225="Fully converged"))</f>
        <v>2.472</v>
      </c>
      <c r="E37">
        <f t="array" ref="E37">SUM('Multi-start Raw data'!$D$6:$D$2225*('Multi-start Raw data'!$B$6:$B$2225=$A37)*('Multi-start Raw data'!$C$6:$C$2225=E$6)*('Multi-start Raw data'!$J$6:$J$2225="Fully converged"))</f>
        <v>2.4820000000000002</v>
      </c>
      <c r="F37">
        <f t="array" ref="F37">SUM('Multi-start Raw data'!$D$6:$D$2225*('Multi-start Raw data'!$B$6:$B$2225=$A37)*('Multi-start Raw data'!$C$6:$C$2225=F$6)*('Multi-start Raw data'!$J$6:$J$2225="Fully converged"))</f>
        <v>2.4860000000000002</v>
      </c>
      <c r="G37">
        <f t="array" ref="G37">SUM('Multi-start Raw data'!$D$6:$D$2225*('Multi-start Raw data'!$B$6:$B$2225=$A37)*('Multi-start Raw data'!$C$6:$C$2225=G$6)*('Multi-start Raw data'!$J$6:$J$2225="Fully converged"))</f>
        <v>2.3530000000000002</v>
      </c>
      <c r="H37">
        <f t="array" ref="H37">SUM('Multi-start Raw data'!$D$6:$D$2225*('Multi-start Raw data'!$B$6:$B$2225=$A37)*('Multi-start Raw data'!$C$6:$C$2225=H$6)*('Multi-start Raw data'!$J$6:$J$2225="Fully converged"))</f>
        <v>2.4809999999999999</v>
      </c>
      <c r="I37">
        <f t="array" ref="I37">SUM('Multi-start Raw data'!$D$6:$D$2225*('Multi-start Raw data'!$B$6:$B$2225=$A37)*('Multi-start Raw data'!$C$6:$C$2225=I$6)*('Multi-start Raw data'!$J$6:$J$2225="Fully converged"))</f>
        <v>2.48</v>
      </c>
      <c r="J37">
        <f t="array" ref="J37">SUM('Multi-start Raw data'!$D$6:$D$2225*('Multi-start Raw data'!$B$6:$B$2225=$A37)*('Multi-start Raw data'!$C$6:$C$2225=J$6)*('Multi-start Raw data'!$J$6:$J$2225="Fully converged"))</f>
        <v>2.4700000000000002</v>
      </c>
      <c r="K37">
        <f t="array" ref="K37">SUM('Multi-start Raw data'!$D$6:$D$2225*('Multi-start Raw data'!$B$6:$B$2225=$A37)*('Multi-start Raw data'!$C$6:$C$2225=K$6)*('Multi-start Raw data'!$J$6:$J$2225="Fully converged"))</f>
        <v>2.4710000000000001</v>
      </c>
      <c r="L37">
        <f t="array" ref="L37">SUM('Multi-start Raw data'!$D$6:$D$2225*('Multi-start Raw data'!$B$6:$B$2225=$A37)*('Multi-start Raw data'!$C$6:$C$2225=L$6)*('Multi-start Raw data'!$J$6:$J$2225="Fully converged"))</f>
        <v>2.4849999999999999</v>
      </c>
      <c r="M37">
        <f t="array" ref="M37">SUM('Multi-start Raw data'!$D$6:$D$2225*('Multi-start Raw data'!$B$6:$B$2225=$A37)*('Multi-start Raw data'!$C$6:$C$2225=M$6)*('Multi-start Raw data'!$J$6:$J$2225="Fully converged"))</f>
        <v>2.472</v>
      </c>
      <c r="N37">
        <f t="array" ref="N37">SUM('Multi-start Raw data'!$D$6:$D$2225*('Multi-start Raw data'!$B$6:$B$2225=$A37)*('Multi-start Raw data'!$C$6:$C$2225=N$6)*('Multi-start Raw data'!$J$6:$J$2225="Fully converged"))</f>
        <v>2.4700000000000002</v>
      </c>
      <c r="O37">
        <f t="array" ref="O37">SUM('Multi-start Raw data'!$D$6:$D$2225*('Multi-start Raw data'!$B$6:$B$2225=$A37)*('Multi-start Raw data'!$C$6:$C$2225=O$6)*('Multi-start Raw data'!$J$6:$J$2225="Fully converged"))</f>
        <v>2.48</v>
      </c>
      <c r="P37">
        <f t="array" ref="P37">SUM('Multi-start Raw data'!$D$6:$D$2225*('Multi-start Raw data'!$B$6:$B$2225=$A37)*('Multi-start Raw data'!$C$6:$C$2225=P$6)*('Multi-start Raw data'!$J$6:$J$2225="Fully converged"))</f>
        <v>2.4700000000000002</v>
      </c>
      <c r="Q37">
        <f t="array" ref="Q37">SUM('Multi-start Raw data'!$D$6:$D$2225*('Multi-start Raw data'!$B$6:$B$2225=$A37)*('Multi-start Raw data'!$C$6:$C$2225=Q$6)*('Multi-start Raw data'!$J$6:$J$2225="Fully converged"))</f>
        <v>2.4700000000000002</v>
      </c>
      <c r="R37">
        <f t="array" ref="R37">SUM('Multi-start Raw data'!$D$6:$D$2225*('Multi-start Raw data'!$B$6:$B$2225=$A37)*('Multi-start Raw data'!$C$6:$C$2225=R$6)*('Multi-start Raw data'!$J$6:$J$2225="Fully converged"))</f>
        <v>2.4849999999999999</v>
      </c>
      <c r="S37">
        <f t="array" ref="S37">SUM('Multi-start Raw data'!$D$6:$D$2225*('Multi-start Raw data'!$B$6:$B$2225=$A37)*('Multi-start Raw data'!$C$6:$C$2225=S$6)*('Multi-start Raw data'!$J$6:$J$2225="Fully converged"))</f>
        <v>0</v>
      </c>
      <c r="T37">
        <f t="array" ref="T37">SUM('Multi-start Raw data'!$D$6:$D$2225*('Multi-start Raw data'!$B$6:$B$2225=$A37)*('Multi-start Raw data'!$C$6:$C$2225=T$6)*('Multi-start Raw data'!$J$6:$J$2225="Fully converged"))</f>
        <v>0</v>
      </c>
      <c r="U37">
        <f t="array" ref="U37">SUM('Multi-start Raw data'!$D$6:$D$2225*('Multi-start Raw data'!$B$6:$B$2225=$A37)*('Multi-start Raw data'!$C$6:$C$2225=U$6)*('Multi-start Raw data'!$J$6:$J$2225="Fully converged"))</f>
        <v>2.48</v>
      </c>
      <c r="W37" s="6">
        <f t="shared" si="9"/>
        <v>2.4820000000000002</v>
      </c>
      <c r="X37" s="6">
        <f t="shared" si="10"/>
        <v>2.4860000000000002</v>
      </c>
      <c r="Y37" s="6">
        <f t="shared" si="11"/>
        <v>2.4860000000000002</v>
      </c>
      <c r="Z37" s="6">
        <f t="shared" si="12"/>
        <v>2.4860000000000002</v>
      </c>
      <c r="AA37" s="6">
        <f t="shared" si="13"/>
        <v>2.4860000000000002</v>
      </c>
      <c r="AB37" s="6"/>
      <c r="AC37" s="6">
        <f t="shared" si="14"/>
        <v>4.0000000000000036E-3</v>
      </c>
      <c r="AD37" s="6">
        <f t="shared" si="15"/>
        <v>0</v>
      </c>
      <c r="AE37" s="6">
        <f t="shared" si="16"/>
        <v>0</v>
      </c>
      <c r="AF37" s="6">
        <f t="shared" si="17"/>
        <v>0</v>
      </c>
      <c r="AG37" s="6">
        <f t="shared" si="18"/>
        <v>0.16090104585679818</v>
      </c>
      <c r="AH37" s="6">
        <f t="shared" si="19"/>
        <v>0</v>
      </c>
      <c r="AI37" s="6">
        <f t="shared" si="20"/>
        <v>0</v>
      </c>
      <c r="AJ37" s="6">
        <f t="shared" si="21"/>
        <v>0</v>
      </c>
      <c r="AK37" s="6">
        <f t="shared" si="22"/>
        <v>0</v>
      </c>
      <c r="AM37" s="16">
        <f t="shared" si="23"/>
        <v>0.1</v>
      </c>
    </row>
    <row r="38" spans="1:39" x14ac:dyDescent="0.3">
      <c r="A38" s="1" t="s">
        <v>997</v>
      </c>
      <c r="B38">
        <f t="array" ref="B38">SUM('Multi-start Raw data'!$D$6:$D$2225*('Multi-start Raw data'!$B$6:$B$2225=$A38)*('Multi-start Raw data'!$C$6:$C$2225=B$6)*('Multi-start Raw data'!$J$6:$J$2225="Fully converged"))</f>
        <v>2.5750000000000002</v>
      </c>
      <c r="C38">
        <f t="array" ref="C38">SUM('Multi-start Raw data'!$D$6:$D$2225*('Multi-start Raw data'!$B$6:$B$2225=$A38)*('Multi-start Raw data'!$C$6:$C$2225=C$6)*('Multi-start Raw data'!$J$6:$J$2225="Fully converged"))</f>
        <v>2.5779999999999998</v>
      </c>
      <c r="D38">
        <f t="array" ref="D38">SUM('Multi-start Raw data'!$D$6:$D$2225*('Multi-start Raw data'!$B$6:$B$2225=$A38)*('Multi-start Raw data'!$C$6:$C$2225=D$6)*('Multi-start Raw data'!$J$6:$J$2225="Fully converged"))</f>
        <v>2.5680000000000001</v>
      </c>
      <c r="E38">
        <f t="array" ref="E38">SUM('Multi-start Raw data'!$D$6:$D$2225*('Multi-start Raw data'!$B$6:$B$2225=$A38)*('Multi-start Raw data'!$C$6:$C$2225=E$6)*('Multi-start Raw data'!$J$6:$J$2225="Fully converged"))</f>
        <v>2.5819999999999999</v>
      </c>
      <c r="F38">
        <f t="array" ref="F38">SUM('Multi-start Raw data'!$D$6:$D$2225*('Multi-start Raw data'!$B$6:$B$2225=$A38)*('Multi-start Raw data'!$C$6:$C$2225=F$6)*('Multi-start Raw data'!$J$6:$J$2225="Fully converged"))</f>
        <v>2.57</v>
      </c>
      <c r="G38">
        <f t="array" ref="G38">SUM('Multi-start Raw data'!$D$6:$D$2225*('Multi-start Raw data'!$B$6:$B$2225=$A38)*('Multi-start Raw data'!$C$6:$C$2225=G$6)*('Multi-start Raw data'!$J$6:$J$2225="Fully converged"))</f>
        <v>2.5369999999999999</v>
      </c>
      <c r="H38">
        <f t="array" ref="H38">SUM('Multi-start Raw data'!$D$6:$D$2225*('Multi-start Raw data'!$B$6:$B$2225=$A38)*('Multi-start Raw data'!$C$6:$C$2225=H$6)*('Multi-start Raw data'!$J$6:$J$2225="Fully converged"))</f>
        <v>2.57</v>
      </c>
      <c r="I38">
        <f t="array" ref="I38">SUM('Multi-start Raw data'!$D$6:$D$2225*('Multi-start Raw data'!$B$6:$B$2225=$A38)*('Multi-start Raw data'!$C$6:$C$2225=I$6)*('Multi-start Raw data'!$J$6:$J$2225="Fully converged"))</f>
        <v>2.5790000000000002</v>
      </c>
      <c r="J38">
        <f t="array" ref="J38">SUM('Multi-start Raw data'!$D$6:$D$2225*('Multi-start Raw data'!$B$6:$B$2225=$A38)*('Multi-start Raw data'!$C$6:$C$2225=J$6)*('Multi-start Raw data'!$J$6:$J$2225="Fully converged"))</f>
        <v>2.5790000000000002</v>
      </c>
      <c r="K38">
        <f t="array" ref="K38">SUM('Multi-start Raw data'!$D$6:$D$2225*('Multi-start Raw data'!$B$6:$B$2225=$A38)*('Multi-start Raw data'!$C$6:$C$2225=K$6)*('Multi-start Raw data'!$J$6:$J$2225="Fully converged"))</f>
        <v>2.569</v>
      </c>
      <c r="L38">
        <f t="array" ref="L38">SUM('Multi-start Raw data'!$D$6:$D$2225*('Multi-start Raw data'!$B$6:$B$2225=$A38)*('Multi-start Raw data'!$C$6:$C$2225=L$6)*('Multi-start Raw data'!$J$6:$J$2225="Fully converged"))</f>
        <v>2.5819999999999999</v>
      </c>
      <c r="M38">
        <f t="array" ref="M38">SUM('Multi-start Raw data'!$D$6:$D$2225*('Multi-start Raw data'!$B$6:$B$2225=$A38)*('Multi-start Raw data'!$C$6:$C$2225=M$6)*('Multi-start Raw data'!$J$6:$J$2225="Fully converged"))</f>
        <v>2.5710000000000002</v>
      </c>
      <c r="N38">
        <f t="array" ref="N38">SUM('Multi-start Raw data'!$D$6:$D$2225*('Multi-start Raw data'!$B$6:$B$2225=$A38)*('Multi-start Raw data'!$C$6:$C$2225=N$6)*('Multi-start Raw data'!$J$6:$J$2225="Fully converged"))</f>
        <v>2.57</v>
      </c>
      <c r="O38">
        <f t="array" ref="O38">SUM('Multi-start Raw data'!$D$6:$D$2225*('Multi-start Raw data'!$B$6:$B$2225=$A38)*('Multi-start Raw data'!$C$6:$C$2225=O$6)*('Multi-start Raw data'!$J$6:$J$2225="Fully converged"))</f>
        <v>2.57</v>
      </c>
      <c r="P38">
        <f t="array" ref="P38">SUM('Multi-start Raw data'!$D$6:$D$2225*('Multi-start Raw data'!$B$6:$B$2225=$A38)*('Multi-start Raw data'!$C$6:$C$2225=P$6)*('Multi-start Raw data'!$J$6:$J$2225="Fully converged"))</f>
        <v>2.57</v>
      </c>
      <c r="Q38">
        <f t="array" ref="Q38">SUM('Multi-start Raw data'!$D$6:$D$2225*('Multi-start Raw data'!$B$6:$B$2225=$A38)*('Multi-start Raw data'!$C$6:$C$2225=Q$6)*('Multi-start Raw data'!$J$6:$J$2225="Fully converged"))</f>
        <v>2.58</v>
      </c>
      <c r="R38">
        <f t="array" ref="R38">SUM('Multi-start Raw data'!$D$6:$D$2225*('Multi-start Raw data'!$B$6:$B$2225=$A38)*('Multi-start Raw data'!$C$6:$C$2225=R$6)*('Multi-start Raw data'!$J$6:$J$2225="Fully converged"))</f>
        <v>2.5790000000000002</v>
      </c>
      <c r="S38">
        <f t="array" ref="S38">SUM('Multi-start Raw data'!$D$6:$D$2225*('Multi-start Raw data'!$B$6:$B$2225=$A38)*('Multi-start Raw data'!$C$6:$C$2225=S$6)*('Multi-start Raw data'!$J$6:$J$2225="Fully converged"))</f>
        <v>2.532</v>
      </c>
      <c r="T38">
        <f t="array" ref="T38">SUM('Multi-start Raw data'!$D$6:$D$2225*('Multi-start Raw data'!$B$6:$B$2225=$A38)*('Multi-start Raw data'!$C$6:$C$2225=T$6)*('Multi-start Raw data'!$J$6:$J$2225="Fully converged"))</f>
        <v>2.5790000000000002</v>
      </c>
      <c r="U38">
        <f t="array" ref="U38">SUM('Multi-start Raw data'!$D$6:$D$2225*('Multi-start Raw data'!$B$6:$B$2225=$A38)*('Multi-start Raw data'!$C$6:$C$2225=U$6)*('Multi-start Raw data'!$J$6:$J$2225="Fully converged"))</f>
        <v>2.5790000000000002</v>
      </c>
      <c r="W38" s="6">
        <f t="shared" si="9"/>
        <v>2.5819999999999999</v>
      </c>
      <c r="X38" s="6">
        <f t="shared" si="10"/>
        <v>2.5819999999999999</v>
      </c>
      <c r="Y38" s="6">
        <f t="shared" si="11"/>
        <v>2.5819999999999999</v>
      </c>
      <c r="Z38" s="6">
        <f t="shared" si="12"/>
        <v>2.5819999999999999</v>
      </c>
      <c r="AA38" s="6">
        <f t="shared" si="13"/>
        <v>2.5819999999999999</v>
      </c>
      <c r="AB38" s="6"/>
      <c r="AC38" s="6">
        <f t="shared" si="14"/>
        <v>0</v>
      </c>
      <c r="AD38" s="6">
        <f t="shared" si="15"/>
        <v>0</v>
      </c>
      <c r="AE38" s="6">
        <f t="shared" si="16"/>
        <v>0</v>
      </c>
      <c r="AF38" s="6">
        <f t="shared" si="17"/>
        <v>0</v>
      </c>
      <c r="AG38" s="6">
        <f t="shared" si="18"/>
        <v>0</v>
      </c>
      <c r="AH38" s="6">
        <f t="shared" si="19"/>
        <v>0</v>
      </c>
      <c r="AI38" s="6">
        <f t="shared" si="20"/>
        <v>0</v>
      </c>
      <c r="AJ38" s="6">
        <f t="shared" si="21"/>
        <v>0</v>
      </c>
      <c r="AK38" s="6">
        <f t="shared" si="22"/>
        <v>0</v>
      </c>
      <c r="AM38" s="16">
        <f t="shared" si="23"/>
        <v>0.1</v>
      </c>
    </row>
    <row r="39" spans="1:39" x14ac:dyDescent="0.3">
      <c r="A39" s="1" t="s">
        <v>1025</v>
      </c>
      <c r="B39">
        <f t="array" ref="B39">SUM('Multi-start Raw data'!$D$6:$D$2225*('Multi-start Raw data'!$B$6:$B$2225=$A39)*('Multi-start Raw data'!$C$6:$C$2225=B$6)*('Multi-start Raw data'!$J$6:$J$2225="Fully converged"))</f>
        <v>2.5169999999999999</v>
      </c>
      <c r="C39">
        <f t="array" ref="C39">SUM('Multi-start Raw data'!$D$6:$D$2225*('Multi-start Raw data'!$B$6:$B$2225=$A39)*('Multi-start Raw data'!$C$6:$C$2225=C$6)*('Multi-start Raw data'!$J$6:$J$2225="Fully converged"))</f>
        <v>2.5179999999999998</v>
      </c>
      <c r="D39">
        <f t="array" ref="D39">SUM('Multi-start Raw data'!$D$6:$D$2225*('Multi-start Raw data'!$B$6:$B$2225=$A39)*('Multi-start Raw data'!$C$6:$C$2225=D$6)*('Multi-start Raw data'!$J$6:$J$2225="Fully converged"))</f>
        <v>2.5190000000000001</v>
      </c>
      <c r="E39">
        <f t="array" ref="E39">SUM('Multi-start Raw data'!$D$6:$D$2225*('Multi-start Raw data'!$B$6:$B$2225=$A39)*('Multi-start Raw data'!$C$6:$C$2225=E$6)*('Multi-start Raw data'!$J$6:$J$2225="Fully converged"))</f>
        <v>2.4990000000000001</v>
      </c>
      <c r="F39">
        <f t="array" ref="F39">SUM('Multi-start Raw data'!$D$6:$D$2225*('Multi-start Raw data'!$B$6:$B$2225=$A39)*('Multi-start Raw data'!$C$6:$C$2225=F$6)*('Multi-start Raw data'!$J$6:$J$2225="Fully converged"))</f>
        <v>2.5179999999999998</v>
      </c>
      <c r="G39">
        <f t="array" ref="G39">SUM('Multi-start Raw data'!$D$6:$D$2225*('Multi-start Raw data'!$B$6:$B$2225=$A39)*('Multi-start Raw data'!$C$6:$C$2225=G$6)*('Multi-start Raw data'!$J$6:$J$2225="Fully converged"))</f>
        <v>2.4849999999999999</v>
      </c>
      <c r="H39">
        <f t="array" ref="H39">SUM('Multi-start Raw data'!$D$6:$D$2225*('Multi-start Raw data'!$B$6:$B$2225=$A39)*('Multi-start Raw data'!$C$6:$C$2225=H$6)*('Multi-start Raw data'!$J$6:$J$2225="Fully converged"))</f>
        <v>2.4980000000000002</v>
      </c>
      <c r="I39">
        <f t="array" ref="I39">SUM('Multi-start Raw data'!$D$6:$D$2225*('Multi-start Raw data'!$B$6:$B$2225=$A39)*('Multi-start Raw data'!$C$6:$C$2225=I$6)*('Multi-start Raw data'!$J$6:$J$2225="Fully converged"))</f>
        <v>2.516</v>
      </c>
      <c r="J39">
        <f t="array" ref="J39">SUM('Multi-start Raw data'!$D$6:$D$2225*('Multi-start Raw data'!$B$6:$B$2225=$A39)*('Multi-start Raw data'!$C$6:$C$2225=J$6)*('Multi-start Raw data'!$J$6:$J$2225="Fully converged"))</f>
        <v>2.5179999999999998</v>
      </c>
      <c r="K39">
        <f t="array" ref="K39">SUM('Multi-start Raw data'!$D$6:$D$2225*('Multi-start Raw data'!$B$6:$B$2225=$A39)*('Multi-start Raw data'!$C$6:$C$2225=K$6)*('Multi-start Raw data'!$J$6:$J$2225="Fully converged"))</f>
        <v>2.5179999999999998</v>
      </c>
      <c r="L39">
        <f t="array" ref="L39">SUM('Multi-start Raw data'!$D$6:$D$2225*('Multi-start Raw data'!$B$6:$B$2225=$A39)*('Multi-start Raw data'!$C$6:$C$2225=L$6)*('Multi-start Raw data'!$J$6:$J$2225="Fully converged"))</f>
        <v>2.5169999999999999</v>
      </c>
      <c r="M39">
        <f t="array" ref="M39">SUM('Multi-start Raw data'!$D$6:$D$2225*('Multi-start Raw data'!$B$6:$B$2225=$A39)*('Multi-start Raw data'!$C$6:$C$2225=M$6)*('Multi-start Raw data'!$J$6:$J$2225="Fully converged"))</f>
        <v>2.5190000000000001</v>
      </c>
      <c r="N39">
        <f t="array" ref="N39">SUM('Multi-start Raw data'!$D$6:$D$2225*('Multi-start Raw data'!$B$6:$B$2225=$A39)*('Multi-start Raw data'!$C$6:$C$2225=N$6)*('Multi-start Raw data'!$J$6:$J$2225="Fully converged"))</f>
        <v>2.4990000000000001</v>
      </c>
      <c r="O39">
        <f t="array" ref="O39">SUM('Multi-start Raw data'!$D$6:$D$2225*('Multi-start Raw data'!$B$6:$B$2225=$A39)*('Multi-start Raw data'!$C$6:$C$2225=O$6)*('Multi-start Raw data'!$J$6:$J$2225="Fully converged"))</f>
        <v>2.5139999999999998</v>
      </c>
      <c r="P39">
        <f t="array" ref="P39">SUM('Multi-start Raw data'!$D$6:$D$2225*('Multi-start Raw data'!$B$6:$B$2225=$A39)*('Multi-start Raw data'!$C$6:$C$2225=P$6)*('Multi-start Raw data'!$J$6:$J$2225="Fully converged"))</f>
        <v>2.4990000000000001</v>
      </c>
      <c r="Q39">
        <f t="array" ref="Q39">SUM('Multi-start Raw data'!$D$6:$D$2225*('Multi-start Raw data'!$B$6:$B$2225=$A39)*('Multi-start Raw data'!$C$6:$C$2225=Q$6)*('Multi-start Raw data'!$J$6:$J$2225="Fully converged"))</f>
        <v>2.5150000000000001</v>
      </c>
      <c r="R39">
        <f t="array" ref="R39">SUM('Multi-start Raw data'!$D$6:$D$2225*('Multi-start Raw data'!$B$6:$B$2225=$A39)*('Multi-start Raw data'!$C$6:$C$2225=R$6)*('Multi-start Raw data'!$J$6:$J$2225="Fully converged"))</f>
        <v>2.5179999999999998</v>
      </c>
      <c r="S39">
        <f t="array" ref="S39">SUM('Multi-start Raw data'!$D$6:$D$2225*('Multi-start Raw data'!$B$6:$B$2225=$A39)*('Multi-start Raw data'!$C$6:$C$2225=S$6)*('Multi-start Raw data'!$J$6:$J$2225="Fully converged"))</f>
        <v>2.5190000000000001</v>
      </c>
      <c r="T39">
        <f t="array" ref="T39">SUM('Multi-start Raw data'!$D$6:$D$2225*('Multi-start Raw data'!$B$6:$B$2225=$A39)*('Multi-start Raw data'!$C$6:$C$2225=T$6)*('Multi-start Raw data'!$J$6:$J$2225="Fully converged"))</f>
        <v>2.5190000000000001</v>
      </c>
      <c r="U39">
        <f t="array" ref="U39">SUM('Multi-start Raw data'!$D$6:$D$2225*('Multi-start Raw data'!$B$6:$B$2225=$A39)*('Multi-start Raw data'!$C$6:$C$2225=U$6)*('Multi-start Raw data'!$J$6:$J$2225="Fully converged"))</f>
        <v>2.492</v>
      </c>
      <c r="W39" s="6">
        <f t="shared" si="9"/>
        <v>2.5190000000000001</v>
      </c>
      <c r="X39" s="6">
        <f t="shared" si="10"/>
        <v>2.5190000000000001</v>
      </c>
      <c r="Y39" s="6">
        <f t="shared" si="11"/>
        <v>2.5190000000000001</v>
      </c>
      <c r="Z39" s="6">
        <f t="shared" si="12"/>
        <v>2.5190000000000001</v>
      </c>
      <c r="AA39" s="6">
        <f t="shared" si="13"/>
        <v>2.5190000000000001</v>
      </c>
      <c r="AB39" s="6"/>
      <c r="AC39" s="6">
        <f t="shared" si="14"/>
        <v>0</v>
      </c>
      <c r="AD39" s="6">
        <f t="shared" si="15"/>
        <v>0</v>
      </c>
      <c r="AE39" s="6">
        <f t="shared" si="16"/>
        <v>0</v>
      </c>
      <c r="AF39" s="6">
        <f t="shared" si="17"/>
        <v>0</v>
      </c>
      <c r="AG39" s="6">
        <f t="shared" si="18"/>
        <v>0</v>
      </c>
      <c r="AH39" s="6">
        <f t="shared" si="19"/>
        <v>0</v>
      </c>
      <c r="AI39" s="6">
        <f t="shared" si="20"/>
        <v>0</v>
      </c>
      <c r="AJ39" s="6">
        <f t="shared" si="21"/>
        <v>0</v>
      </c>
      <c r="AK39" s="6">
        <f t="shared" si="22"/>
        <v>0</v>
      </c>
      <c r="AM39" s="16">
        <f t="shared" si="23"/>
        <v>0.1</v>
      </c>
    </row>
    <row r="40" spans="1:39" x14ac:dyDescent="0.3">
      <c r="A40" s="1" t="s">
        <v>1043</v>
      </c>
      <c r="B40">
        <f t="array" ref="B40">SUM('Multi-start Raw data'!$D$6:$D$2225*('Multi-start Raw data'!$B$6:$B$2225=$A40)*('Multi-start Raw data'!$C$6:$C$2225=B$6)*('Multi-start Raw data'!$J$6:$J$2225="Fully converged"))</f>
        <v>2.5009999999999999</v>
      </c>
      <c r="C40">
        <f t="array" ref="C40">SUM('Multi-start Raw data'!$D$6:$D$2225*('Multi-start Raw data'!$B$6:$B$2225=$A40)*('Multi-start Raw data'!$C$6:$C$2225=C$6)*('Multi-start Raw data'!$J$6:$J$2225="Fully converged"))</f>
        <v>2.4990000000000001</v>
      </c>
      <c r="D40">
        <f t="array" ref="D40">SUM('Multi-start Raw data'!$D$6:$D$2225*('Multi-start Raw data'!$B$6:$B$2225=$A40)*('Multi-start Raw data'!$C$6:$C$2225=D$6)*('Multi-start Raw data'!$J$6:$J$2225="Fully converged"))</f>
        <v>2.484</v>
      </c>
      <c r="E40">
        <f t="array" ref="E40">SUM('Multi-start Raw data'!$D$6:$D$2225*('Multi-start Raw data'!$B$6:$B$2225=$A40)*('Multi-start Raw data'!$C$6:$C$2225=E$6)*('Multi-start Raw data'!$J$6:$J$2225="Fully converged"))</f>
        <v>2.5059999999999998</v>
      </c>
      <c r="F40">
        <f t="array" ref="F40">SUM('Multi-start Raw data'!$D$6:$D$2225*('Multi-start Raw data'!$B$6:$B$2225=$A40)*('Multi-start Raw data'!$C$6:$C$2225=F$6)*('Multi-start Raw data'!$J$6:$J$2225="Fully converged"))</f>
        <v>2.5059999999999998</v>
      </c>
      <c r="G40">
        <f t="array" ref="G40">SUM('Multi-start Raw data'!$D$6:$D$2225*('Multi-start Raw data'!$B$6:$B$2225=$A40)*('Multi-start Raw data'!$C$6:$C$2225=G$6)*('Multi-start Raw data'!$J$6:$J$2225="Fully converged"))</f>
        <v>2.5059999999999998</v>
      </c>
      <c r="H40">
        <f t="array" ref="H40">SUM('Multi-start Raw data'!$D$6:$D$2225*('Multi-start Raw data'!$B$6:$B$2225=$A40)*('Multi-start Raw data'!$C$6:$C$2225=H$6)*('Multi-start Raw data'!$J$6:$J$2225="Fully converged"))</f>
        <v>2.484</v>
      </c>
      <c r="I40">
        <f t="array" ref="I40">SUM('Multi-start Raw data'!$D$6:$D$2225*('Multi-start Raw data'!$B$6:$B$2225=$A40)*('Multi-start Raw data'!$C$6:$C$2225=I$6)*('Multi-start Raw data'!$J$6:$J$2225="Fully converged"))</f>
        <v>2.5</v>
      </c>
      <c r="J40">
        <f t="array" ref="J40">SUM('Multi-start Raw data'!$D$6:$D$2225*('Multi-start Raw data'!$B$6:$B$2225=$A40)*('Multi-start Raw data'!$C$6:$C$2225=J$6)*('Multi-start Raw data'!$J$6:$J$2225="Fully converged"))</f>
        <v>2.5030000000000001</v>
      </c>
      <c r="K40">
        <f t="array" ref="K40">SUM('Multi-start Raw data'!$D$6:$D$2225*('Multi-start Raw data'!$B$6:$B$2225=$A40)*('Multi-start Raw data'!$C$6:$C$2225=K$6)*('Multi-start Raw data'!$J$6:$J$2225="Fully converged"))</f>
        <v>2.48</v>
      </c>
      <c r="L40">
        <f t="array" ref="L40">SUM('Multi-start Raw data'!$D$6:$D$2225*('Multi-start Raw data'!$B$6:$B$2225=$A40)*('Multi-start Raw data'!$C$6:$C$2225=L$6)*('Multi-start Raw data'!$J$6:$J$2225="Fully converged"))</f>
        <v>2.5059999999999998</v>
      </c>
      <c r="M40">
        <f t="array" ref="M40">SUM('Multi-start Raw data'!$D$6:$D$2225*('Multi-start Raw data'!$B$6:$B$2225=$A40)*('Multi-start Raw data'!$C$6:$C$2225=M$6)*('Multi-start Raw data'!$J$6:$J$2225="Fully converged"))</f>
        <v>2.5</v>
      </c>
      <c r="N40">
        <f t="array" ref="N40">SUM('Multi-start Raw data'!$D$6:$D$2225*('Multi-start Raw data'!$B$6:$B$2225=$A40)*('Multi-start Raw data'!$C$6:$C$2225=N$6)*('Multi-start Raw data'!$J$6:$J$2225="Fully converged"))</f>
        <v>2.5059999999999998</v>
      </c>
      <c r="O40">
        <f t="array" ref="O40">SUM('Multi-start Raw data'!$D$6:$D$2225*('Multi-start Raw data'!$B$6:$B$2225=$A40)*('Multi-start Raw data'!$C$6:$C$2225=O$6)*('Multi-start Raw data'!$J$6:$J$2225="Fully converged"))</f>
        <v>2.5049999999999999</v>
      </c>
      <c r="P40">
        <f t="array" ref="P40">SUM('Multi-start Raw data'!$D$6:$D$2225*('Multi-start Raw data'!$B$6:$B$2225=$A40)*('Multi-start Raw data'!$C$6:$C$2225=P$6)*('Multi-start Raw data'!$J$6:$J$2225="Fully converged"))</f>
        <v>2.5059999999999998</v>
      </c>
      <c r="Q40">
        <f t="array" ref="Q40">SUM('Multi-start Raw data'!$D$6:$D$2225*('Multi-start Raw data'!$B$6:$B$2225=$A40)*('Multi-start Raw data'!$C$6:$C$2225=Q$6)*('Multi-start Raw data'!$J$6:$J$2225="Fully converged"))</f>
        <v>2.5059999999999998</v>
      </c>
      <c r="R40">
        <f t="array" ref="R40">SUM('Multi-start Raw data'!$D$6:$D$2225*('Multi-start Raw data'!$B$6:$B$2225=$A40)*('Multi-start Raw data'!$C$6:$C$2225=R$6)*('Multi-start Raw data'!$J$6:$J$2225="Fully converged"))</f>
        <v>0</v>
      </c>
      <c r="S40">
        <f t="array" ref="S40">SUM('Multi-start Raw data'!$D$6:$D$2225*('Multi-start Raw data'!$B$6:$B$2225=$A40)*('Multi-start Raw data'!$C$6:$C$2225=S$6)*('Multi-start Raw data'!$J$6:$J$2225="Fully converged"))</f>
        <v>2.5030000000000001</v>
      </c>
      <c r="T40">
        <f t="array" ref="T40">SUM('Multi-start Raw data'!$D$6:$D$2225*('Multi-start Raw data'!$B$6:$B$2225=$A40)*('Multi-start Raw data'!$C$6:$C$2225=T$6)*('Multi-start Raw data'!$J$6:$J$2225="Fully converged"))</f>
        <v>2.5049999999999999</v>
      </c>
      <c r="U40">
        <f t="array" ref="U40">SUM('Multi-start Raw data'!$D$6:$D$2225*('Multi-start Raw data'!$B$6:$B$2225=$A40)*('Multi-start Raw data'!$C$6:$C$2225=U$6)*('Multi-start Raw data'!$J$6:$J$2225="Fully converged"))</f>
        <v>2.484</v>
      </c>
      <c r="W40" s="6">
        <f t="shared" si="9"/>
        <v>2.5059999999999998</v>
      </c>
      <c r="X40" s="6">
        <f t="shared" si="10"/>
        <v>2.5059999999999998</v>
      </c>
      <c r="Y40" s="6">
        <f t="shared" si="11"/>
        <v>2.5059999999999998</v>
      </c>
      <c r="Z40" s="6">
        <f t="shared" si="12"/>
        <v>2.5059999999999998</v>
      </c>
      <c r="AA40" s="6">
        <f t="shared" si="13"/>
        <v>2.5059999999999998</v>
      </c>
      <c r="AB40" s="6"/>
      <c r="AC40" s="6">
        <f t="shared" si="14"/>
        <v>0</v>
      </c>
      <c r="AD40" s="6">
        <f t="shared" si="15"/>
        <v>0</v>
      </c>
      <c r="AE40" s="6">
        <f t="shared" si="16"/>
        <v>0</v>
      </c>
      <c r="AF40" s="6">
        <f t="shared" si="17"/>
        <v>0</v>
      </c>
      <c r="AG40" s="6">
        <f t="shared" si="18"/>
        <v>0</v>
      </c>
      <c r="AH40" s="6">
        <f t="shared" si="19"/>
        <v>0</v>
      </c>
      <c r="AI40" s="6">
        <f t="shared" si="20"/>
        <v>0</v>
      </c>
      <c r="AJ40" s="6">
        <f t="shared" si="21"/>
        <v>0</v>
      </c>
      <c r="AK40" s="6">
        <f t="shared" si="22"/>
        <v>0</v>
      </c>
      <c r="AM40" s="16">
        <f t="shared" si="23"/>
        <v>0.1</v>
      </c>
    </row>
    <row r="41" spans="1:39" x14ac:dyDescent="0.3">
      <c r="A41" s="1" t="s">
        <v>1061</v>
      </c>
      <c r="B41">
        <f t="array" ref="B41">SUM('Multi-start Raw data'!$D$6:$D$2225*('Multi-start Raw data'!$B$6:$B$2225=$A41)*('Multi-start Raw data'!$C$6:$C$2225=B$6)*('Multi-start Raw data'!$J$6:$J$2225="Fully converged"))</f>
        <v>2.4470000000000001</v>
      </c>
      <c r="C41">
        <f t="array" ref="C41">SUM('Multi-start Raw data'!$D$6:$D$2225*('Multi-start Raw data'!$B$6:$B$2225=$A41)*('Multi-start Raw data'!$C$6:$C$2225=C$6)*('Multi-start Raw data'!$J$6:$J$2225="Fully converged"))</f>
        <v>2.4420000000000002</v>
      </c>
      <c r="D41">
        <f t="array" ref="D41">SUM('Multi-start Raw data'!$D$6:$D$2225*('Multi-start Raw data'!$B$6:$B$2225=$A41)*('Multi-start Raw data'!$C$6:$C$2225=D$6)*('Multi-start Raw data'!$J$6:$J$2225="Fully converged"))</f>
        <v>2.4500000000000002</v>
      </c>
      <c r="E41">
        <f t="array" ref="E41">SUM('Multi-start Raw data'!$D$6:$D$2225*('Multi-start Raw data'!$B$6:$B$2225=$A41)*('Multi-start Raw data'!$C$6:$C$2225=E$6)*('Multi-start Raw data'!$J$6:$J$2225="Fully converged"))</f>
        <v>2.4500000000000002</v>
      </c>
      <c r="F41">
        <f t="array" ref="F41">SUM('Multi-start Raw data'!$D$6:$D$2225*('Multi-start Raw data'!$B$6:$B$2225=$A41)*('Multi-start Raw data'!$C$6:$C$2225=F$6)*('Multi-start Raw data'!$J$6:$J$2225="Fully converged"))</f>
        <v>2.4329999999999998</v>
      </c>
      <c r="G41">
        <f t="array" ref="G41">SUM('Multi-start Raw data'!$D$6:$D$2225*('Multi-start Raw data'!$B$6:$B$2225=$A41)*('Multi-start Raw data'!$C$6:$C$2225=G$6)*('Multi-start Raw data'!$J$6:$J$2225="Fully converged"))</f>
        <v>2.4300000000000002</v>
      </c>
      <c r="H41">
        <f t="array" ref="H41">SUM('Multi-start Raw data'!$D$6:$D$2225*('Multi-start Raw data'!$B$6:$B$2225=$A41)*('Multi-start Raw data'!$C$6:$C$2225=H$6)*('Multi-start Raw data'!$J$6:$J$2225="Fully converged"))</f>
        <v>2.4300000000000002</v>
      </c>
      <c r="I41">
        <f t="array" ref="I41">SUM('Multi-start Raw data'!$D$6:$D$2225*('Multi-start Raw data'!$B$6:$B$2225=$A41)*('Multi-start Raw data'!$C$6:$C$2225=I$6)*('Multi-start Raw data'!$J$6:$J$2225="Fully converged"))</f>
        <v>2.4500000000000002</v>
      </c>
      <c r="J41">
        <f t="array" ref="J41">SUM('Multi-start Raw data'!$D$6:$D$2225*('Multi-start Raw data'!$B$6:$B$2225=$A41)*('Multi-start Raw data'!$C$6:$C$2225=J$6)*('Multi-start Raw data'!$J$6:$J$2225="Fully converged"))</f>
        <v>2.4430000000000001</v>
      </c>
      <c r="K41">
        <f t="array" ref="K41">SUM('Multi-start Raw data'!$D$6:$D$2225*('Multi-start Raw data'!$B$6:$B$2225=$A41)*('Multi-start Raw data'!$C$6:$C$2225=K$6)*('Multi-start Raw data'!$J$6:$J$2225="Fully converged"))</f>
        <v>2.4329999999999998</v>
      </c>
      <c r="L41">
        <f t="array" ref="L41">SUM('Multi-start Raw data'!$D$6:$D$2225*('Multi-start Raw data'!$B$6:$B$2225=$A41)*('Multi-start Raw data'!$C$6:$C$2225=L$6)*('Multi-start Raw data'!$J$6:$J$2225="Fully converged"))</f>
        <v>2.4470000000000001</v>
      </c>
      <c r="M41">
        <f t="array" ref="M41">SUM('Multi-start Raw data'!$D$6:$D$2225*('Multi-start Raw data'!$B$6:$B$2225=$A41)*('Multi-start Raw data'!$C$6:$C$2225=M$6)*('Multi-start Raw data'!$J$6:$J$2225="Fully converged"))</f>
        <v>2.431</v>
      </c>
      <c r="N41">
        <f t="array" ref="N41">SUM('Multi-start Raw data'!$D$6:$D$2225*('Multi-start Raw data'!$B$6:$B$2225=$A41)*('Multi-start Raw data'!$C$6:$C$2225=N$6)*('Multi-start Raw data'!$J$6:$J$2225="Fully converged"))</f>
        <v>2.4340000000000002</v>
      </c>
      <c r="O41">
        <f t="array" ref="O41">SUM('Multi-start Raw data'!$D$6:$D$2225*('Multi-start Raw data'!$B$6:$B$2225=$A41)*('Multi-start Raw data'!$C$6:$C$2225=O$6)*('Multi-start Raw data'!$J$6:$J$2225="Fully converged"))</f>
        <v>2.4289999999999998</v>
      </c>
      <c r="P41">
        <f t="array" ref="P41">SUM('Multi-start Raw data'!$D$6:$D$2225*('Multi-start Raw data'!$B$6:$B$2225=$A41)*('Multi-start Raw data'!$C$6:$C$2225=P$6)*('Multi-start Raw data'!$J$6:$J$2225="Fully converged"))</f>
        <v>2.4500000000000002</v>
      </c>
      <c r="Q41">
        <f t="array" ref="Q41">SUM('Multi-start Raw data'!$D$6:$D$2225*('Multi-start Raw data'!$B$6:$B$2225=$A41)*('Multi-start Raw data'!$C$6:$C$2225=Q$6)*('Multi-start Raw data'!$J$6:$J$2225="Fully converged"))</f>
        <v>2.4460000000000002</v>
      </c>
      <c r="R41">
        <f t="array" ref="R41">SUM('Multi-start Raw data'!$D$6:$D$2225*('Multi-start Raw data'!$B$6:$B$2225=$A41)*('Multi-start Raw data'!$C$6:$C$2225=R$6)*('Multi-start Raw data'!$J$6:$J$2225="Fully converged"))</f>
        <v>2.4470000000000001</v>
      </c>
      <c r="S41">
        <f t="array" ref="S41">SUM('Multi-start Raw data'!$D$6:$D$2225*('Multi-start Raw data'!$B$6:$B$2225=$A41)*('Multi-start Raw data'!$C$6:$C$2225=S$6)*('Multi-start Raw data'!$J$6:$J$2225="Fully converged"))</f>
        <v>2.4460000000000002</v>
      </c>
      <c r="T41">
        <f t="array" ref="T41">SUM('Multi-start Raw data'!$D$6:$D$2225*('Multi-start Raw data'!$B$6:$B$2225=$A41)*('Multi-start Raw data'!$C$6:$C$2225=T$6)*('Multi-start Raw data'!$J$6:$J$2225="Fully converged"))</f>
        <v>2.4500000000000002</v>
      </c>
      <c r="U41">
        <f t="array" ref="U41">SUM('Multi-start Raw data'!$D$6:$D$2225*('Multi-start Raw data'!$B$6:$B$2225=$A41)*('Multi-start Raw data'!$C$6:$C$2225=U$6)*('Multi-start Raw data'!$J$6:$J$2225="Fully converged"))</f>
        <v>2.4470000000000001</v>
      </c>
      <c r="W41" s="6">
        <f t="shared" si="9"/>
        <v>2.4500000000000002</v>
      </c>
      <c r="X41" s="6">
        <f t="shared" si="10"/>
        <v>2.4500000000000002</v>
      </c>
      <c r="Y41" s="6">
        <f t="shared" si="11"/>
        <v>2.4500000000000002</v>
      </c>
      <c r="Z41" s="6">
        <f t="shared" si="12"/>
        <v>2.4500000000000002</v>
      </c>
      <c r="AA41" s="6">
        <f t="shared" si="13"/>
        <v>2.4500000000000002</v>
      </c>
      <c r="AB41" s="6"/>
      <c r="AC41" s="6">
        <f t="shared" si="14"/>
        <v>0</v>
      </c>
      <c r="AD41" s="6">
        <f t="shared" si="15"/>
        <v>0</v>
      </c>
      <c r="AE41" s="6">
        <f t="shared" si="16"/>
        <v>0</v>
      </c>
      <c r="AF41" s="6">
        <f t="shared" si="17"/>
        <v>0</v>
      </c>
      <c r="AG41" s="6">
        <f t="shared" si="18"/>
        <v>0</v>
      </c>
      <c r="AH41" s="6">
        <f t="shared" si="19"/>
        <v>0</v>
      </c>
      <c r="AI41" s="6">
        <f t="shared" si="20"/>
        <v>0</v>
      </c>
      <c r="AJ41" s="6">
        <f t="shared" si="21"/>
        <v>0</v>
      </c>
      <c r="AK41" s="6">
        <f t="shared" si="22"/>
        <v>0</v>
      </c>
      <c r="AM41" s="16">
        <f t="shared" si="23"/>
        <v>0.1</v>
      </c>
    </row>
    <row r="42" spans="1:39" x14ac:dyDescent="0.3">
      <c r="A42" s="1" t="s">
        <v>1086</v>
      </c>
      <c r="B42">
        <f t="array" ref="B42">SUM('Multi-start Raw data'!$D$6:$D$2225*('Multi-start Raw data'!$B$6:$B$2225=$A42)*('Multi-start Raw data'!$C$6:$C$2225=B$6)*('Multi-start Raw data'!$J$6:$J$2225="Fully converged"))</f>
        <v>2.532</v>
      </c>
      <c r="C42">
        <f t="array" ref="C42">SUM('Multi-start Raw data'!$D$6:$D$2225*('Multi-start Raw data'!$B$6:$B$2225=$A42)*('Multi-start Raw data'!$C$6:$C$2225=C$6)*('Multi-start Raw data'!$J$6:$J$2225="Fully converged"))</f>
        <v>2.5310000000000001</v>
      </c>
      <c r="D42">
        <f t="array" ref="D42">SUM('Multi-start Raw data'!$D$6:$D$2225*('Multi-start Raw data'!$B$6:$B$2225=$A42)*('Multi-start Raw data'!$C$6:$C$2225=D$6)*('Multi-start Raw data'!$J$6:$J$2225="Fully converged"))</f>
        <v>0</v>
      </c>
      <c r="E42">
        <f t="array" ref="E42">SUM('Multi-start Raw data'!$D$6:$D$2225*('Multi-start Raw data'!$B$6:$B$2225=$A42)*('Multi-start Raw data'!$C$6:$C$2225=E$6)*('Multi-start Raw data'!$J$6:$J$2225="Fully converged"))</f>
        <v>0</v>
      </c>
      <c r="F42">
        <f t="array" ref="F42">SUM('Multi-start Raw data'!$D$6:$D$2225*('Multi-start Raw data'!$B$6:$B$2225=$A42)*('Multi-start Raw data'!$C$6:$C$2225=F$6)*('Multi-start Raw data'!$J$6:$J$2225="Fully converged"))</f>
        <v>0</v>
      </c>
      <c r="G42">
        <f t="array" ref="G42">SUM('Multi-start Raw data'!$D$6:$D$2225*('Multi-start Raw data'!$B$6:$B$2225=$A42)*('Multi-start Raw data'!$C$6:$C$2225=G$6)*('Multi-start Raw data'!$J$6:$J$2225="Fully converged"))</f>
        <v>2.5369999999999999</v>
      </c>
      <c r="H42">
        <f t="array" ref="H42">SUM('Multi-start Raw data'!$D$6:$D$2225*('Multi-start Raw data'!$B$6:$B$2225=$A42)*('Multi-start Raw data'!$C$6:$C$2225=H$6)*('Multi-start Raw data'!$J$6:$J$2225="Fully converged"))</f>
        <v>2.5369999999999999</v>
      </c>
      <c r="I42">
        <f t="array" ref="I42">SUM('Multi-start Raw data'!$D$6:$D$2225*('Multi-start Raw data'!$B$6:$B$2225=$A42)*('Multi-start Raw data'!$C$6:$C$2225=I$6)*('Multi-start Raw data'!$J$6:$J$2225="Fully converged"))</f>
        <v>2.5369999999999999</v>
      </c>
      <c r="J42">
        <f t="array" ref="J42">SUM('Multi-start Raw data'!$D$6:$D$2225*('Multi-start Raw data'!$B$6:$B$2225=$A42)*('Multi-start Raw data'!$C$6:$C$2225=J$6)*('Multi-start Raw data'!$J$6:$J$2225="Fully converged"))</f>
        <v>2.532</v>
      </c>
      <c r="K42">
        <f t="array" ref="K42">SUM('Multi-start Raw data'!$D$6:$D$2225*('Multi-start Raw data'!$B$6:$B$2225=$A42)*('Multi-start Raw data'!$C$6:$C$2225=K$6)*('Multi-start Raw data'!$J$6:$J$2225="Fully converged"))</f>
        <v>2.5169999999999999</v>
      </c>
      <c r="L42">
        <f t="array" ref="L42">SUM('Multi-start Raw data'!$D$6:$D$2225*('Multi-start Raw data'!$B$6:$B$2225=$A42)*('Multi-start Raw data'!$C$6:$C$2225=L$6)*('Multi-start Raw data'!$J$6:$J$2225="Fully converged"))</f>
        <v>2.5369999999999999</v>
      </c>
      <c r="M42">
        <f t="array" ref="M42">SUM('Multi-start Raw data'!$D$6:$D$2225*('Multi-start Raw data'!$B$6:$B$2225=$A42)*('Multi-start Raw data'!$C$6:$C$2225=M$6)*('Multi-start Raw data'!$J$6:$J$2225="Fully converged"))</f>
        <v>2.528</v>
      </c>
      <c r="N42">
        <f t="array" ref="N42">SUM('Multi-start Raw data'!$D$6:$D$2225*('Multi-start Raw data'!$B$6:$B$2225=$A42)*('Multi-start Raw data'!$C$6:$C$2225=N$6)*('Multi-start Raw data'!$J$6:$J$2225="Fully converged"))</f>
        <v>2.532</v>
      </c>
      <c r="O42">
        <f t="array" ref="O42">SUM('Multi-start Raw data'!$D$6:$D$2225*('Multi-start Raw data'!$B$6:$B$2225=$A42)*('Multi-start Raw data'!$C$6:$C$2225=O$6)*('Multi-start Raw data'!$J$6:$J$2225="Fully converged"))</f>
        <v>2.5310000000000001</v>
      </c>
      <c r="P42">
        <f t="array" ref="P42">SUM('Multi-start Raw data'!$D$6:$D$2225*('Multi-start Raw data'!$B$6:$B$2225=$A42)*('Multi-start Raw data'!$C$6:$C$2225=P$6)*('Multi-start Raw data'!$J$6:$J$2225="Fully converged"))</f>
        <v>2.532</v>
      </c>
      <c r="Q42">
        <f t="array" ref="Q42">SUM('Multi-start Raw data'!$D$6:$D$2225*('Multi-start Raw data'!$B$6:$B$2225=$A42)*('Multi-start Raw data'!$C$6:$C$2225=Q$6)*('Multi-start Raw data'!$J$6:$J$2225="Fully converged"))</f>
        <v>2.5350000000000001</v>
      </c>
      <c r="R42">
        <f t="array" ref="R42">SUM('Multi-start Raw data'!$D$6:$D$2225*('Multi-start Raw data'!$B$6:$B$2225=$A42)*('Multi-start Raw data'!$C$6:$C$2225=R$6)*('Multi-start Raw data'!$J$6:$J$2225="Fully converged"))</f>
        <v>2.5310000000000001</v>
      </c>
      <c r="S42">
        <f t="array" ref="S42">SUM('Multi-start Raw data'!$D$6:$D$2225*('Multi-start Raw data'!$B$6:$B$2225=$A42)*('Multi-start Raw data'!$C$6:$C$2225=S$6)*('Multi-start Raw data'!$J$6:$J$2225="Fully converged"))</f>
        <v>2.5369999999999999</v>
      </c>
      <c r="T42">
        <f t="array" ref="T42">SUM('Multi-start Raw data'!$D$6:$D$2225*('Multi-start Raw data'!$B$6:$B$2225=$A42)*('Multi-start Raw data'!$C$6:$C$2225=T$6)*('Multi-start Raw data'!$J$6:$J$2225="Fully converged"))</f>
        <v>2.5390000000000001</v>
      </c>
      <c r="U42">
        <f t="array" ref="U42">SUM('Multi-start Raw data'!$D$6:$D$2225*('Multi-start Raw data'!$B$6:$B$2225=$A42)*('Multi-start Raw data'!$C$6:$C$2225=U$6)*('Multi-start Raw data'!$J$6:$J$2225="Fully converged"))</f>
        <v>2.532</v>
      </c>
      <c r="W42" s="6">
        <f t="shared" si="9"/>
        <v>2.532</v>
      </c>
      <c r="X42" s="6">
        <f t="shared" si="10"/>
        <v>2.5369999999999999</v>
      </c>
      <c r="Y42" s="6">
        <f t="shared" si="11"/>
        <v>2.5369999999999999</v>
      </c>
      <c r="Z42" s="6">
        <f t="shared" si="12"/>
        <v>2.5369999999999999</v>
      </c>
      <c r="AA42" s="6">
        <f t="shared" si="13"/>
        <v>2.5390000000000001</v>
      </c>
      <c r="AB42" s="6"/>
      <c r="AC42" s="6">
        <f t="shared" si="14"/>
        <v>4.9999999999998934E-3</v>
      </c>
      <c r="AD42" s="6">
        <f t="shared" si="15"/>
        <v>0</v>
      </c>
      <c r="AE42" s="6">
        <f t="shared" si="16"/>
        <v>0</v>
      </c>
      <c r="AF42" s="6">
        <f t="shared" si="17"/>
        <v>2.0000000000002238E-3</v>
      </c>
      <c r="AG42" s="6">
        <f t="shared" si="18"/>
        <v>0.27569909413155247</v>
      </c>
      <c r="AH42" s="6">
        <f t="shared" si="19"/>
        <v>7.877116975187963E-2</v>
      </c>
      <c r="AI42" s="6">
        <f t="shared" si="20"/>
        <v>7.877116975187963E-2</v>
      </c>
      <c r="AJ42" s="6">
        <f t="shared" si="21"/>
        <v>7.877116975187963E-2</v>
      </c>
      <c r="AK42" s="6">
        <f t="shared" si="22"/>
        <v>0</v>
      </c>
      <c r="AM42" s="16">
        <f t="shared" si="23"/>
        <v>0.1</v>
      </c>
    </row>
    <row r="43" spans="1:39" x14ac:dyDescent="0.3">
      <c r="A43" s="1" t="s">
        <v>1107</v>
      </c>
      <c r="B43">
        <f t="array" ref="B43">SUM('Multi-start Raw data'!$D$6:$D$2225*('Multi-start Raw data'!$B$6:$B$2225=$A43)*('Multi-start Raw data'!$C$6:$C$2225=B$6)*('Multi-start Raw data'!$J$6:$J$2225="Fully converged"))</f>
        <v>2.484</v>
      </c>
      <c r="C43">
        <f t="array" ref="C43">SUM('Multi-start Raw data'!$D$6:$D$2225*('Multi-start Raw data'!$B$6:$B$2225=$A43)*('Multi-start Raw data'!$C$6:$C$2225=C$6)*('Multi-start Raw data'!$J$6:$J$2225="Fully converged"))</f>
        <v>2.4830000000000001</v>
      </c>
      <c r="D43">
        <f t="array" ref="D43">SUM('Multi-start Raw data'!$D$6:$D$2225*('Multi-start Raw data'!$B$6:$B$2225=$A43)*('Multi-start Raw data'!$C$6:$C$2225=D$6)*('Multi-start Raw data'!$J$6:$J$2225="Fully converged"))</f>
        <v>0</v>
      </c>
      <c r="E43">
        <f t="array" ref="E43">SUM('Multi-start Raw data'!$D$6:$D$2225*('Multi-start Raw data'!$B$6:$B$2225=$A43)*('Multi-start Raw data'!$C$6:$C$2225=E$6)*('Multi-start Raw data'!$J$6:$J$2225="Fully converged"))</f>
        <v>2.464</v>
      </c>
      <c r="F43">
        <f t="array" ref="F43">SUM('Multi-start Raw data'!$D$6:$D$2225*('Multi-start Raw data'!$B$6:$B$2225=$A43)*('Multi-start Raw data'!$C$6:$C$2225=F$6)*('Multi-start Raw data'!$J$6:$J$2225="Fully converged"))</f>
        <v>2.4689999999999999</v>
      </c>
      <c r="G43">
        <f t="array" ref="G43">SUM('Multi-start Raw data'!$D$6:$D$2225*('Multi-start Raw data'!$B$6:$B$2225=$A43)*('Multi-start Raw data'!$C$6:$C$2225=G$6)*('Multi-start Raw data'!$J$6:$J$2225="Fully converged"))</f>
        <v>2.464</v>
      </c>
      <c r="H43">
        <f t="array" ref="H43">SUM('Multi-start Raw data'!$D$6:$D$2225*('Multi-start Raw data'!$B$6:$B$2225=$A43)*('Multi-start Raw data'!$C$6:$C$2225=H$6)*('Multi-start Raw data'!$J$6:$J$2225="Fully converged"))</f>
        <v>2.4900000000000002</v>
      </c>
      <c r="I43">
        <f t="array" ref="I43">SUM('Multi-start Raw data'!$D$6:$D$2225*('Multi-start Raw data'!$B$6:$B$2225=$A43)*('Multi-start Raw data'!$C$6:$C$2225=I$6)*('Multi-start Raw data'!$J$6:$J$2225="Fully converged"))</f>
        <v>0</v>
      </c>
      <c r="J43">
        <f t="array" ref="J43">SUM('Multi-start Raw data'!$D$6:$D$2225*('Multi-start Raw data'!$B$6:$B$2225=$A43)*('Multi-start Raw data'!$C$6:$C$2225=J$6)*('Multi-start Raw data'!$J$6:$J$2225="Fully converged"))</f>
        <v>2.4870000000000001</v>
      </c>
      <c r="K43">
        <f t="array" ref="K43">SUM('Multi-start Raw data'!$D$6:$D$2225*('Multi-start Raw data'!$B$6:$B$2225=$A43)*('Multi-start Raw data'!$C$6:$C$2225=K$6)*('Multi-start Raw data'!$J$6:$J$2225="Fully converged"))</f>
        <v>2.488</v>
      </c>
      <c r="L43">
        <f t="array" ref="L43">SUM('Multi-start Raw data'!$D$6:$D$2225*('Multi-start Raw data'!$B$6:$B$2225=$A43)*('Multi-start Raw data'!$C$6:$C$2225=L$6)*('Multi-start Raw data'!$J$6:$J$2225="Fully converged"))</f>
        <v>2.4830000000000001</v>
      </c>
      <c r="M43">
        <f t="array" ref="M43">SUM('Multi-start Raw data'!$D$6:$D$2225*('Multi-start Raw data'!$B$6:$B$2225=$A43)*('Multi-start Raw data'!$C$6:$C$2225=M$6)*('Multi-start Raw data'!$J$6:$J$2225="Fully converged"))</f>
        <v>2.4900000000000002</v>
      </c>
      <c r="N43">
        <f t="array" ref="N43">SUM('Multi-start Raw data'!$D$6:$D$2225*('Multi-start Raw data'!$B$6:$B$2225=$A43)*('Multi-start Raw data'!$C$6:$C$2225=N$6)*('Multi-start Raw data'!$J$6:$J$2225="Fully converged"))</f>
        <v>2.488</v>
      </c>
      <c r="O43">
        <f t="array" ref="O43">SUM('Multi-start Raw data'!$D$6:$D$2225*('Multi-start Raw data'!$B$6:$B$2225=$A43)*('Multi-start Raw data'!$C$6:$C$2225=O$6)*('Multi-start Raw data'!$J$6:$J$2225="Fully converged"))</f>
        <v>2.464</v>
      </c>
      <c r="P43">
        <f t="array" ref="P43">SUM('Multi-start Raw data'!$D$6:$D$2225*('Multi-start Raw data'!$B$6:$B$2225=$A43)*('Multi-start Raw data'!$C$6:$C$2225=P$6)*('Multi-start Raw data'!$J$6:$J$2225="Fully converged"))</f>
        <v>2.4900000000000002</v>
      </c>
      <c r="Q43">
        <f t="array" ref="Q43">SUM('Multi-start Raw data'!$D$6:$D$2225*('Multi-start Raw data'!$B$6:$B$2225=$A43)*('Multi-start Raw data'!$C$6:$C$2225=Q$6)*('Multi-start Raw data'!$J$6:$J$2225="Fully converged"))</f>
        <v>2.4849999999999999</v>
      </c>
      <c r="R43">
        <f t="array" ref="R43">SUM('Multi-start Raw data'!$D$6:$D$2225*('Multi-start Raw data'!$B$6:$B$2225=$A43)*('Multi-start Raw data'!$C$6:$C$2225=R$6)*('Multi-start Raw data'!$J$6:$J$2225="Fully converged"))</f>
        <v>0</v>
      </c>
      <c r="S43">
        <f t="array" ref="S43">SUM('Multi-start Raw data'!$D$6:$D$2225*('Multi-start Raw data'!$B$6:$B$2225=$A43)*('Multi-start Raw data'!$C$6:$C$2225=S$6)*('Multi-start Raw data'!$J$6:$J$2225="Fully converged"))</f>
        <v>2.488</v>
      </c>
      <c r="T43">
        <f t="array" ref="T43">SUM('Multi-start Raw data'!$D$6:$D$2225*('Multi-start Raw data'!$B$6:$B$2225=$A43)*('Multi-start Raw data'!$C$6:$C$2225=T$6)*('Multi-start Raw data'!$J$6:$J$2225="Fully converged"))</f>
        <v>2.4900000000000002</v>
      </c>
      <c r="U43">
        <f t="array" ref="U43">SUM('Multi-start Raw data'!$D$6:$D$2225*('Multi-start Raw data'!$B$6:$B$2225=$A43)*('Multi-start Raw data'!$C$6:$C$2225=U$6)*('Multi-start Raw data'!$J$6:$J$2225="Fully converged"))</f>
        <v>2.488</v>
      </c>
      <c r="W43" s="6">
        <f t="shared" si="9"/>
        <v>2.484</v>
      </c>
      <c r="X43" s="6">
        <f t="shared" si="10"/>
        <v>2.4900000000000002</v>
      </c>
      <c r="Y43" s="6">
        <f t="shared" si="11"/>
        <v>2.4900000000000002</v>
      </c>
      <c r="Z43" s="6">
        <f t="shared" si="12"/>
        <v>2.4900000000000002</v>
      </c>
      <c r="AA43" s="6">
        <f t="shared" si="13"/>
        <v>2.4900000000000002</v>
      </c>
      <c r="AB43" s="6"/>
      <c r="AC43" s="6">
        <f t="shared" si="14"/>
        <v>6.0000000000002274E-3</v>
      </c>
      <c r="AD43" s="6">
        <f t="shared" si="15"/>
        <v>0</v>
      </c>
      <c r="AE43" s="6">
        <f t="shared" si="16"/>
        <v>0</v>
      </c>
      <c r="AF43" s="6">
        <f t="shared" si="17"/>
        <v>0</v>
      </c>
      <c r="AG43" s="6">
        <f t="shared" si="18"/>
        <v>0.24096385542169588</v>
      </c>
      <c r="AH43" s="6">
        <f t="shared" si="19"/>
        <v>0</v>
      </c>
      <c r="AI43" s="6">
        <f t="shared" si="20"/>
        <v>0</v>
      </c>
      <c r="AJ43" s="6">
        <f t="shared" si="21"/>
        <v>0</v>
      </c>
      <c r="AK43" s="6">
        <f t="shared" si="22"/>
        <v>0</v>
      </c>
      <c r="AM43" s="16">
        <f t="shared" si="23"/>
        <v>0.1</v>
      </c>
    </row>
    <row r="44" spans="1:39" x14ac:dyDescent="0.3">
      <c r="A44" s="1" t="s">
        <v>1132</v>
      </c>
      <c r="B44">
        <f t="array" ref="B44">SUM('Multi-start Raw data'!$D$6:$D$2225*('Multi-start Raw data'!$B$6:$B$2225=$A44)*('Multi-start Raw data'!$C$6:$C$2225=B$6)*('Multi-start Raw data'!$J$6:$J$2225="Fully converged"))</f>
        <v>2.544</v>
      </c>
      <c r="C44">
        <f t="array" ref="C44">SUM('Multi-start Raw data'!$D$6:$D$2225*('Multi-start Raw data'!$B$6:$B$2225=$A44)*('Multi-start Raw data'!$C$6:$C$2225=C$6)*('Multi-start Raw data'!$J$6:$J$2225="Fully converged"))</f>
        <v>2.544</v>
      </c>
      <c r="D44">
        <f t="array" ref="D44">SUM('Multi-start Raw data'!$D$6:$D$2225*('Multi-start Raw data'!$B$6:$B$2225=$A44)*('Multi-start Raw data'!$C$6:$C$2225=D$6)*('Multi-start Raw data'!$J$6:$J$2225="Fully converged"))</f>
        <v>2.544</v>
      </c>
      <c r="E44">
        <f t="array" ref="E44">SUM('Multi-start Raw data'!$D$6:$D$2225*('Multi-start Raw data'!$B$6:$B$2225=$A44)*('Multi-start Raw data'!$C$6:$C$2225=E$6)*('Multi-start Raw data'!$J$6:$J$2225="Fully converged"))</f>
        <v>2.544</v>
      </c>
      <c r="F44">
        <f t="array" ref="F44">SUM('Multi-start Raw data'!$D$6:$D$2225*('Multi-start Raw data'!$B$6:$B$2225=$A44)*('Multi-start Raw data'!$C$6:$C$2225=F$6)*('Multi-start Raw data'!$J$6:$J$2225="Fully converged"))</f>
        <v>2.544</v>
      </c>
      <c r="G44">
        <f t="array" ref="G44">SUM('Multi-start Raw data'!$D$6:$D$2225*('Multi-start Raw data'!$B$6:$B$2225=$A44)*('Multi-start Raw data'!$C$6:$C$2225=G$6)*('Multi-start Raw data'!$J$6:$J$2225="Fully converged"))</f>
        <v>2.5430000000000001</v>
      </c>
      <c r="H44">
        <f t="array" ref="H44">SUM('Multi-start Raw data'!$D$6:$D$2225*('Multi-start Raw data'!$B$6:$B$2225=$A44)*('Multi-start Raw data'!$C$6:$C$2225=H$6)*('Multi-start Raw data'!$J$6:$J$2225="Fully converged"))</f>
        <v>2.5289999999999999</v>
      </c>
      <c r="I44">
        <f t="array" ref="I44">SUM('Multi-start Raw data'!$D$6:$D$2225*('Multi-start Raw data'!$B$6:$B$2225=$A44)*('Multi-start Raw data'!$C$6:$C$2225=I$6)*('Multi-start Raw data'!$J$6:$J$2225="Fully converged"))</f>
        <v>2.544</v>
      </c>
      <c r="J44">
        <f t="array" ref="J44">SUM('Multi-start Raw data'!$D$6:$D$2225*('Multi-start Raw data'!$B$6:$B$2225=$A44)*('Multi-start Raw data'!$C$6:$C$2225=J$6)*('Multi-start Raw data'!$J$6:$J$2225="Fully converged"))</f>
        <v>2.544</v>
      </c>
      <c r="K44">
        <f t="array" ref="K44">SUM('Multi-start Raw data'!$D$6:$D$2225*('Multi-start Raw data'!$B$6:$B$2225=$A44)*('Multi-start Raw data'!$C$6:$C$2225=K$6)*('Multi-start Raw data'!$J$6:$J$2225="Fully converged"))</f>
        <v>2.5209999999999999</v>
      </c>
      <c r="L44">
        <f t="array" ref="L44">SUM('Multi-start Raw data'!$D$6:$D$2225*('Multi-start Raw data'!$B$6:$B$2225=$A44)*('Multi-start Raw data'!$C$6:$C$2225=L$6)*('Multi-start Raw data'!$J$6:$J$2225="Fully converged"))</f>
        <v>2.544</v>
      </c>
      <c r="M44">
        <f t="array" ref="M44">SUM('Multi-start Raw data'!$D$6:$D$2225*('Multi-start Raw data'!$B$6:$B$2225=$A44)*('Multi-start Raw data'!$C$6:$C$2225=M$6)*('Multi-start Raw data'!$J$6:$J$2225="Fully converged"))</f>
        <v>2.544</v>
      </c>
      <c r="N44">
        <f t="array" ref="N44">SUM('Multi-start Raw data'!$D$6:$D$2225*('Multi-start Raw data'!$B$6:$B$2225=$A44)*('Multi-start Raw data'!$C$6:$C$2225=N$6)*('Multi-start Raw data'!$J$6:$J$2225="Fully converged"))</f>
        <v>2.524</v>
      </c>
      <c r="O44">
        <f t="array" ref="O44">SUM('Multi-start Raw data'!$D$6:$D$2225*('Multi-start Raw data'!$B$6:$B$2225=$A44)*('Multi-start Raw data'!$C$6:$C$2225=O$6)*('Multi-start Raw data'!$J$6:$J$2225="Fully converged"))</f>
        <v>2.544</v>
      </c>
      <c r="P44">
        <f t="array" ref="P44">SUM('Multi-start Raw data'!$D$6:$D$2225*('Multi-start Raw data'!$B$6:$B$2225=$A44)*('Multi-start Raw data'!$C$6:$C$2225=P$6)*('Multi-start Raw data'!$J$6:$J$2225="Fully converged"))</f>
        <v>2.5219999999999998</v>
      </c>
      <c r="Q44">
        <f t="array" ref="Q44">SUM('Multi-start Raw data'!$D$6:$D$2225*('Multi-start Raw data'!$B$6:$B$2225=$A44)*('Multi-start Raw data'!$C$6:$C$2225=Q$6)*('Multi-start Raw data'!$J$6:$J$2225="Fully converged"))</f>
        <v>2.544</v>
      </c>
      <c r="R44">
        <f t="array" ref="R44">SUM('Multi-start Raw data'!$D$6:$D$2225*('Multi-start Raw data'!$B$6:$B$2225=$A44)*('Multi-start Raw data'!$C$6:$C$2225=R$6)*('Multi-start Raw data'!$J$6:$J$2225="Fully converged"))</f>
        <v>2.5409999999999999</v>
      </c>
      <c r="S44">
        <f t="array" ref="S44">SUM('Multi-start Raw data'!$D$6:$D$2225*('Multi-start Raw data'!$B$6:$B$2225=$A44)*('Multi-start Raw data'!$C$6:$C$2225=S$6)*('Multi-start Raw data'!$J$6:$J$2225="Fully converged"))</f>
        <v>2.544</v>
      </c>
      <c r="T44">
        <f t="array" ref="T44">SUM('Multi-start Raw data'!$D$6:$D$2225*('Multi-start Raw data'!$B$6:$B$2225=$A44)*('Multi-start Raw data'!$C$6:$C$2225=T$6)*('Multi-start Raw data'!$J$6:$J$2225="Fully converged"))</f>
        <v>2.5390000000000001</v>
      </c>
      <c r="U44">
        <f t="array" ref="U44">SUM('Multi-start Raw data'!$D$6:$D$2225*('Multi-start Raw data'!$B$6:$B$2225=$A44)*('Multi-start Raw data'!$C$6:$C$2225=U$6)*('Multi-start Raw data'!$J$6:$J$2225="Fully converged"))</f>
        <v>2.544</v>
      </c>
      <c r="W44" s="6">
        <f t="shared" si="9"/>
        <v>2.544</v>
      </c>
      <c r="X44" s="6">
        <f t="shared" si="10"/>
        <v>2.544</v>
      </c>
      <c r="Y44" s="6">
        <f t="shared" si="11"/>
        <v>2.544</v>
      </c>
      <c r="Z44" s="6">
        <f t="shared" si="12"/>
        <v>2.544</v>
      </c>
      <c r="AA44" s="6">
        <f t="shared" si="13"/>
        <v>2.544</v>
      </c>
      <c r="AB44" s="6"/>
      <c r="AC44" s="6">
        <f t="shared" si="14"/>
        <v>0</v>
      </c>
      <c r="AD44" s="6">
        <f t="shared" si="15"/>
        <v>0</v>
      </c>
      <c r="AE44" s="6">
        <f t="shared" si="16"/>
        <v>0</v>
      </c>
      <c r="AF44" s="6">
        <f t="shared" si="17"/>
        <v>0</v>
      </c>
      <c r="AG44" s="6">
        <f t="shared" si="18"/>
        <v>0</v>
      </c>
      <c r="AH44" s="6">
        <f t="shared" si="19"/>
        <v>0</v>
      </c>
      <c r="AI44" s="6">
        <f t="shared" si="20"/>
        <v>0</v>
      </c>
      <c r="AJ44" s="6">
        <f t="shared" si="21"/>
        <v>0</v>
      </c>
      <c r="AK44" s="6">
        <f t="shared" si="22"/>
        <v>0</v>
      </c>
      <c r="AM44" s="16">
        <f t="shared" si="23"/>
        <v>0.1</v>
      </c>
    </row>
    <row r="45" spans="1:39" x14ac:dyDescent="0.3">
      <c r="A45" s="1" t="s">
        <v>1151</v>
      </c>
      <c r="B45">
        <f t="array" ref="B45">SUM('Multi-start Raw data'!$D$6:$D$2225*('Multi-start Raw data'!$B$6:$B$2225=$A45)*('Multi-start Raw data'!$C$6:$C$2225=B$6)*('Multi-start Raw data'!$J$6:$J$2225="Fully converged"))</f>
        <v>2.4940000000000002</v>
      </c>
      <c r="C45">
        <f t="array" ref="C45">SUM('Multi-start Raw data'!$D$6:$D$2225*('Multi-start Raw data'!$B$6:$B$2225=$A45)*('Multi-start Raw data'!$C$6:$C$2225=C$6)*('Multi-start Raw data'!$J$6:$J$2225="Fully converged"))</f>
        <v>2.4940000000000002</v>
      </c>
      <c r="D45">
        <f t="array" ref="D45">SUM('Multi-start Raw data'!$D$6:$D$2225*('Multi-start Raw data'!$B$6:$B$2225=$A45)*('Multi-start Raw data'!$C$6:$C$2225=D$6)*('Multi-start Raw data'!$J$6:$J$2225="Fully converged"))</f>
        <v>2.4780000000000002</v>
      </c>
      <c r="E45">
        <f t="array" ref="E45">SUM('Multi-start Raw data'!$D$6:$D$2225*('Multi-start Raw data'!$B$6:$B$2225=$A45)*('Multi-start Raw data'!$C$6:$C$2225=E$6)*('Multi-start Raw data'!$J$6:$J$2225="Fully converged"))</f>
        <v>2.4940000000000002</v>
      </c>
      <c r="F45">
        <f t="array" ref="F45">SUM('Multi-start Raw data'!$D$6:$D$2225*('Multi-start Raw data'!$B$6:$B$2225=$A45)*('Multi-start Raw data'!$C$6:$C$2225=F$6)*('Multi-start Raw data'!$J$6:$J$2225="Fully converged"))</f>
        <v>2.4729999999999999</v>
      </c>
      <c r="G45">
        <f t="array" ref="G45">SUM('Multi-start Raw data'!$D$6:$D$2225*('Multi-start Raw data'!$B$6:$B$2225=$A45)*('Multi-start Raw data'!$C$6:$C$2225=G$6)*('Multi-start Raw data'!$J$6:$J$2225="Fully converged"))</f>
        <v>2.4940000000000002</v>
      </c>
      <c r="H45">
        <f t="array" ref="H45">SUM('Multi-start Raw data'!$D$6:$D$2225*('Multi-start Raw data'!$B$6:$B$2225=$A45)*('Multi-start Raw data'!$C$6:$C$2225=H$6)*('Multi-start Raw data'!$J$6:$J$2225="Fully converged"))</f>
        <v>2.4969999999999999</v>
      </c>
      <c r="I45">
        <f t="array" ref="I45">SUM('Multi-start Raw data'!$D$6:$D$2225*('Multi-start Raw data'!$B$6:$B$2225=$A45)*('Multi-start Raw data'!$C$6:$C$2225=I$6)*('Multi-start Raw data'!$J$6:$J$2225="Fully converged"))</f>
        <v>2.4969999999999999</v>
      </c>
      <c r="J45">
        <f t="array" ref="J45">SUM('Multi-start Raw data'!$D$6:$D$2225*('Multi-start Raw data'!$B$6:$B$2225=$A45)*('Multi-start Raw data'!$C$6:$C$2225=J$6)*('Multi-start Raw data'!$J$6:$J$2225="Fully converged"))</f>
        <v>2.472</v>
      </c>
      <c r="K45">
        <f t="array" ref="K45">SUM('Multi-start Raw data'!$D$6:$D$2225*('Multi-start Raw data'!$B$6:$B$2225=$A45)*('Multi-start Raw data'!$C$6:$C$2225=K$6)*('Multi-start Raw data'!$J$6:$J$2225="Fully converged"))</f>
        <v>2.4940000000000002</v>
      </c>
      <c r="L45">
        <f t="array" ref="L45">SUM('Multi-start Raw data'!$D$6:$D$2225*('Multi-start Raw data'!$B$6:$B$2225=$A45)*('Multi-start Raw data'!$C$6:$C$2225=L$6)*('Multi-start Raw data'!$J$6:$J$2225="Fully converged"))</f>
        <v>2.4940000000000002</v>
      </c>
      <c r="M45">
        <f t="array" ref="M45">SUM('Multi-start Raw data'!$D$6:$D$2225*('Multi-start Raw data'!$B$6:$B$2225=$A45)*('Multi-start Raw data'!$C$6:$C$2225=M$6)*('Multi-start Raw data'!$J$6:$J$2225="Fully converged"))</f>
        <v>2.4969999999999999</v>
      </c>
      <c r="N45">
        <f t="array" ref="N45">SUM('Multi-start Raw data'!$D$6:$D$2225*('Multi-start Raw data'!$B$6:$B$2225=$A45)*('Multi-start Raw data'!$C$6:$C$2225=N$6)*('Multi-start Raw data'!$J$6:$J$2225="Fully converged"))</f>
        <v>2.4780000000000002</v>
      </c>
      <c r="O45">
        <f t="array" ref="O45">SUM('Multi-start Raw data'!$D$6:$D$2225*('Multi-start Raw data'!$B$6:$B$2225=$A45)*('Multi-start Raw data'!$C$6:$C$2225=O$6)*('Multi-start Raw data'!$J$6:$J$2225="Fully converged"))</f>
        <v>2.4940000000000002</v>
      </c>
      <c r="P45">
        <f t="array" ref="P45">SUM('Multi-start Raw data'!$D$6:$D$2225*('Multi-start Raw data'!$B$6:$B$2225=$A45)*('Multi-start Raw data'!$C$6:$C$2225=P$6)*('Multi-start Raw data'!$J$6:$J$2225="Fully converged"))</f>
        <v>2.4969999999999999</v>
      </c>
      <c r="Q45">
        <f t="array" ref="Q45">SUM('Multi-start Raw data'!$D$6:$D$2225*('Multi-start Raw data'!$B$6:$B$2225=$A45)*('Multi-start Raw data'!$C$6:$C$2225=Q$6)*('Multi-start Raw data'!$J$6:$J$2225="Fully converged"))</f>
        <v>2.4969999999999999</v>
      </c>
      <c r="R45">
        <f t="array" ref="R45">SUM('Multi-start Raw data'!$D$6:$D$2225*('Multi-start Raw data'!$B$6:$B$2225=$A45)*('Multi-start Raw data'!$C$6:$C$2225=R$6)*('Multi-start Raw data'!$J$6:$J$2225="Fully converged"))</f>
        <v>2.4910000000000001</v>
      </c>
      <c r="S45">
        <f t="array" ref="S45">SUM('Multi-start Raw data'!$D$6:$D$2225*('Multi-start Raw data'!$B$6:$B$2225=$A45)*('Multi-start Raw data'!$C$6:$C$2225=S$6)*('Multi-start Raw data'!$J$6:$J$2225="Fully converged"))</f>
        <v>2.48</v>
      </c>
      <c r="T45">
        <f t="array" ref="T45">SUM('Multi-start Raw data'!$D$6:$D$2225*('Multi-start Raw data'!$B$6:$B$2225=$A45)*('Multi-start Raw data'!$C$6:$C$2225=T$6)*('Multi-start Raw data'!$J$6:$J$2225="Fully converged"))</f>
        <v>2.4929999999999999</v>
      </c>
      <c r="U45">
        <f t="array" ref="U45">SUM('Multi-start Raw data'!$D$6:$D$2225*('Multi-start Raw data'!$B$6:$B$2225=$A45)*('Multi-start Raw data'!$C$6:$C$2225=U$6)*('Multi-start Raw data'!$J$6:$J$2225="Fully converged"))</f>
        <v>0</v>
      </c>
      <c r="W45" s="6">
        <f t="shared" si="9"/>
        <v>2.4940000000000002</v>
      </c>
      <c r="X45" s="6">
        <f t="shared" si="10"/>
        <v>2.4969999999999999</v>
      </c>
      <c r="Y45" s="6">
        <f t="shared" si="11"/>
        <v>2.4969999999999999</v>
      </c>
      <c r="Z45" s="6">
        <f t="shared" si="12"/>
        <v>2.4969999999999999</v>
      </c>
      <c r="AA45" s="6">
        <f t="shared" si="13"/>
        <v>2.4969999999999999</v>
      </c>
      <c r="AB45" s="6"/>
      <c r="AC45" s="6">
        <f t="shared" si="14"/>
        <v>2.9999999999996696E-3</v>
      </c>
      <c r="AD45" s="6">
        <f t="shared" si="15"/>
        <v>0</v>
      </c>
      <c r="AE45" s="6">
        <f t="shared" si="16"/>
        <v>0</v>
      </c>
      <c r="AF45" s="6">
        <f t="shared" si="17"/>
        <v>0</v>
      </c>
      <c r="AG45" s="6">
        <f t="shared" si="18"/>
        <v>0.1201441730075959</v>
      </c>
      <c r="AH45" s="6">
        <f t="shared" si="19"/>
        <v>0</v>
      </c>
      <c r="AI45" s="6">
        <f t="shared" si="20"/>
        <v>0</v>
      </c>
      <c r="AJ45" s="6">
        <f t="shared" si="21"/>
        <v>0</v>
      </c>
      <c r="AK45" s="6">
        <f t="shared" si="22"/>
        <v>0</v>
      </c>
      <c r="AM45" s="16">
        <f t="shared" si="23"/>
        <v>0.1</v>
      </c>
    </row>
    <row r="46" spans="1:39" x14ac:dyDescent="0.3">
      <c r="A46" s="1" t="s">
        <v>1168</v>
      </c>
      <c r="B46">
        <f t="array" ref="B46">SUM('Multi-start Raw data'!$D$6:$D$2225*('Multi-start Raw data'!$B$6:$B$2225=$A46)*('Multi-start Raw data'!$C$6:$C$2225=B$6)*('Multi-start Raw data'!$J$6:$J$2225="Fully converged"))</f>
        <v>2.5579999999999998</v>
      </c>
      <c r="C46">
        <f t="array" ref="C46">SUM('Multi-start Raw data'!$D$6:$D$2225*('Multi-start Raw data'!$B$6:$B$2225=$A46)*('Multi-start Raw data'!$C$6:$C$2225=C$6)*('Multi-start Raw data'!$J$6:$J$2225="Fully converged"))</f>
        <v>2.548</v>
      </c>
      <c r="D46">
        <f t="array" ref="D46">SUM('Multi-start Raw data'!$D$6:$D$2225*('Multi-start Raw data'!$B$6:$B$2225=$A46)*('Multi-start Raw data'!$C$6:$C$2225=D$6)*('Multi-start Raw data'!$J$6:$J$2225="Fully converged"))</f>
        <v>0</v>
      </c>
      <c r="E46">
        <f t="array" ref="E46">SUM('Multi-start Raw data'!$D$6:$D$2225*('Multi-start Raw data'!$B$6:$B$2225=$A46)*('Multi-start Raw data'!$C$6:$C$2225=E$6)*('Multi-start Raw data'!$J$6:$J$2225="Fully converged"))</f>
        <v>2.5529999999999999</v>
      </c>
      <c r="F46">
        <f t="array" ref="F46">SUM('Multi-start Raw data'!$D$6:$D$2225*('Multi-start Raw data'!$B$6:$B$2225=$A46)*('Multi-start Raw data'!$C$6:$C$2225=F$6)*('Multi-start Raw data'!$J$6:$J$2225="Fully converged"))</f>
        <v>2.5539999999999998</v>
      </c>
      <c r="G46">
        <f t="array" ref="G46">SUM('Multi-start Raw data'!$D$6:$D$2225*('Multi-start Raw data'!$B$6:$B$2225=$A46)*('Multi-start Raw data'!$C$6:$C$2225=G$6)*('Multi-start Raw data'!$J$6:$J$2225="Fully converged"))</f>
        <v>2.5550000000000002</v>
      </c>
      <c r="H46">
        <f t="array" ref="H46">SUM('Multi-start Raw data'!$D$6:$D$2225*('Multi-start Raw data'!$B$6:$B$2225=$A46)*('Multi-start Raw data'!$C$6:$C$2225=H$6)*('Multi-start Raw data'!$J$6:$J$2225="Fully converged"))</f>
        <v>2.5579999999999998</v>
      </c>
      <c r="I46">
        <f t="array" ref="I46">SUM('Multi-start Raw data'!$D$6:$D$2225*('Multi-start Raw data'!$B$6:$B$2225=$A46)*('Multi-start Raw data'!$C$6:$C$2225=I$6)*('Multi-start Raw data'!$J$6:$J$2225="Fully converged"))</f>
        <v>2.5510000000000002</v>
      </c>
      <c r="J46">
        <f t="array" ref="J46">SUM('Multi-start Raw data'!$D$6:$D$2225*('Multi-start Raw data'!$B$6:$B$2225=$A46)*('Multi-start Raw data'!$C$6:$C$2225=J$6)*('Multi-start Raw data'!$J$6:$J$2225="Fully converged"))</f>
        <v>2.5539999999999998</v>
      </c>
      <c r="K46">
        <f t="array" ref="K46">SUM('Multi-start Raw data'!$D$6:$D$2225*('Multi-start Raw data'!$B$6:$B$2225=$A46)*('Multi-start Raw data'!$C$6:$C$2225=K$6)*('Multi-start Raw data'!$J$6:$J$2225="Fully converged"))</f>
        <v>2.5249999999999999</v>
      </c>
      <c r="L46">
        <f t="array" ref="L46">SUM('Multi-start Raw data'!$D$6:$D$2225*('Multi-start Raw data'!$B$6:$B$2225=$A46)*('Multi-start Raw data'!$C$6:$C$2225=L$6)*('Multi-start Raw data'!$J$6:$J$2225="Fully converged"))</f>
        <v>2.5510000000000002</v>
      </c>
      <c r="M46">
        <f t="array" ref="M46">SUM('Multi-start Raw data'!$D$6:$D$2225*('Multi-start Raw data'!$B$6:$B$2225=$A46)*('Multi-start Raw data'!$C$6:$C$2225=M$6)*('Multi-start Raw data'!$J$6:$J$2225="Fully converged"))</f>
        <v>2.536</v>
      </c>
      <c r="N46">
        <f t="array" ref="N46">SUM('Multi-start Raw data'!$D$6:$D$2225*('Multi-start Raw data'!$B$6:$B$2225=$A46)*('Multi-start Raw data'!$C$6:$C$2225=N$6)*('Multi-start Raw data'!$J$6:$J$2225="Fully converged"))</f>
        <v>2.5579999999999998</v>
      </c>
      <c r="O46">
        <f t="array" ref="O46">SUM('Multi-start Raw data'!$D$6:$D$2225*('Multi-start Raw data'!$B$6:$B$2225=$A46)*('Multi-start Raw data'!$C$6:$C$2225=O$6)*('Multi-start Raw data'!$J$6:$J$2225="Fully converged"))</f>
        <v>2.5529999999999999</v>
      </c>
      <c r="P46">
        <f t="array" ref="P46">SUM('Multi-start Raw data'!$D$6:$D$2225*('Multi-start Raw data'!$B$6:$B$2225=$A46)*('Multi-start Raw data'!$C$6:$C$2225=P$6)*('Multi-start Raw data'!$J$6:$J$2225="Fully converged"))</f>
        <v>0</v>
      </c>
      <c r="Q46">
        <f t="array" ref="Q46">SUM('Multi-start Raw data'!$D$6:$D$2225*('Multi-start Raw data'!$B$6:$B$2225=$A46)*('Multi-start Raw data'!$C$6:$C$2225=Q$6)*('Multi-start Raw data'!$J$6:$J$2225="Fully converged"))</f>
        <v>2.4790000000000001</v>
      </c>
      <c r="R46">
        <f t="array" ref="R46">SUM('Multi-start Raw data'!$D$6:$D$2225*('Multi-start Raw data'!$B$6:$B$2225=$A46)*('Multi-start Raw data'!$C$6:$C$2225=R$6)*('Multi-start Raw data'!$J$6:$J$2225="Fully converged"))</f>
        <v>2.5529999999999999</v>
      </c>
      <c r="S46">
        <f t="array" ref="S46">SUM('Multi-start Raw data'!$D$6:$D$2225*('Multi-start Raw data'!$B$6:$B$2225=$A46)*('Multi-start Raw data'!$C$6:$C$2225=S$6)*('Multi-start Raw data'!$J$6:$J$2225="Fully converged"))</f>
        <v>2.556</v>
      </c>
      <c r="T46">
        <f t="array" ref="T46">SUM('Multi-start Raw data'!$D$6:$D$2225*('Multi-start Raw data'!$B$6:$B$2225=$A46)*('Multi-start Raw data'!$C$6:$C$2225=T$6)*('Multi-start Raw data'!$J$6:$J$2225="Fully converged"))</f>
        <v>2.552</v>
      </c>
      <c r="U46">
        <f t="array" ref="U46">SUM('Multi-start Raw data'!$D$6:$D$2225*('Multi-start Raw data'!$B$6:$B$2225=$A46)*('Multi-start Raw data'!$C$6:$C$2225=U$6)*('Multi-start Raw data'!$J$6:$J$2225="Fully converged"))</f>
        <v>2.552</v>
      </c>
      <c r="W46" s="6">
        <f t="shared" si="9"/>
        <v>2.5579999999999998</v>
      </c>
      <c r="X46" s="6">
        <f t="shared" si="10"/>
        <v>2.5579999999999998</v>
      </c>
      <c r="Y46" s="6">
        <f t="shared" si="11"/>
        <v>2.5579999999999998</v>
      </c>
      <c r="Z46" s="6">
        <f t="shared" si="12"/>
        <v>2.5579999999999998</v>
      </c>
      <c r="AA46" s="6">
        <f t="shared" si="13"/>
        <v>2.5579999999999998</v>
      </c>
      <c r="AB46" s="6"/>
      <c r="AC46" s="6">
        <f t="shared" si="14"/>
        <v>0</v>
      </c>
      <c r="AD46" s="6">
        <f t="shared" si="15"/>
        <v>0</v>
      </c>
      <c r="AE46" s="6">
        <f t="shared" si="16"/>
        <v>0</v>
      </c>
      <c r="AF46" s="6">
        <f t="shared" si="17"/>
        <v>0</v>
      </c>
      <c r="AG46" s="6">
        <f t="shared" si="18"/>
        <v>0</v>
      </c>
      <c r="AH46" s="6">
        <f t="shared" si="19"/>
        <v>0</v>
      </c>
      <c r="AI46" s="6">
        <f t="shared" si="20"/>
        <v>0</v>
      </c>
      <c r="AJ46" s="6">
        <f t="shared" si="21"/>
        <v>0</v>
      </c>
      <c r="AK46" s="6">
        <f t="shared" si="22"/>
        <v>0</v>
      </c>
      <c r="AM46" s="16">
        <f t="shared" si="23"/>
        <v>0.1</v>
      </c>
    </row>
    <row r="47" spans="1:39" x14ac:dyDescent="0.3">
      <c r="A47" s="1" t="s">
        <v>1193</v>
      </c>
      <c r="B47">
        <f t="array" ref="B47">SUM('Multi-start Raw data'!$D$6:$D$2225*('Multi-start Raw data'!$B$6:$B$2225=$A47)*('Multi-start Raw data'!$C$6:$C$2225=B$6)*('Multi-start Raw data'!$J$6:$J$2225="Fully converged"))</f>
        <v>2.5</v>
      </c>
      <c r="C47">
        <f t="array" ref="C47">SUM('Multi-start Raw data'!$D$6:$D$2225*('Multi-start Raw data'!$B$6:$B$2225=$A47)*('Multi-start Raw data'!$C$6:$C$2225=C$6)*('Multi-start Raw data'!$J$6:$J$2225="Fully converged"))</f>
        <v>2.4990000000000001</v>
      </c>
      <c r="D47">
        <f t="array" ref="D47">SUM('Multi-start Raw data'!$D$6:$D$2225*('Multi-start Raw data'!$B$6:$B$2225=$A47)*('Multi-start Raw data'!$C$6:$C$2225=D$6)*('Multi-start Raw data'!$J$6:$J$2225="Fully converged"))</f>
        <v>2.5</v>
      </c>
      <c r="E47">
        <f t="array" ref="E47">SUM('Multi-start Raw data'!$D$6:$D$2225*('Multi-start Raw data'!$B$6:$B$2225=$A47)*('Multi-start Raw data'!$C$6:$C$2225=E$6)*('Multi-start Raw data'!$J$6:$J$2225="Fully converged"))</f>
        <v>2.4990000000000001</v>
      </c>
      <c r="F47">
        <f t="array" ref="F47">SUM('Multi-start Raw data'!$D$6:$D$2225*('Multi-start Raw data'!$B$6:$B$2225=$A47)*('Multi-start Raw data'!$C$6:$C$2225=F$6)*('Multi-start Raw data'!$J$6:$J$2225="Fully converged"))</f>
        <v>2.4849999999999999</v>
      </c>
      <c r="G47">
        <f t="array" ref="G47">SUM('Multi-start Raw data'!$D$6:$D$2225*('Multi-start Raw data'!$B$6:$B$2225=$A47)*('Multi-start Raw data'!$C$6:$C$2225=G$6)*('Multi-start Raw data'!$J$6:$J$2225="Fully converged"))</f>
        <v>2.4790000000000001</v>
      </c>
      <c r="H47">
        <f t="array" ref="H47">SUM('Multi-start Raw data'!$D$6:$D$2225*('Multi-start Raw data'!$B$6:$B$2225=$A47)*('Multi-start Raw data'!$C$6:$C$2225=H$6)*('Multi-start Raw data'!$J$6:$J$2225="Fully converged"))</f>
        <v>2.4980000000000002</v>
      </c>
      <c r="I47">
        <f t="array" ref="I47">SUM('Multi-start Raw data'!$D$6:$D$2225*('Multi-start Raw data'!$B$6:$B$2225=$A47)*('Multi-start Raw data'!$C$6:$C$2225=I$6)*('Multi-start Raw data'!$J$6:$J$2225="Fully converged"))</f>
        <v>2.4950000000000001</v>
      </c>
      <c r="J47">
        <f t="array" ref="J47">SUM('Multi-start Raw data'!$D$6:$D$2225*('Multi-start Raw data'!$B$6:$B$2225=$A47)*('Multi-start Raw data'!$C$6:$C$2225=J$6)*('Multi-start Raw data'!$J$6:$J$2225="Fully converged"))</f>
        <v>2.4980000000000002</v>
      </c>
      <c r="K47">
        <f t="array" ref="K47">SUM('Multi-start Raw data'!$D$6:$D$2225*('Multi-start Raw data'!$B$6:$B$2225=$A47)*('Multi-start Raw data'!$C$6:$C$2225=K$6)*('Multi-start Raw data'!$J$6:$J$2225="Fully converged"))</f>
        <v>2.5</v>
      </c>
      <c r="L47">
        <f t="array" ref="L47">SUM('Multi-start Raw data'!$D$6:$D$2225*('Multi-start Raw data'!$B$6:$B$2225=$A47)*('Multi-start Raw data'!$C$6:$C$2225=L$6)*('Multi-start Raw data'!$J$6:$J$2225="Fully converged"))</f>
        <v>2.5</v>
      </c>
      <c r="M47">
        <f t="array" ref="M47">SUM('Multi-start Raw data'!$D$6:$D$2225*('Multi-start Raw data'!$B$6:$B$2225=$A47)*('Multi-start Raw data'!$C$6:$C$2225=M$6)*('Multi-start Raw data'!$J$6:$J$2225="Fully converged"))</f>
        <v>2.484</v>
      </c>
      <c r="N47">
        <f t="array" ref="N47">SUM('Multi-start Raw data'!$D$6:$D$2225*('Multi-start Raw data'!$B$6:$B$2225=$A47)*('Multi-start Raw data'!$C$6:$C$2225=N$6)*('Multi-start Raw data'!$J$6:$J$2225="Fully converged"))</f>
        <v>2.4849999999999999</v>
      </c>
      <c r="O47">
        <f t="array" ref="O47">SUM('Multi-start Raw data'!$D$6:$D$2225*('Multi-start Raw data'!$B$6:$B$2225=$A47)*('Multi-start Raw data'!$C$6:$C$2225=O$6)*('Multi-start Raw data'!$J$6:$J$2225="Fully converged"))</f>
        <v>2.48</v>
      </c>
      <c r="P47">
        <f t="array" ref="P47">SUM('Multi-start Raw data'!$D$6:$D$2225*('Multi-start Raw data'!$B$6:$B$2225=$A47)*('Multi-start Raw data'!$C$6:$C$2225=P$6)*('Multi-start Raw data'!$J$6:$J$2225="Fully converged"))</f>
        <v>2.5019999999999998</v>
      </c>
      <c r="Q47">
        <f t="array" ref="Q47">SUM('Multi-start Raw data'!$D$6:$D$2225*('Multi-start Raw data'!$B$6:$B$2225=$A47)*('Multi-start Raw data'!$C$6:$C$2225=Q$6)*('Multi-start Raw data'!$J$6:$J$2225="Fully converged"))</f>
        <v>2.4980000000000002</v>
      </c>
      <c r="R47">
        <f t="array" ref="R47">SUM('Multi-start Raw data'!$D$6:$D$2225*('Multi-start Raw data'!$B$6:$B$2225=$A47)*('Multi-start Raw data'!$C$6:$C$2225=R$6)*('Multi-start Raw data'!$J$6:$J$2225="Fully converged"))</f>
        <v>2.5</v>
      </c>
      <c r="S47">
        <f t="array" ref="S47">SUM('Multi-start Raw data'!$D$6:$D$2225*('Multi-start Raw data'!$B$6:$B$2225=$A47)*('Multi-start Raw data'!$C$6:$C$2225=S$6)*('Multi-start Raw data'!$J$6:$J$2225="Fully converged"))</f>
        <v>2.5019999999999998</v>
      </c>
      <c r="T47">
        <f t="array" ref="T47">SUM('Multi-start Raw data'!$D$6:$D$2225*('Multi-start Raw data'!$B$6:$B$2225=$A47)*('Multi-start Raw data'!$C$6:$C$2225=T$6)*('Multi-start Raw data'!$J$6:$J$2225="Fully converged"))</f>
        <v>2.5019999999999998</v>
      </c>
      <c r="U47">
        <f t="array" ref="U47">SUM('Multi-start Raw data'!$D$6:$D$2225*('Multi-start Raw data'!$B$6:$B$2225=$A47)*('Multi-start Raw data'!$C$6:$C$2225=U$6)*('Multi-start Raw data'!$J$6:$J$2225="Fully converged"))</f>
        <v>2.4980000000000002</v>
      </c>
      <c r="W47" s="6">
        <f t="shared" si="9"/>
        <v>2.5</v>
      </c>
      <c r="X47" s="6">
        <f t="shared" si="10"/>
        <v>2.5</v>
      </c>
      <c r="Y47" s="6">
        <f t="shared" si="11"/>
        <v>2.5</v>
      </c>
      <c r="Z47" s="6">
        <f t="shared" si="12"/>
        <v>2.5019999999999998</v>
      </c>
      <c r="AA47" s="6">
        <f t="shared" si="13"/>
        <v>2.5019999999999998</v>
      </c>
      <c r="AB47" s="6"/>
      <c r="AC47" s="6">
        <f t="shared" si="14"/>
        <v>0</v>
      </c>
      <c r="AD47" s="6">
        <f t="shared" si="15"/>
        <v>0</v>
      </c>
      <c r="AE47" s="6">
        <f t="shared" si="16"/>
        <v>1.9999999999997797E-3</v>
      </c>
      <c r="AF47" s="6">
        <f t="shared" si="17"/>
        <v>0</v>
      </c>
      <c r="AG47" s="6">
        <f t="shared" si="18"/>
        <v>7.9936051159063951E-2</v>
      </c>
      <c r="AH47" s="6">
        <f t="shared" si="19"/>
        <v>7.9936051159063951E-2</v>
      </c>
      <c r="AI47" s="6">
        <f t="shared" si="20"/>
        <v>7.9936051159063951E-2</v>
      </c>
      <c r="AJ47" s="6">
        <f t="shared" si="21"/>
        <v>0</v>
      </c>
      <c r="AK47" s="6">
        <f t="shared" si="22"/>
        <v>0</v>
      </c>
      <c r="AM47" s="16">
        <f t="shared" si="23"/>
        <v>0.1</v>
      </c>
    </row>
    <row r="48" spans="1:39" x14ac:dyDescent="0.3">
      <c r="A48" s="1" t="s">
        <v>1210</v>
      </c>
      <c r="B48">
        <f t="array" ref="B48">SUM('Multi-start Raw data'!$D$6:$D$2225*('Multi-start Raw data'!$B$6:$B$2225=$A48)*('Multi-start Raw data'!$C$6:$C$2225=B$6)*('Multi-start Raw data'!$J$6:$J$2225="Fully converged"))</f>
        <v>2.4700000000000002</v>
      </c>
      <c r="C48">
        <f t="array" ref="C48">SUM('Multi-start Raw data'!$D$6:$D$2225*('Multi-start Raw data'!$B$6:$B$2225=$A48)*('Multi-start Raw data'!$C$6:$C$2225=C$6)*('Multi-start Raw data'!$J$6:$J$2225="Fully converged"))</f>
        <v>2.4860000000000002</v>
      </c>
      <c r="D48">
        <f t="array" ref="D48">SUM('Multi-start Raw data'!$D$6:$D$2225*('Multi-start Raw data'!$B$6:$B$2225=$A48)*('Multi-start Raw data'!$C$6:$C$2225=D$6)*('Multi-start Raw data'!$J$6:$J$2225="Fully converged"))</f>
        <v>2.476</v>
      </c>
      <c r="E48">
        <f t="array" ref="E48">SUM('Multi-start Raw data'!$D$6:$D$2225*('Multi-start Raw data'!$B$6:$B$2225=$A48)*('Multi-start Raw data'!$C$6:$C$2225=E$6)*('Multi-start Raw data'!$J$6:$J$2225="Fully converged"))</f>
        <v>2.476</v>
      </c>
      <c r="F48">
        <f t="array" ref="F48">SUM('Multi-start Raw data'!$D$6:$D$2225*('Multi-start Raw data'!$B$6:$B$2225=$A48)*('Multi-start Raw data'!$C$6:$C$2225=F$6)*('Multi-start Raw data'!$J$6:$J$2225="Fully converged"))</f>
        <v>2.4900000000000002</v>
      </c>
      <c r="G48">
        <f t="array" ref="G48">SUM('Multi-start Raw data'!$D$6:$D$2225*('Multi-start Raw data'!$B$6:$B$2225=$A48)*('Multi-start Raw data'!$C$6:$C$2225=G$6)*('Multi-start Raw data'!$J$6:$J$2225="Fully converged"))</f>
        <v>2.476</v>
      </c>
      <c r="H48">
        <f t="array" ref="H48">SUM('Multi-start Raw data'!$D$6:$D$2225*('Multi-start Raw data'!$B$6:$B$2225=$A48)*('Multi-start Raw data'!$C$6:$C$2225=H$6)*('Multi-start Raw data'!$J$6:$J$2225="Fully converged"))</f>
        <v>0</v>
      </c>
      <c r="I48">
        <f t="array" ref="I48">SUM('Multi-start Raw data'!$D$6:$D$2225*('Multi-start Raw data'!$B$6:$B$2225=$A48)*('Multi-start Raw data'!$C$6:$C$2225=I$6)*('Multi-start Raw data'!$J$6:$J$2225="Fully converged"))</f>
        <v>2.4929999999999999</v>
      </c>
      <c r="J48">
        <f t="array" ref="J48">SUM('Multi-start Raw data'!$D$6:$D$2225*('Multi-start Raw data'!$B$6:$B$2225=$A48)*('Multi-start Raw data'!$C$6:$C$2225=J$6)*('Multi-start Raw data'!$J$6:$J$2225="Fully converged"))</f>
        <v>2.488</v>
      </c>
      <c r="K48">
        <f t="array" ref="K48">SUM('Multi-start Raw data'!$D$6:$D$2225*('Multi-start Raw data'!$B$6:$B$2225=$A48)*('Multi-start Raw data'!$C$6:$C$2225=K$6)*('Multi-start Raw data'!$J$6:$J$2225="Fully converged"))</f>
        <v>2.4769999999999999</v>
      </c>
      <c r="L48">
        <f t="array" ref="L48">SUM('Multi-start Raw data'!$D$6:$D$2225*('Multi-start Raw data'!$B$6:$B$2225=$A48)*('Multi-start Raw data'!$C$6:$C$2225=L$6)*('Multi-start Raw data'!$J$6:$J$2225="Fully converged"))</f>
        <v>2.4900000000000002</v>
      </c>
      <c r="M48">
        <f t="array" ref="M48">SUM('Multi-start Raw data'!$D$6:$D$2225*('Multi-start Raw data'!$B$6:$B$2225=$A48)*('Multi-start Raw data'!$C$6:$C$2225=M$6)*('Multi-start Raw data'!$J$6:$J$2225="Fully converged"))</f>
        <v>2.4729999999999999</v>
      </c>
      <c r="N48">
        <f t="array" ref="N48">SUM('Multi-start Raw data'!$D$6:$D$2225*('Multi-start Raw data'!$B$6:$B$2225=$A48)*('Multi-start Raw data'!$C$6:$C$2225=N$6)*('Multi-start Raw data'!$J$6:$J$2225="Fully converged"))</f>
        <v>2.4710000000000001</v>
      </c>
      <c r="O48">
        <f t="array" ref="O48">SUM('Multi-start Raw data'!$D$6:$D$2225*('Multi-start Raw data'!$B$6:$B$2225=$A48)*('Multi-start Raw data'!$C$6:$C$2225=O$6)*('Multi-start Raw data'!$J$6:$J$2225="Fully converged"))</f>
        <v>0</v>
      </c>
      <c r="P48">
        <f t="array" ref="P48">SUM('Multi-start Raw data'!$D$6:$D$2225*('Multi-start Raw data'!$B$6:$B$2225=$A48)*('Multi-start Raw data'!$C$6:$C$2225=P$6)*('Multi-start Raw data'!$J$6:$J$2225="Fully converged"))</f>
        <v>2.476</v>
      </c>
      <c r="Q48">
        <f t="array" ref="Q48">SUM('Multi-start Raw data'!$D$6:$D$2225*('Multi-start Raw data'!$B$6:$B$2225=$A48)*('Multi-start Raw data'!$C$6:$C$2225=Q$6)*('Multi-start Raw data'!$J$6:$J$2225="Fully converged"))</f>
        <v>2.4900000000000002</v>
      </c>
      <c r="R48">
        <f t="array" ref="R48">SUM('Multi-start Raw data'!$D$6:$D$2225*('Multi-start Raw data'!$B$6:$B$2225=$A48)*('Multi-start Raw data'!$C$6:$C$2225=R$6)*('Multi-start Raw data'!$J$6:$J$2225="Fully converged"))</f>
        <v>2.4889999999999999</v>
      </c>
      <c r="S48">
        <f t="array" ref="S48">SUM('Multi-start Raw data'!$D$6:$D$2225*('Multi-start Raw data'!$B$6:$B$2225=$A48)*('Multi-start Raw data'!$C$6:$C$2225=S$6)*('Multi-start Raw data'!$J$6:$J$2225="Fully converged"))</f>
        <v>2.4900000000000002</v>
      </c>
      <c r="T48">
        <f t="array" ref="T48">SUM('Multi-start Raw data'!$D$6:$D$2225*('Multi-start Raw data'!$B$6:$B$2225=$A48)*('Multi-start Raw data'!$C$6:$C$2225=T$6)*('Multi-start Raw data'!$J$6:$J$2225="Fully converged"))</f>
        <v>2.4929999999999999</v>
      </c>
      <c r="U48">
        <f t="array" ref="U48">SUM('Multi-start Raw data'!$D$6:$D$2225*('Multi-start Raw data'!$B$6:$B$2225=$A48)*('Multi-start Raw data'!$C$6:$C$2225=U$6)*('Multi-start Raw data'!$J$6:$J$2225="Fully converged"))</f>
        <v>2.4900000000000002</v>
      </c>
      <c r="W48" s="6">
        <f t="shared" si="9"/>
        <v>2.4860000000000002</v>
      </c>
      <c r="X48" s="6">
        <f t="shared" si="10"/>
        <v>2.4929999999999999</v>
      </c>
      <c r="Y48" s="6">
        <f t="shared" si="11"/>
        <v>2.4929999999999999</v>
      </c>
      <c r="Z48" s="6">
        <f t="shared" si="12"/>
        <v>2.4929999999999999</v>
      </c>
      <c r="AA48" s="6">
        <f t="shared" si="13"/>
        <v>2.4929999999999999</v>
      </c>
      <c r="AB48" s="6"/>
      <c r="AC48" s="6">
        <f t="shared" si="14"/>
        <v>6.9999999999996732E-3</v>
      </c>
      <c r="AD48" s="6">
        <f t="shared" si="15"/>
        <v>0</v>
      </c>
      <c r="AE48" s="6">
        <f t="shared" si="16"/>
        <v>0</v>
      </c>
      <c r="AF48" s="6">
        <f t="shared" si="17"/>
        <v>0</v>
      </c>
      <c r="AG48" s="6">
        <f t="shared" si="18"/>
        <v>0.28078620136380561</v>
      </c>
      <c r="AH48" s="6">
        <f t="shared" si="19"/>
        <v>0</v>
      </c>
      <c r="AI48" s="6">
        <f t="shared" si="20"/>
        <v>0</v>
      </c>
      <c r="AJ48" s="6">
        <f t="shared" si="21"/>
        <v>0</v>
      </c>
      <c r="AK48" s="6">
        <f t="shared" si="22"/>
        <v>0</v>
      </c>
      <c r="AM48" s="16">
        <f t="shared" si="23"/>
        <v>0.1</v>
      </c>
    </row>
    <row r="49" spans="1:39" x14ac:dyDescent="0.3">
      <c r="A49" s="1" t="s">
        <v>1227</v>
      </c>
      <c r="B49">
        <f t="array" ref="B49">SUM('Multi-start Raw data'!$D$6:$D$2225*('Multi-start Raw data'!$B$6:$B$2225=$A49)*('Multi-start Raw data'!$C$6:$C$2225=B$6)*('Multi-start Raw data'!$J$6:$J$2225="Fully converged"))</f>
        <v>2.4980000000000002</v>
      </c>
      <c r="C49">
        <f t="array" ref="C49">SUM('Multi-start Raw data'!$D$6:$D$2225*('Multi-start Raw data'!$B$6:$B$2225=$A49)*('Multi-start Raw data'!$C$6:$C$2225=C$6)*('Multi-start Raw data'!$J$6:$J$2225="Fully converged"))</f>
        <v>2.5169999999999999</v>
      </c>
      <c r="D49">
        <f t="array" ref="D49">SUM('Multi-start Raw data'!$D$6:$D$2225*('Multi-start Raw data'!$B$6:$B$2225=$A49)*('Multi-start Raw data'!$C$6:$C$2225=D$6)*('Multi-start Raw data'!$J$6:$J$2225="Fully converged"))</f>
        <v>2.504</v>
      </c>
      <c r="E49">
        <f t="array" ref="E49">SUM('Multi-start Raw data'!$D$6:$D$2225*('Multi-start Raw data'!$B$6:$B$2225=$A49)*('Multi-start Raw data'!$C$6:$C$2225=E$6)*('Multi-start Raw data'!$J$6:$J$2225="Fully converged"))</f>
        <v>2.512</v>
      </c>
      <c r="F49">
        <f t="array" ref="F49">SUM('Multi-start Raw data'!$D$6:$D$2225*('Multi-start Raw data'!$B$6:$B$2225=$A49)*('Multi-start Raw data'!$C$6:$C$2225=F$6)*('Multi-start Raw data'!$J$6:$J$2225="Fully converged"))</f>
        <v>2.4729999999999999</v>
      </c>
      <c r="G49">
        <f t="array" ref="G49">SUM('Multi-start Raw data'!$D$6:$D$2225*('Multi-start Raw data'!$B$6:$B$2225=$A49)*('Multi-start Raw data'!$C$6:$C$2225=G$6)*('Multi-start Raw data'!$J$6:$J$2225="Fully converged"))</f>
        <v>2.516</v>
      </c>
      <c r="H49">
        <f t="array" ref="H49">SUM('Multi-start Raw data'!$D$6:$D$2225*('Multi-start Raw data'!$B$6:$B$2225=$A49)*('Multi-start Raw data'!$C$6:$C$2225=H$6)*('Multi-start Raw data'!$J$6:$J$2225="Fully converged"))</f>
        <v>2.512</v>
      </c>
      <c r="I49">
        <f t="array" ref="I49">SUM('Multi-start Raw data'!$D$6:$D$2225*('Multi-start Raw data'!$B$6:$B$2225=$A49)*('Multi-start Raw data'!$C$6:$C$2225=I$6)*('Multi-start Raw data'!$J$6:$J$2225="Fully converged"))</f>
        <v>2.5190000000000001</v>
      </c>
      <c r="J49">
        <f t="array" ref="J49">SUM('Multi-start Raw data'!$D$6:$D$2225*('Multi-start Raw data'!$B$6:$B$2225=$A49)*('Multi-start Raw data'!$C$6:$C$2225=J$6)*('Multi-start Raw data'!$J$6:$J$2225="Fully converged"))</f>
        <v>2.4980000000000002</v>
      </c>
      <c r="K49">
        <f t="array" ref="K49">SUM('Multi-start Raw data'!$D$6:$D$2225*('Multi-start Raw data'!$B$6:$B$2225=$A49)*('Multi-start Raw data'!$C$6:$C$2225=K$6)*('Multi-start Raw data'!$J$6:$J$2225="Fully converged"))</f>
        <v>2.4830000000000001</v>
      </c>
      <c r="L49">
        <f t="array" ref="L49">SUM('Multi-start Raw data'!$D$6:$D$2225*('Multi-start Raw data'!$B$6:$B$2225=$A49)*('Multi-start Raw data'!$C$6:$C$2225=L$6)*('Multi-start Raw data'!$J$6:$J$2225="Fully converged"))</f>
        <v>2.5169999999999999</v>
      </c>
      <c r="M49">
        <f t="array" ref="M49">SUM('Multi-start Raw data'!$D$6:$D$2225*('Multi-start Raw data'!$B$6:$B$2225=$A49)*('Multi-start Raw data'!$C$6:$C$2225=M$6)*('Multi-start Raw data'!$J$6:$J$2225="Fully converged"))</f>
        <v>0</v>
      </c>
      <c r="N49">
        <f t="array" ref="N49">SUM('Multi-start Raw data'!$D$6:$D$2225*('Multi-start Raw data'!$B$6:$B$2225=$A49)*('Multi-start Raw data'!$C$6:$C$2225=N$6)*('Multi-start Raw data'!$J$6:$J$2225="Fully converged"))</f>
        <v>2.5049999999999999</v>
      </c>
      <c r="O49">
        <f t="array" ref="O49">SUM('Multi-start Raw data'!$D$6:$D$2225*('Multi-start Raw data'!$B$6:$B$2225=$A49)*('Multi-start Raw data'!$C$6:$C$2225=O$6)*('Multi-start Raw data'!$J$6:$J$2225="Fully converged"))</f>
        <v>2.5169999999999999</v>
      </c>
      <c r="P49">
        <f t="array" ref="P49">SUM('Multi-start Raw data'!$D$6:$D$2225*('Multi-start Raw data'!$B$6:$B$2225=$A49)*('Multi-start Raw data'!$C$6:$C$2225=P$6)*('Multi-start Raw data'!$J$6:$J$2225="Fully converged"))</f>
        <v>2.5009999999999999</v>
      </c>
      <c r="Q49">
        <f t="array" ref="Q49">SUM('Multi-start Raw data'!$D$6:$D$2225*('Multi-start Raw data'!$B$6:$B$2225=$A49)*('Multi-start Raw data'!$C$6:$C$2225=Q$6)*('Multi-start Raw data'!$J$6:$J$2225="Fully converged"))</f>
        <v>2.504</v>
      </c>
      <c r="R49">
        <f t="array" ref="R49">SUM('Multi-start Raw data'!$D$6:$D$2225*('Multi-start Raw data'!$B$6:$B$2225=$A49)*('Multi-start Raw data'!$C$6:$C$2225=R$6)*('Multi-start Raw data'!$J$6:$J$2225="Fully converged"))</f>
        <v>2.516</v>
      </c>
      <c r="S49">
        <f t="array" ref="S49">SUM('Multi-start Raw data'!$D$6:$D$2225*('Multi-start Raw data'!$B$6:$B$2225=$A49)*('Multi-start Raw data'!$C$6:$C$2225=S$6)*('Multi-start Raw data'!$J$6:$J$2225="Fully converged"))</f>
        <v>2.504</v>
      </c>
      <c r="T49">
        <f t="array" ref="T49">SUM('Multi-start Raw data'!$D$6:$D$2225*('Multi-start Raw data'!$B$6:$B$2225=$A49)*('Multi-start Raw data'!$C$6:$C$2225=T$6)*('Multi-start Raw data'!$J$6:$J$2225="Fully converged"))</f>
        <v>2.516</v>
      </c>
      <c r="U49">
        <f t="array" ref="U49">SUM('Multi-start Raw data'!$D$6:$D$2225*('Multi-start Raw data'!$B$6:$B$2225=$A49)*('Multi-start Raw data'!$C$6:$C$2225=U$6)*('Multi-start Raw data'!$J$6:$J$2225="Fully converged"))</f>
        <v>2.472</v>
      </c>
      <c r="W49" s="6">
        <f t="shared" si="9"/>
        <v>2.5169999999999999</v>
      </c>
      <c r="X49" s="6">
        <f t="shared" si="10"/>
        <v>2.5190000000000001</v>
      </c>
      <c r="Y49" s="6">
        <f t="shared" si="11"/>
        <v>2.5190000000000001</v>
      </c>
      <c r="Z49" s="6">
        <f t="shared" si="12"/>
        <v>2.5190000000000001</v>
      </c>
      <c r="AA49" s="6">
        <f t="shared" si="13"/>
        <v>2.5190000000000001</v>
      </c>
      <c r="AB49" s="6"/>
      <c r="AC49" s="6">
        <f t="shared" si="14"/>
        <v>2.0000000000002238E-3</v>
      </c>
      <c r="AD49" s="6">
        <f t="shared" si="15"/>
        <v>0</v>
      </c>
      <c r="AE49" s="6">
        <f t="shared" si="16"/>
        <v>0</v>
      </c>
      <c r="AF49" s="6">
        <f t="shared" si="17"/>
        <v>0</v>
      </c>
      <c r="AG49" s="6">
        <f t="shared" si="18"/>
        <v>7.9396585946813161E-2</v>
      </c>
      <c r="AH49" s="6">
        <f t="shared" si="19"/>
        <v>0</v>
      </c>
      <c r="AI49" s="6">
        <f t="shared" si="20"/>
        <v>0</v>
      </c>
      <c r="AJ49" s="6">
        <f t="shared" si="21"/>
        <v>0</v>
      </c>
      <c r="AK49" s="6">
        <f t="shared" si="22"/>
        <v>0</v>
      </c>
      <c r="AM49" s="16">
        <f t="shared" si="23"/>
        <v>0.1</v>
      </c>
    </row>
    <row r="50" spans="1:39" x14ac:dyDescent="0.3">
      <c r="A50" s="1" t="s">
        <v>1244</v>
      </c>
      <c r="B50">
        <f t="array" ref="B50">SUM('Multi-start Raw data'!$D$6:$D$2225*('Multi-start Raw data'!$B$6:$B$2225=$A50)*('Multi-start Raw data'!$C$6:$C$2225=B$6)*('Multi-start Raw data'!$J$6:$J$2225="Fully converged"))</f>
        <v>2.5339999999999998</v>
      </c>
      <c r="C50">
        <f t="array" ref="C50">SUM('Multi-start Raw data'!$D$6:$D$2225*('Multi-start Raw data'!$B$6:$B$2225=$A50)*('Multi-start Raw data'!$C$6:$C$2225=C$6)*('Multi-start Raw data'!$J$6:$J$2225="Fully converged"))</f>
        <v>2.5150000000000001</v>
      </c>
      <c r="D50">
        <f t="array" ref="D50">SUM('Multi-start Raw data'!$D$6:$D$2225*('Multi-start Raw data'!$B$6:$B$2225=$A50)*('Multi-start Raw data'!$C$6:$C$2225=D$6)*('Multi-start Raw data'!$J$6:$J$2225="Fully converged"))</f>
        <v>2.52</v>
      </c>
      <c r="E50">
        <f t="array" ref="E50">SUM('Multi-start Raw data'!$D$6:$D$2225*('Multi-start Raw data'!$B$6:$B$2225=$A50)*('Multi-start Raw data'!$C$6:$C$2225=E$6)*('Multi-start Raw data'!$J$6:$J$2225="Fully converged"))</f>
        <v>2.532</v>
      </c>
      <c r="F50">
        <f t="array" ref="F50">SUM('Multi-start Raw data'!$D$6:$D$2225*('Multi-start Raw data'!$B$6:$B$2225=$A50)*('Multi-start Raw data'!$C$6:$C$2225=F$6)*('Multi-start Raw data'!$J$6:$J$2225="Fully converged"))</f>
        <v>2.5329999999999999</v>
      </c>
      <c r="G50">
        <f t="array" ref="G50">SUM('Multi-start Raw data'!$D$6:$D$2225*('Multi-start Raw data'!$B$6:$B$2225=$A50)*('Multi-start Raw data'!$C$6:$C$2225=G$6)*('Multi-start Raw data'!$J$6:$J$2225="Fully converged"))</f>
        <v>2.5329999999999999</v>
      </c>
      <c r="H50">
        <f t="array" ref="H50">SUM('Multi-start Raw data'!$D$6:$D$2225*('Multi-start Raw data'!$B$6:$B$2225=$A50)*('Multi-start Raw data'!$C$6:$C$2225=H$6)*('Multi-start Raw data'!$J$6:$J$2225="Fully converged"))</f>
        <v>0</v>
      </c>
      <c r="I50">
        <f t="array" ref="I50">SUM('Multi-start Raw data'!$D$6:$D$2225*('Multi-start Raw data'!$B$6:$B$2225=$A50)*('Multi-start Raw data'!$C$6:$C$2225=I$6)*('Multi-start Raw data'!$J$6:$J$2225="Fully converged"))</f>
        <v>2.5350000000000001</v>
      </c>
      <c r="J50">
        <f t="array" ref="J50">SUM('Multi-start Raw data'!$D$6:$D$2225*('Multi-start Raw data'!$B$6:$B$2225=$A50)*('Multi-start Raw data'!$C$6:$C$2225=J$6)*('Multi-start Raw data'!$J$6:$J$2225="Fully converged"))</f>
        <v>2.5289999999999999</v>
      </c>
      <c r="K50">
        <f t="array" ref="K50">SUM('Multi-start Raw data'!$D$6:$D$2225*('Multi-start Raw data'!$B$6:$B$2225=$A50)*('Multi-start Raw data'!$C$6:$C$2225=K$6)*('Multi-start Raw data'!$J$6:$J$2225="Fully converged"))</f>
        <v>2.4929999999999999</v>
      </c>
      <c r="L50">
        <f t="array" ref="L50">SUM('Multi-start Raw data'!$D$6:$D$2225*('Multi-start Raw data'!$B$6:$B$2225=$A50)*('Multi-start Raw data'!$C$6:$C$2225=L$6)*('Multi-start Raw data'!$J$6:$J$2225="Fully converged"))</f>
        <v>2.5339999999999998</v>
      </c>
      <c r="M50">
        <f t="array" ref="M50">SUM('Multi-start Raw data'!$D$6:$D$2225*('Multi-start Raw data'!$B$6:$B$2225=$A50)*('Multi-start Raw data'!$C$6:$C$2225=M$6)*('Multi-start Raw data'!$J$6:$J$2225="Fully converged"))</f>
        <v>2.5339999999999998</v>
      </c>
      <c r="N50">
        <f t="array" ref="N50">SUM('Multi-start Raw data'!$D$6:$D$2225*('Multi-start Raw data'!$B$6:$B$2225=$A50)*('Multi-start Raw data'!$C$6:$C$2225=N$6)*('Multi-start Raw data'!$J$6:$J$2225="Fully converged"))</f>
        <v>2.524</v>
      </c>
      <c r="O50">
        <f t="array" ref="O50">SUM('Multi-start Raw data'!$D$6:$D$2225*('Multi-start Raw data'!$B$6:$B$2225=$A50)*('Multi-start Raw data'!$C$6:$C$2225=O$6)*('Multi-start Raw data'!$J$6:$J$2225="Fully converged"))</f>
        <v>2.5339999999999998</v>
      </c>
      <c r="P50">
        <f t="array" ref="P50">SUM('Multi-start Raw data'!$D$6:$D$2225*('Multi-start Raw data'!$B$6:$B$2225=$A50)*('Multi-start Raw data'!$C$6:$C$2225=P$6)*('Multi-start Raw data'!$J$6:$J$2225="Fully converged"))</f>
        <v>2.5369999999999999</v>
      </c>
      <c r="Q50">
        <f t="array" ref="Q50">SUM('Multi-start Raw data'!$D$6:$D$2225*('Multi-start Raw data'!$B$6:$B$2225=$A50)*('Multi-start Raw data'!$C$6:$C$2225=Q$6)*('Multi-start Raw data'!$J$6:$J$2225="Fully converged"))</f>
        <v>2.524</v>
      </c>
      <c r="R50">
        <f t="array" ref="R50">SUM('Multi-start Raw data'!$D$6:$D$2225*('Multi-start Raw data'!$B$6:$B$2225=$A50)*('Multi-start Raw data'!$C$6:$C$2225=R$6)*('Multi-start Raw data'!$J$6:$J$2225="Fully converged"))</f>
        <v>2.5329999999999999</v>
      </c>
      <c r="S50">
        <f t="array" ref="S50">SUM('Multi-start Raw data'!$D$6:$D$2225*('Multi-start Raw data'!$B$6:$B$2225=$A50)*('Multi-start Raw data'!$C$6:$C$2225=S$6)*('Multi-start Raw data'!$J$6:$J$2225="Fully converged"))</f>
        <v>2.52</v>
      </c>
      <c r="T50">
        <f t="array" ref="T50">SUM('Multi-start Raw data'!$D$6:$D$2225*('Multi-start Raw data'!$B$6:$B$2225=$A50)*('Multi-start Raw data'!$C$6:$C$2225=T$6)*('Multi-start Raw data'!$J$6:$J$2225="Fully converged"))</f>
        <v>2.5339999999999998</v>
      </c>
      <c r="U50">
        <f t="array" ref="U50">SUM('Multi-start Raw data'!$D$6:$D$2225*('Multi-start Raw data'!$B$6:$B$2225=$A50)*('Multi-start Raw data'!$C$6:$C$2225=U$6)*('Multi-start Raw data'!$J$6:$J$2225="Fully converged"))</f>
        <v>2.4809999999999999</v>
      </c>
      <c r="W50" s="6">
        <f t="shared" si="9"/>
        <v>2.5339999999999998</v>
      </c>
      <c r="X50" s="6">
        <f t="shared" si="10"/>
        <v>2.5350000000000001</v>
      </c>
      <c r="Y50" s="6">
        <f t="shared" si="11"/>
        <v>2.5350000000000001</v>
      </c>
      <c r="Z50" s="6">
        <f t="shared" si="12"/>
        <v>2.5369999999999999</v>
      </c>
      <c r="AA50" s="6">
        <f t="shared" si="13"/>
        <v>2.5369999999999999</v>
      </c>
      <c r="AB50" s="6"/>
      <c r="AC50" s="6">
        <f t="shared" si="14"/>
        <v>1.000000000000334E-3</v>
      </c>
      <c r="AD50" s="6">
        <f t="shared" si="15"/>
        <v>0</v>
      </c>
      <c r="AE50" s="6">
        <f t="shared" si="16"/>
        <v>1.9999999999997797E-3</v>
      </c>
      <c r="AF50" s="6">
        <f t="shared" si="17"/>
        <v>0</v>
      </c>
      <c r="AG50" s="6">
        <f t="shared" si="18"/>
        <v>0.11824990145841993</v>
      </c>
      <c r="AH50" s="6">
        <f t="shared" si="19"/>
        <v>7.8833267638934959E-2</v>
      </c>
      <c r="AI50" s="6">
        <f t="shared" si="20"/>
        <v>7.8833267638934959E-2</v>
      </c>
      <c r="AJ50" s="6">
        <f t="shared" si="21"/>
        <v>0</v>
      </c>
      <c r="AK50" s="6">
        <f t="shared" si="22"/>
        <v>0</v>
      </c>
      <c r="AM50" s="16">
        <f t="shared" si="23"/>
        <v>0.1</v>
      </c>
    </row>
    <row r="51" spans="1:39" x14ac:dyDescent="0.3">
      <c r="A51" s="1" t="s">
        <v>1261</v>
      </c>
      <c r="B51">
        <f t="array" ref="B51">SUM('Multi-start Raw data'!$D$6:$D$2225*('Multi-start Raw data'!$B$6:$B$2225=$A51)*('Multi-start Raw data'!$C$6:$C$2225=B$6)*('Multi-start Raw data'!$J$6:$J$2225="Fully converged"))</f>
        <v>2.536</v>
      </c>
      <c r="C51">
        <f t="array" ref="C51">SUM('Multi-start Raw data'!$D$6:$D$2225*('Multi-start Raw data'!$B$6:$B$2225=$A51)*('Multi-start Raw data'!$C$6:$C$2225=C$6)*('Multi-start Raw data'!$J$6:$J$2225="Fully converged"))</f>
        <v>2.5369999999999999</v>
      </c>
      <c r="D51">
        <f t="array" ref="D51">SUM('Multi-start Raw data'!$D$6:$D$2225*('Multi-start Raw data'!$B$6:$B$2225=$A51)*('Multi-start Raw data'!$C$6:$C$2225=D$6)*('Multi-start Raw data'!$J$6:$J$2225="Fully converged"))</f>
        <v>2.536</v>
      </c>
      <c r="E51">
        <f t="array" ref="E51">SUM('Multi-start Raw data'!$D$6:$D$2225*('Multi-start Raw data'!$B$6:$B$2225=$A51)*('Multi-start Raw data'!$C$6:$C$2225=E$6)*('Multi-start Raw data'!$J$6:$J$2225="Fully converged"))</f>
        <v>2.5350000000000001</v>
      </c>
      <c r="F51">
        <f t="array" ref="F51">SUM('Multi-start Raw data'!$D$6:$D$2225*('Multi-start Raw data'!$B$6:$B$2225=$A51)*('Multi-start Raw data'!$C$6:$C$2225=F$6)*('Multi-start Raw data'!$J$6:$J$2225="Fully converged"))</f>
        <v>2.52</v>
      </c>
      <c r="G51">
        <f t="array" ref="G51">SUM('Multi-start Raw data'!$D$6:$D$2225*('Multi-start Raw data'!$B$6:$B$2225=$A51)*('Multi-start Raw data'!$C$6:$C$2225=G$6)*('Multi-start Raw data'!$J$6:$J$2225="Fully converged"))</f>
        <v>2.5369999999999999</v>
      </c>
      <c r="H51">
        <f t="array" ref="H51">SUM('Multi-start Raw data'!$D$6:$D$2225*('Multi-start Raw data'!$B$6:$B$2225=$A51)*('Multi-start Raw data'!$C$6:$C$2225=H$6)*('Multi-start Raw data'!$J$6:$J$2225="Fully converged"))</f>
        <v>2.5329999999999999</v>
      </c>
      <c r="I51">
        <f t="array" ref="I51">SUM('Multi-start Raw data'!$D$6:$D$2225*('Multi-start Raw data'!$B$6:$B$2225=$A51)*('Multi-start Raw data'!$C$6:$C$2225=I$6)*('Multi-start Raw data'!$J$6:$J$2225="Fully converged"))</f>
        <v>2.5310000000000001</v>
      </c>
      <c r="J51">
        <f t="array" ref="J51">SUM('Multi-start Raw data'!$D$6:$D$2225*('Multi-start Raw data'!$B$6:$B$2225=$A51)*('Multi-start Raw data'!$C$6:$C$2225=J$6)*('Multi-start Raw data'!$J$6:$J$2225="Fully converged"))</f>
        <v>0</v>
      </c>
      <c r="K51">
        <f t="array" ref="K51">SUM('Multi-start Raw data'!$D$6:$D$2225*('Multi-start Raw data'!$B$6:$B$2225=$A51)*('Multi-start Raw data'!$C$6:$C$2225=K$6)*('Multi-start Raw data'!$J$6:$J$2225="Fully converged"))</f>
        <v>2.508</v>
      </c>
      <c r="L51">
        <f t="array" ref="L51">SUM('Multi-start Raw data'!$D$6:$D$2225*('Multi-start Raw data'!$B$6:$B$2225=$A51)*('Multi-start Raw data'!$C$6:$C$2225=L$6)*('Multi-start Raw data'!$J$6:$J$2225="Fully converged"))</f>
        <v>2.532</v>
      </c>
      <c r="M51">
        <f t="array" ref="M51">SUM('Multi-start Raw data'!$D$6:$D$2225*('Multi-start Raw data'!$B$6:$B$2225=$A51)*('Multi-start Raw data'!$C$6:$C$2225=M$6)*('Multi-start Raw data'!$J$6:$J$2225="Fully converged"))</f>
        <v>2.5150000000000001</v>
      </c>
      <c r="N51">
        <f t="array" ref="N51">SUM('Multi-start Raw data'!$D$6:$D$2225*('Multi-start Raw data'!$B$6:$B$2225=$A51)*('Multi-start Raw data'!$C$6:$C$2225=N$6)*('Multi-start Raw data'!$J$6:$J$2225="Fully converged"))</f>
        <v>2.5089999999999999</v>
      </c>
      <c r="O51">
        <f t="array" ref="O51">SUM('Multi-start Raw data'!$D$6:$D$2225*('Multi-start Raw data'!$B$6:$B$2225=$A51)*('Multi-start Raw data'!$C$6:$C$2225=O$6)*('Multi-start Raw data'!$J$6:$J$2225="Fully converged"))</f>
        <v>2.5369999999999999</v>
      </c>
      <c r="P51">
        <f t="array" ref="P51">SUM('Multi-start Raw data'!$D$6:$D$2225*('Multi-start Raw data'!$B$6:$B$2225=$A51)*('Multi-start Raw data'!$C$6:$C$2225=P$6)*('Multi-start Raw data'!$J$6:$J$2225="Fully converged"))</f>
        <v>0</v>
      </c>
      <c r="Q51">
        <f t="array" ref="Q51">SUM('Multi-start Raw data'!$D$6:$D$2225*('Multi-start Raw data'!$B$6:$B$2225=$A51)*('Multi-start Raw data'!$C$6:$C$2225=Q$6)*('Multi-start Raw data'!$J$6:$J$2225="Fully converged"))</f>
        <v>2.4689999999999999</v>
      </c>
      <c r="R51">
        <f t="array" ref="R51">SUM('Multi-start Raw data'!$D$6:$D$2225*('Multi-start Raw data'!$B$6:$B$2225=$A51)*('Multi-start Raw data'!$C$6:$C$2225=R$6)*('Multi-start Raw data'!$J$6:$J$2225="Fully converged"))</f>
        <v>2.5350000000000001</v>
      </c>
      <c r="S51">
        <f t="array" ref="S51">SUM('Multi-start Raw data'!$D$6:$D$2225*('Multi-start Raw data'!$B$6:$B$2225=$A51)*('Multi-start Raw data'!$C$6:$C$2225=S$6)*('Multi-start Raw data'!$J$6:$J$2225="Fully converged"))</f>
        <v>2.5379999999999998</v>
      </c>
      <c r="T51">
        <f t="array" ref="T51">SUM('Multi-start Raw data'!$D$6:$D$2225*('Multi-start Raw data'!$B$6:$B$2225=$A51)*('Multi-start Raw data'!$C$6:$C$2225=T$6)*('Multi-start Raw data'!$J$6:$J$2225="Fully converged"))</f>
        <v>2.5369999999999999</v>
      </c>
      <c r="U51">
        <f t="array" ref="U51">SUM('Multi-start Raw data'!$D$6:$D$2225*('Multi-start Raw data'!$B$6:$B$2225=$A51)*('Multi-start Raw data'!$C$6:$C$2225=U$6)*('Multi-start Raw data'!$J$6:$J$2225="Fully converged"))</f>
        <v>2.532</v>
      </c>
      <c r="W51" s="6">
        <f t="shared" si="9"/>
        <v>2.5369999999999999</v>
      </c>
      <c r="X51" s="6">
        <f t="shared" si="10"/>
        <v>2.5369999999999999</v>
      </c>
      <c r="Y51" s="6">
        <f t="shared" si="11"/>
        <v>2.5369999999999999</v>
      </c>
      <c r="Z51" s="6">
        <f t="shared" si="12"/>
        <v>2.5369999999999999</v>
      </c>
      <c r="AA51" s="6">
        <f t="shared" si="13"/>
        <v>2.5379999999999998</v>
      </c>
      <c r="AB51" s="6"/>
      <c r="AC51" s="6">
        <f t="shared" si="14"/>
        <v>0</v>
      </c>
      <c r="AD51" s="6">
        <f t="shared" si="15"/>
        <v>0</v>
      </c>
      <c r="AE51" s="6">
        <f t="shared" si="16"/>
        <v>0</v>
      </c>
      <c r="AF51" s="6">
        <f t="shared" si="17"/>
        <v>9.9999999999988987E-4</v>
      </c>
      <c r="AG51" s="6">
        <f t="shared" si="18"/>
        <v>3.9401103230886129E-2</v>
      </c>
      <c r="AH51" s="6">
        <f t="shared" si="19"/>
        <v>3.9401103230886129E-2</v>
      </c>
      <c r="AI51" s="6">
        <f t="shared" si="20"/>
        <v>3.9401103230886129E-2</v>
      </c>
      <c r="AJ51" s="6">
        <f t="shared" si="21"/>
        <v>3.9401103230886129E-2</v>
      </c>
      <c r="AK51" s="6">
        <f t="shared" si="22"/>
        <v>0</v>
      </c>
      <c r="AM51" s="16">
        <f t="shared" si="23"/>
        <v>0.1</v>
      </c>
    </row>
    <row r="52" spans="1:39" x14ac:dyDescent="0.3">
      <c r="A52" s="1" t="s">
        <v>1284</v>
      </c>
      <c r="B52">
        <f t="array" ref="B52">SUM('Multi-start Raw data'!$D$6:$D$2225*('Multi-start Raw data'!$B$6:$B$2225=$A52)*('Multi-start Raw data'!$C$6:$C$2225=B$6)*('Multi-start Raw data'!$J$6:$J$2225="Fully converged"))</f>
        <v>2.4710000000000001</v>
      </c>
      <c r="C52">
        <f t="array" ref="C52">SUM('Multi-start Raw data'!$D$6:$D$2225*('Multi-start Raw data'!$B$6:$B$2225=$A52)*('Multi-start Raw data'!$C$6:$C$2225=C$6)*('Multi-start Raw data'!$J$6:$J$2225="Fully converged"))</f>
        <v>2.472</v>
      </c>
      <c r="D52">
        <f t="array" ref="D52">SUM('Multi-start Raw data'!$D$6:$D$2225*('Multi-start Raw data'!$B$6:$B$2225=$A52)*('Multi-start Raw data'!$C$6:$C$2225=D$6)*('Multi-start Raw data'!$J$6:$J$2225="Fully converged"))</f>
        <v>2.4449999999999998</v>
      </c>
      <c r="E52">
        <f t="array" ref="E52">SUM('Multi-start Raw data'!$D$6:$D$2225*('Multi-start Raw data'!$B$6:$B$2225=$A52)*('Multi-start Raw data'!$C$6:$C$2225=E$6)*('Multi-start Raw data'!$J$6:$J$2225="Fully converged"))</f>
        <v>2.4710000000000001</v>
      </c>
      <c r="F52">
        <f t="array" ref="F52">SUM('Multi-start Raw data'!$D$6:$D$2225*('Multi-start Raw data'!$B$6:$B$2225=$A52)*('Multi-start Raw data'!$C$6:$C$2225=F$6)*('Multi-start Raw data'!$J$6:$J$2225="Fully converged"))</f>
        <v>2.472</v>
      </c>
      <c r="G52">
        <f t="array" ref="G52">SUM('Multi-start Raw data'!$D$6:$D$2225*('Multi-start Raw data'!$B$6:$B$2225=$A52)*('Multi-start Raw data'!$C$6:$C$2225=G$6)*('Multi-start Raw data'!$J$6:$J$2225="Fully converged"))</f>
        <v>2.4670000000000001</v>
      </c>
      <c r="H52">
        <f t="array" ref="H52">SUM('Multi-start Raw data'!$D$6:$D$2225*('Multi-start Raw data'!$B$6:$B$2225=$A52)*('Multi-start Raw data'!$C$6:$C$2225=H$6)*('Multi-start Raw data'!$J$6:$J$2225="Fully converged"))</f>
        <v>0</v>
      </c>
      <c r="I52">
        <f t="array" ref="I52">SUM('Multi-start Raw data'!$D$6:$D$2225*('Multi-start Raw data'!$B$6:$B$2225=$A52)*('Multi-start Raw data'!$C$6:$C$2225=I$6)*('Multi-start Raw data'!$J$6:$J$2225="Fully converged"))</f>
        <v>2.4729999999999999</v>
      </c>
      <c r="J52">
        <f t="array" ref="J52">SUM('Multi-start Raw data'!$D$6:$D$2225*('Multi-start Raw data'!$B$6:$B$2225=$A52)*('Multi-start Raw data'!$C$6:$C$2225=J$6)*('Multi-start Raw data'!$J$6:$J$2225="Fully converged"))</f>
        <v>0</v>
      </c>
      <c r="K52">
        <f t="array" ref="K52">SUM('Multi-start Raw data'!$D$6:$D$2225*('Multi-start Raw data'!$B$6:$B$2225=$A52)*('Multi-start Raw data'!$C$6:$C$2225=K$6)*('Multi-start Raw data'!$J$6:$J$2225="Fully converged"))</f>
        <v>2.4700000000000002</v>
      </c>
      <c r="L52">
        <f t="array" ref="L52">SUM('Multi-start Raw data'!$D$6:$D$2225*('Multi-start Raw data'!$B$6:$B$2225=$A52)*('Multi-start Raw data'!$C$6:$C$2225=L$6)*('Multi-start Raw data'!$J$6:$J$2225="Fully converged"))</f>
        <v>2.4700000000000002</v>
      </c>
      <c r="M52">
        <f t="array" ref="M52">SUM('Multi-start Raw data'!$D$6:$D$2225*('Multi-start Raw data'!$B$6:$B$2225=$A52)*('Multi-start Raw data'!$C$6:$C$2225=M$6)*('Multi-start Raw data'!$J$6:$J$2225="Fully converged"))</f>
        <v>2.4670000000000001</v>
      </c>
      <c r="N52">
        <f t="array" ref="N52">SUM('Multi-start Raw data'!$D$6:$D$2225*('Multi-start Raw data'!$B$6:$B$2225=$A52)*('Multi-start Raw data'!$C$6:$C$2225=N$6)*('Multi-start Raw data'!$J$6:$J$2225="Fully converged"))</f>
        <v>2.472</v>
      </c>
      <c r="O52">
        <f t="array" ref="O52">SUM('Multi-start Raw data'!$D$6:$D$2225*('Multi-start Raw data'!$B$6:$B$2225=$A52)*('Multi-start Raw data'!$C$6:$C$2225=O$6)*('Multi-start Raw data'!$J$6:$J$2225="Fully converged"))</f>
        <v>2.4700000000000002</v>
      </c>
      <c r="P52">
        <f t="array" ref="P52">SUM('Multi-start Raw data'!$D$6:$D$2225*('Multi-start Raw data'!$B$6:$B$2225=$A52)*('Multi-start Raw data'!$C$6:$C$2225=P$6)*('Multi-start Raw data'!$J$6:$J$2225="Fully converged"))</f>
        <v>2.4729999999999999</v>
      </c>
      <c r="Q52">
        <f t="array" ref="Q52">SUM('Multi-start Raw data'!$D$6:$D$2225*('Multi-start Raw data'!$B$6:$B$2225=$A52)*('Multi-start Raw data'!$C$6:$C$2225=Q$6)*('Multi-start Raw data'!$J$6:$J$2225="Fully converged"))</f>
        <v>2.3969999999999998</v>
      </c>
      <c r="R52">
        <f t="array" ref="R52">SUM('Multi-start Raw data'!$D$6:$D$2225*('Multi-start Raw data'!$B$6:$B$2225=$A52)*('Multi-start Raw data'!$C$6:$C$2225=R$6)*('Multi-start Raw data'!$J$6:$J$2225="Fully converged"))</f>
        <v>2.472</v>
      </c>
      <c r="S52">
        <f t="array" ref="S52">SUM('Multi-start Raw data'!$D$6:$D$2225*('Multi-start Raw data'!$B$6:$B$2225=$A52)*('Multi-start Raw data'!$C$6:$C$2225=S$6)*('Multi-start Raw data'!$J$6:$J$2225="Fully converged"))</f>
        <v>2.4729999999999999</v>
      </c>
      <c r="T52">
        <f t="array" ref="T52">SUM('Multi-start Raw data'!$D$6:$D$2225*('Multi-start Raw data'!$B$6:$B$2225=$A52)*('Multi-start Raw data'!$C$6:$C$2225=T$6)*('Multi-start Raw data'!$J$6:$J$2225="Fully converged"))</f>
        <v>2.4729999999999999</v>
      </c>
      <c r="U52">
        <f t="array" ref="U52">SUM('Multi-start Raw data'!$D$6:$D$2225*('Multi-start Raw data'!$B$6:$B$2225=$A52)*('Multi-start Raw data'!$C$6:$C$2225=U$6)*('Multi-start Raw data'!$J$6:$J$2225="Fully converged"))</f>
        <v>2.4729999999999999</v>
      </c>
      <c r="W52" s="6">
        <f t="shared" si="9"/>
        <v>2.472</v>
      </c>
      <c r="X52" s="6">
        <f t="shared" si="10"/>
        <v>2.4729999999999999</v>
      </c>
      <c r="Y52" s="6">
        <f t="shared" si="11"/>
        <v>2.4729999999999999</v>
      </c>
      <c r="Z52" s="6">
        <f t="shared" si="12"/>
        <v>2.4729999999999999</v>
      </c>
      <c r="AA52" s="6">
        <f t="shared" si="13"/>
        <v>2.4729999999999999</v>
      </c>
      <c r="AB52" s="6"/>
      <c r="AC52" s="6">
        <f t="shared" si="14"/>
        <v>9.9999999999988987E-4</v>
      </c>
      <c r="AD52" s="6">
        <f t="shared" si="15"/>
        <v>0</v>
      </c>
      <c r="AE52" s="6">
        <f t="shared" si="16"/>
        <v>0</v>
      </c>
      <c r="AF52" s="6">
        <f t="shared" si="17"/>
        <v>0</v>
      </c>
      <c r="AG52" s="6">
        <f t="shared" si="18"/>
        <v>4.043671653861261E-2</v>
      </c>
      <c r="AH52" s="6">
        <f t="shared" si="19"/>
        <v>0</v>
      </c>
      <c r="AI52" s="6">
        <f t="shared" si="20"/>
        <v>0</v>
      </c>
      <c r="AJ52" s="6">
        <f t="shared" si="21"/>
        <v>0</v>
      </c>
      <c r="AK52" s="6">
        <f t="shared" si="22"/>
        <v>0</v>
      </c>
      <c r="AM52" s="16">
        <f t="shared" si="23"/>
        <v>0.1</v>
      </c>
    </row>
    <row r="53" spans="1:39" x14ac:dyDescent="0.3">
      <c r="A53" s="1" t="s">
        <v>1305</v>
      </c>
      <c r="B53">
        <f t="array" ref="B53">SUM('Multi-start Raw data'!$D$6:$D$2225*('Multi-start Raw data'!$B$6:$B$2225=$A53)*('Multi-start Raw data'!$C$6:$C$2225=B$6)*('Multi-start Raw data'!$J$6:$J$2225="Fully converged"))</f>
        <v>2.5049999999999999</v>
      </c>
      <c r="C53">
        <f t="array" ref="C53">SUM('Multi-start Raw data'!$D$6:$D$2225*('Multi-start Raw data'!$B$6:$B$2225=$A53)*('Multi-start Raw data'!$C$6:$C$2225=C$6)*('Multi-start Raw data'!$J$6:$J$2225="Fully converged"))</f>
        <v>2.5049999999999999</v>
      </c>
      <c r="D53">
        <f t="array" ref="D53">SUM('Multi-start Raw data'!$D$6:$D$2225*('Multi-start Raw data'!$B$6:$B$2225=$A53)*('Multi-start Raw data'!$C$6:$C$2225=D$6)*('Multi-start Raw data'!$J$6:$J$2225="Fully converged"))</f>
        <v>2.5070000000000001</v>
      </c>
      <c r="E53">
        <f t="array" ref="E53">SUM('Multi-start Raw data'!$D$6:$D$2225*('Multi-start Raw data'!$B$6:$B$2225=$A53)*('Multi-start Raw data'!$C$6:$C$2225=E$6)*('Multi-start Raw data'!$J$6:$J$2225="Fully converged"))</f>
        <v>2.5059999999999998</v>
      </c>
      <c r="F53">
        <f t="array" ref="F53">SUM('Multi-start Raw data'!$D$6:$D$2225*('Multi-start Raw data'!$B$6:$B$2225=$A53)*('Multi-start Raw data'!$C$6:$C$2225=F$6)*('Multi-start Raw data'!$J$6:$J$2225="Fully converged"))</f>
        <v>2.5059999999999998</v>
      </c>
      <c r="G53">
        <f t="array" ref="G53">SUM('Multi-start Raw data'!$D$6:$D$2225*('Multi-start Raw data'!$B$6:$B$2225=$A53)*('Multi-start Raw data'!$C$6:$C$2225=G$6)*('Multi-start Raw data'!$J$6:$J$2225="Fully converged"))</f>
        <v>2.4279999999999999</v>
      </c>
      <c r="H53">
        <f t="array" ref="H53">SUM('Multi-start Raw data'!$D$6:$D$2225*('Multi-start Raw data'!$B$6:$B$2225=$A53)*('Multi-start Raw data'!$C$6:$C$2225=H$6)*('Multi-start Raw data'!$J$6:$J$2225="Fully converged"))</f>
        <v>2.5059999999999998</v>
      </c>
      <c r="I53">
        <f t="array" ref="I53">SUM('Multi-start Raw data'!$D$6:$D$2225*('Multi-start Raw data'!$B$6:$B$2225=$A53)*('Multi-start Raw data'!$C$6:$C$2225=I$6)*('Multi-start Raw data'!$J$6:$J$2225="Fully converged"))</f>
        <v>2.5059999999999998</v>
      </c>
      <c r="J53">
        <f t="array" ref="J53">SUM('Multi-start Raw data'!$D$6:$D$2225*('Multi-start Raw data'!$B$6:$B$2225=$A53)*('Multi-start Raw data'!$C$6:$C$2225=J$6)*('Multi-start Raw data'!$J$6:$J$2225="Fully converged"))</f>
        <v>2.5059999999999998</v>
      </c>
      <c r="K53">
        <f t="array" ref="K53">SUM('Multi-start Raw data'!$D$6:$D$2225*('Multi-start Raw data'!$B$6:$B$2225=$A53)*('Multi-start Raw data'!$C$6:$C$2225=K$6)*('Multi-start Raw data'!$J$6:$J$2225="Fully converged"))</f>
        <v>2.5009999999999999</v>
      </c>
      <c r="L53">
        <f t="array" ref="L53">SUM('Multi-start Raw data'!$D$6:$D$2225*('Multi-start Raw data'!$B$6:$B$2225=$A53)*('Multi-start Raw data'!$C$6:$C$2225=L$6)*('Multi-start Raw data'!$J$6:$J$2225="Fully converged"))</f>
        <v>2.5059999999999998</v>
      </c>
      <c r="M53">
        <f t="array" ref="M53">SUM('Multi-start Raw data'!$D$6:$D$2225*('Multi-start Raw data'!$B$6:$B$2225=$A53)*('Multi-start Raw data'!$C$6:$C$2225=M$6)*('Multi-start Raw data'!$J$6:$J$2225="Fully converged"))</f>
        <v>2.504</v>
      </c>
      <c r="N53">
        <f t="array" ref="N53">SUM('Multi-start Raw data'!$D$6:$D$2225*('Multi-start Raw data'!$B$6:$B$2225=$A53)*('Multi-start Raw data'!$C$6:$C$2225=N$6)*('Multi-start Raw data'!$J$6:$J$2225="Fully converged"))</f>
        <v>2.5049999999999999</v>
      </c>
      <c r="O53">
        <f t="array" ref="O53">SUM('Multi-start Raw data'!$D$6:$D$2225*('Multi-start Raw data'!$B$6:$B$2225=$A53)*('Multi-start Raw data'!$C$6:$C$2225=O$6)*('Multi-start Raw data'!$J$6:$J$2225="Fully converged"))</f>
        <v>2.5049999999999999</v>
      </c>
      <c r="P53">
        <f t="array" ref="P53">SUM('Multi-start Raw data'!$D$6:$D$2225*('Multi-start Raw data'!$B$6:$B$2225=$A53)*('Multi-start Raw data'!$C$6:$C$2225=P$6)*('Multi-start Raw data'!$J$6:$J$2225="Fully converged"))</f>
        <v>2.504</v>
      </c>
      <c r="Q53">
        <f t="array" ref="Q53">SUM('Multi-start Raw data'!$D$6:$D$2225*('Multi-start Raw data'!$B$6:$B$2225=$A53)*('Multi-start Raw data'!$C$6:$C$2225=Q$6)*('Multi-start Raw data'!$J$6:$J$2225="Fully converged"))</f>
        <v>2.5059999999999998</v>
      </c>
      <c r="R53">
        <f t="array" ref="R53">SUM('Multi-start Raw data'!$D$6:$D$2225*('Multi-start Raw data'!$B$6:$B$2225=$A53)*('Multi-start Raw data'!$C$6:$C$2225=R$6)*('Multi-start Raw data'!$J$6:$J$2225="Fully converged"))</f>
        <v>2.5059999999999998</v>
      </c>
      <c r="S53">
        <f t="array" ref="S53">SUM('Multi-start Raw data'!$D$6:$D$2225*('Multi-start Raw data'!$B$6:$B$2225=$A53)*('Multi-start Raw data'!$C$6:$C$2225=S$6)*('Multi-start Raw data'!$J$6:$J$2225="Fully converged"))</f>
        <v>0</v>
      </c>
      <c r="T53">
        <f t="array" ref="T53">SUM('Multi-start Raw data'!$D$6:$D$2225*('Multi-start Raw data'!$B$6:$B$2225=$A53)*('Multi-start Raw data'!$C$6:$C$2225=T$6)*('Multi-start Raw data'!$J$6:$J$2225="Fully converged"))</f>
        <v>2.5059999999999998</v>
      </c>
      <c r="U53">
        <f t="array" ref="U53">SUM('Multi-start Raw data'!$D$6:$D$2225*('Multi-start Raw data'!$B$6:$B$2225=$A53)*('Multi-start Raw data'!$C$6:$C$2225=U$6)*('Multi-start Raw data'!$J$6:$J$2225="Fully converged"))</f>
        <v>2.504</v>
      </c>
      <c r="W53" s="6">
        <f t="shared" si="9"/>
        <v>2.5070000000000001</v>
      </c>
      <c r="X53" s="6">
        <f t="shared" si="10"/>
        <v>2.5070000000000001</v>
      </c>
      <c r="Y53" s="6">
        <f t="shared" si="11"/>
        <v>2.5070000000000001</v>
      </c>
      <c r="Z53" s="6">
        <f t="shared" si="12"/>
        <v>2.5070000000000001</v>
      </c>
      <c r="AA53" s="6">
        <f t="shared" si="13"/>
        <v>2.5070000000000001</v>
      </c>
      <c r="AB53" s="6"/>
      <c r="AC53" s="6">
        <f t="shared" si="14"/>
        <v>0</v>
      </c>
      <c r="AD53" s="6">
        <f t="shared" si="15"/>
        <v>0</v>
      </c>
      <c r="AE53" s="6">
        <f t="shared" si="16"/>
        <v>0</v>
      </c>
      <c r="AF53" s="6">
        <f t="shared" si="17"/>
        <v>0</v>
      </c>
      <c r="AG53" s="6">
        <f t="shared" si="18"/>
        <v>0</v>
      </c>
      <c r="AH53" s="6">
        <f t="shared" si="19"/>
        <v>0</v>
      </c>
      <c r="AI53" s="6">
        <f t="shared" si="20"/>
        <v>0</v>
      </c>
      <c r="AJ53" s="6">
        <f t="shared" si="21"/>
        <v>0</v>
      </c>
      <c r="AK53" s="6">
        <f t="shared" si="22"/>
        <v>0</v>
      </c>
      <c r="AM53" s="16">
        <f t="shared" si="23"/>
        <v>0.1</v>
      </c>
    </row>
    <row r="54" spans="1:39" x14ac:dyDescent="0.3">
      <c r="A54" s="1" t="s">
        <v>1324</v>
      </c>
      <c r="B54">
        <f t="array" ref="B54">SUM('Multi-start Raw data'!$D$6:$D$2225*('Multi-start Raw data'!$B$6:$B$2225=$A54)*('Multi-start Raw data'!$C$6:$C$2225=B$6)*('Multi-start Raw data'!$J$6:$J$2225="Fully converged"))</f>
        <v>2.4049999999999998</v>
      </c>
      <c r="C54">
        <f t="array" ref="C54">SUM('Multi-start Raw data'!$D$6:$D$2225*('Multi-start Raw data'!$B$6:$B$2225=$A54)*('Multi-start Raw data'!$C$6:$C$2225=C$6)*('Multi-start Raw data'!$J$6:$J$2225="Fully converged"))</f>
        <v>2.4039999999999999</v>
      </c>
      <c r="D54">
        <f t="array" ref="D54">SUM('Multi-start Raw data'!$D$6:$D$2225*('Multi-start Raw data'!$B$6:$B$2225=$A54)*('Multi-start Raw data'!$C$6:$C$2225=D$6)*('Multi-start Raw data'!$J$6:$J$2225="Fully converged"))</f>
        <v>2.4180000000000001</v>
      </c>
      <c r="E54">
        <f t="array" ref="E54">SUM('Multi-start Raw data'!$D$6:$D$2225*('Multi-start Raw data'!$B$6:$B$2225=$A54)*('Multi-start Raw data'!$C$6:$C$2225=E$6)*('Multi-start Raw data'!$J$6:$J$2225="Fully converged"))</f>
        <v>2.4049999999999998</v>
      </c>
      <c r="F54">
        <f t="array" ref="F54">SUM('Multi-start Raw data'!$D$6:$D$2225*('Multi-start Raw data'!$B$6:$B$2225=$A54)*('Multi-start Raw data'!$C$6:$C$2225=F$6)*('Multi-start Raw data'!$J$6:$J$2225="Fully converged"))</f>
        <v>0</v>
      </c>
      <c r="G54">
        <f t="array" ref="G54">SUM('Multi-start Raw data'!$D$6:$D$2225*('Multi-start Raw data'!$B$6:$B$2225=$A54)*('Multi-start Raw data'!$C$6:$C$2225=G$6)*('Multi-start Raw data'!$J$6:$J$2225="Fully converged"))</f>
        <v>2.2810000000000001</v>
      </c>
      <c r="H54">
        <f t="array" ref="H54">SUM('Multi-start Raw data'!$D$6:$D$2225*('Multi-start Raw data'!$B$6:$B$2225=$A54)*('Multi-start Raw data'!$C$6:$C$2225=H$6)*('Multi-start Raw data'!$J$6:$J$2225="Fully converged"))</f>
        <v>2.4140000000000001</v>
      </c>
      <c r="I54">
        <f t="array" ref="I54">SUM('Multi-start Raw data'!$D$6:$D$2225*('Multi-start Raw data'!$B$6:$B$2225=$A54)*('Multi-start Raw data'!$C$6:$C$2225=I$6)*('Multi-start Raw data'!$J$6:$J$2225="Fully converged"))</f>
        <v>2.4049999999999998</v>
      </c>
      <c r="J54">
        <f t="array" ref="J54">SUM('Multi-start Raw data'!$D$6:$D$2225*('Multi-start Raw data'!$B$6:$B$2225=$A54)*('Multi-start Raw data'!$C$6:$C$2225=J$6)*('Multi-start Raw data'!$J$6:$J$2225="Fully converged"))</f>
        <v>2.2869999999999999</v>
      </c>
      <c r="K54">
        <f t="array" ref="K54">SUM('Multi-start Raw data'!$D$6:$D$2225*('Multi-start Raw data'!$B$6:$B$2225=$A54)*('Multi-start Raw data'!$C$6:$C$2225=K$6)*('Multi-start Raw data'!$J$6:$J$2225="Fully converged"))</f>
        <v>2.4049999999999998</v>
      </c>
      <c r="L54">
        <f t="array" ref="L54">SUM('Multi-start Raw data'!$D$6:$D$2225*('Multi-start Raw data'!$B$6:$B$2225=$A54)*('Multi-start Raw data'!$C$6:$C$2225=L$6)*('Multi-start Raw data'!$J$6:$J$2225="Fully converged"))</f>
        <v>2.4089999999999998</v>
      </c>
      <c r="M54">
        <f t="array" ref="M54">SUM('Multi-start Raw data'!$D$6:$D$2225*('Multi-start Raw data'!$B$6:$B$2225=$A54)*('Multi-start Raw data'!$C$6:$C$2225=M$6)*('Multi-start Raw data'!$J$6:$J$2225="Fully converged"))</f>
        <v>2.4089999999999998</v>
      </c>
      <c r="N54">
        <f t="array" ref="N54">SUM('Multi-start Raw data'!$D$6:$D$2225*('Multi-start Raw data'!$B$6:$B$2225=$A54)*('Multi-start Raw data'!$C$6:$C$2225=N$6)*('Multi-start Raw data'!$J$6:$J$2225="Fully converged"))</f>
        <v>2.4089999999999998</v>
      </c>
      <c r="O54">
        <f t="array" ref="O54">SUM('Multi-start Raw data'!$D$6:$D$2225*('Multi-start Raw data'!$B$6:$B$2225=$A54)*('Multi-start Raw data'!$C$6:$C$2225=O$6)*('Multi-start Raw data'!$J$6:$J$2225="Fully converged"))</f>
        <v>2.4020000000000001</v>
      </c>
      <c r="P54">
        <f t="array" ref="P54">SUM('Multi-start Raw data'!$D$6:$D$2225*('Multi-start Raw data'!$B$6:$B$2225=$A54)*('Multi-start Raw data'!$C$6:$C$2225=P$6)*('Multi-start Raw data'!$J$6:$J$2225="Fully converged"))</f>
        <v>2.4049999999999998</v>
      </c>
      <c r="Q54">
        <f t="array" ref="Q54">SUM('Multi-start Raw data'!$D$6:$D$2225*('Multi-start Raw data'!$B$6:$B$2225=$A54)*('Multi-start Raw data'!$C$6:$C$2225=Q$6)*('Multi-start Raw data'!$J$6:$J$2225="Fully converged"))</f>
        <v>2.4020000000000001</v>
      </c>
      <c r="R54">
        <f t="array" ref="R54">SUM('Multi-start Raw data'!$D$6:$D$2225*('Multi-start Raw data'!$B$6:$B$2225=$A54)*('Multi-start Raw data'!$C$6:$C$2225=R$6)*('Multi-start Raw data'!$J$6:$J$2225="Fully converged"))</f>
        <v>2.4049999999999998</v>
      </c>
      <c r="S54">
        <f t="array" ref="S54">SUM('Multi-start Raw data'!$D$6:$D$2225*('Multi-start Raw data'!$B$6:$B$2225=$A54)*('Multi-start Raw data'!$C$6:$C$2225=S$6)*('Multi-start Raw data'!$J$6:$J$2225="Fully converged"))</f>
        <v>0</v>
      </c>
      <c r="T54">
        <f t="array" ref="T54">SUM('Multi-start Raw data'!$D$6:$D$2225*('Multi-start Raw data'!$B$6:$B$2225=$A54)*('Multi-start Raw data'!$C$6:$C$2225=T$6)*('Multi-start Raw data'!$J$6:$J$2225="Fully converged"))</f>
        <v>0</v>
      </c>
      <c r="U54">
        <f t="array" ref="U54">SUM('Multi-start Raw data'!$D$6:$D$2225*('Multi-start Raw data'!$B$6:$B$2225=$A54)*('Multi-start Raw data'!$C$6:$C$2225=U$6)*('Multi-start Raw data'!$J$6:$J$2225="Fully converged"))</f>
        <v>2.4049999999999998</v>
      </c>
      <c r="W54" s="6">
        <f t="shared" si="9"/>
        <v>2.4180000000000001</v>
      </c>
      <c r="X54" s="6">
        <f t="shared" si="10"/>
        <v>2.4180000000000001</v>
      </c>
      <c r="Y54" s="6">
        <f t="shared" si="11"/>
        <v>2.4180000000000001</v>
      </c>
      <c r="Z54" s="6">
        <f t="shared" si="12"/>
        <v>2.4180000000000001</v>
      </c>
      <c r="AA54" s="6">
        <f t="shared" si="13"/>
        <v>2.4180000000000001</v>
      </c>
      <c r="AB54" s="6"/>
      <c r="AC54" s="6">
        <f t="shared" si="14"/>
        <v>0</v>
      </c>
      <c r="AD54" s="6">
        <f t="shared" si="15"/>
        <v>0</v>
      </c>
      <c r="AE54" s="6">
        <f t="shared" si="16"/>
        <v>0</v>
      </c>
      <c r="AF54" s="6">
        <f t="shared" si="17"/>
        <v>0</v>
      </c>
      <c r="AG54" s="6">
        <f t="shared" si="18"/>
        <v>0</v>
      </c>
      <c r="AH54" s="6">
        <f t="shared" si="19"/>
        <v>0</v>
      </c>
      <c r="AI54" s="6">
        <f t="shared" si="20"/>
        <v>0</v>
      </c>
      <c r="AJ54" s="6">
        <f t="shared" si="21"/>
        <v>0</v>
      </c>
      <c r="AK54" s="6">
        <f t="shared" si="22"/>
        <v>0</v>
      </c>
      <c r="AM54" s="16">
        <f t="shared" si="23"/>
        <v>0.1</v>
      </c>
    </row>
    <row r="55" spans="1:39" x14ac:dyDescent="0.3">
      <c r="A55" s="1" t="s">
        <v>1350</v>
      </c>
      <c r="B55">
        <f t="array" ref="B55">SUM('Multi-start Raw data'!$D$6:$D$2225*('Multi-start Raw data'!$B$6:$B$2225=$A55)*('Multi-start Raw data'!$C$6:$C$2225=B$6)*('Multi-start Raw data'!$J$6:$J$2225="Fully converged"))</f>
        <v>2.5030000000000001</v>
      </c>
      <c r="C55">
        <f t="array" ref="C55">SUM('Multi-start Raw data'!$D$6:$D$2225*('Multi-start Raw data'!$B$6:$B$2225=$A55)*('Multi-start Raw data'!$C$6:$C$2225=C$6)*('Multi-start Raw data'!$J$6:$J$2225="Fully converged"))</f>
        <v>2.524</v>
      </c>
      <c r="D55">
        <f t="array" ref="D55">SUM('Multi-start Raw data'!$D$6:$D$2225*('Multi-start Raw data'!$B$6:$B$2225=$A55)*('Multi-start Raw data'!$C$6:$C$2225=D$6)*('Multi-start Raw data'!$J$6:$J$2225="Fully converged"))</f>
        <v>2.52</v>
      </c>
      <c r="E55">
        <f t="array" ref="E55">SUM('Multi-start Raw data'!$D$6:$D$2225*('Multi-start Raw data'!$B$6:$B$2225=$A55)*('Multi-start Raw data'!$C$6:$C$2225=E$6)*('Multi-start Raw data'!$J$6:$J$2225="Fully converged"))</f>
        <v>2.52</v>
      </c>
      <c r="F55">
        <f t="array" ref="F55">SUM('Multi-start Raw data'!$D$6:$D$2225*('Multi-start Raw data'!$B$6:$B$2225=$A55)*('Multi-start Raw data'!$C$6:$C$2225=F$6)*('Multi-start Raw data'!$J$6:$J$2225="Fully converged"))</f>
        <v>2.5030000000000001</v>
      </c>
      <c r="G55">
        <f t="array" ref="G55">SUM('Multi-start Raw data'!$D$6:$D$2225*('Multi-start Raw data'!$B$6:$B$2225=$A55)*('Multi-start Raw data'!$C$6:$C$2225=G$6)*('Multi-start Raw data'!$J$6:$J$2225="Fully converged"))</f>
        <v>2.5089999999999999</v>
      </c>
      <c r="H55">
        <f t="array" ref="H55">SUM('Multi-start Raw data'!$D$6:$D$2225*('Multi-start Raw data'!$B$6:$B$2225=$A55)*('Multi-start Raw data'!$C$6:$C$2225=H$6)*('Multi-start Raw data'!$J$6:$J$2225="Fully converged"))</f>
        <v>2.52</v>
      </c>
      <c r="I55">
        <f t="array" ref="I55">SUM('Multi-start Raw data'!$D$6:$D$2225*('Multi-start Raw data'!$B$6:$B$2225=$A55)*('Multi-start Raw data'!$C$6:$C$2225=I$6)*('Multi-start Raw data'!$J$6:$J$2225="Fully converged"))</f>
        <v>2.5190000000000001</v>
      </c>
      <c r="J55">
        <f t="array" ref="J55">SUM('Multi-start Raw data'!$D$6:$D$2225*('Multi-start Raw data'!$B$6:$B$2225=$A55)*('Multi-start Raw data'!$C$6:$C$2225=J$6)*('Multi-start Raw data'!$J$6:$J$2225="Fully converged"))</f>
        <v>2.5219999999999998</v>
      </c>
      <c r="K55">
        <f t="array" ref="K55">SUM('Multi-start Raw data'!$D$6:$D$2225*('Multi-start Raw data'!$B$6:$B$2225=$A55)*('Multi-start Raw data'!$C$6:$C$2225=K$6)*('Multi-start Raw data'!$J$6:$J$2225="Fully converged"))</f>
        <v>2.5030000000000001</v>
      </c>
      <c r="L55">
        <f t="array" ref="L55">SUM('Multi-start Raw data'!$D$6:$D$2225*('Multi-start Raw data'!$B$6:$B$2225=$A55)*('Multi-start Raw data'!$C$6:$C$2225=L$6)*('Multi-start Raw data'!$J$6:$J$2225="Fully converged"))</f>
        <v>2.524</v>
      </c>
      <c r="M55">
        <f t="array" ref="M55">SUM('Multi-start Raw data'!$D$6:$D$2225*('Multi-start Raw data'!$B$6:$B$2225=$A55)*('Multi-start Raw data'!$C$6:$C$2225=M$6)*('Multi-start Raw data'!$J$6:$J$2225="Fully converged"))</f>
        <v>2.5059999999999998</v>
      </c>
      <c r="N55">
        <f t="array" ref="N55">SUM('Multi-start Raw data'!$D$6:$D$2225*('Multi-start Raw data'!$B$6:$B$2225=$A55)*('Multi-start Raw data'!$C$6:$C$2225=N$6)*('Multi-start Raw data'!$J$6:$J$2225="Fully converged"))</f>
        <v>2.5030000000000001</v>
      </c>
      <c r="O55">
        <f t="array" ref="O55">SUM('Multi-start Raw data'!$D$6:$D$2225*('Multi-start Raw data'!$B$6:$B$2225=$A55)*('Multi-start Raw data'!$C$6:$C$2225=O$6)*('Multi-start Raw data'!$J$6:$J$2225="Fully converged"))</f>
        <v>2.5030000000000001</v>
      </c>
      <c r="P55">
        <f t="array" ref="P55">SUM('Multi-start Raw data'!$D$6:$D$2225*('Multi-start Raw data'!$B$6:$B$2225=$A55)*('Multi-start Raw data'!$C$6:$C$2225=P$6)*('Multi-start Raw data'!$J$6:$J$2225="Fully converged"))</f>
        <v>2.5219999999999998</v>
      </c>
      <c r="Q55">
        <f t="array" ref="Q55">SUM('Multi-start Raw data'!$D$6:$D$2225*('Multi-start Raw data'!$B$6:$B$2225=$A55)*('Multi-start Raw data'!$C$6:$C$2225=Q$6)*('Multi-start Raw data'!$J$6:$J$2225="Fully converged"))</f>
        <v>2.5219999999999998</v>
      </c>
      <c r="R55">
        <f t="array" ref="R55">SUM('Multi-start Raw data'!$D$6:$D$2225*('Multi-start Raw data'!$B$6:$B$2225=$A55)*('Multi-start Raw data'!$C$6:$C$2225=R$6)*('Multi-start Raw data'!$J$6:$J$2225="Fully converged"))</f>
        <v>2.5219999999999998</v>
      </c>
      <c r="S55">
        <f t="array" ref="S55">SUM('Multi-start Raw data'!$D$6:$D$2225*('Multi-start Raw data'!$B$6:$B$2225=$A55)*('Multi-start Raw data'!$C$6:$C$2225=S$6)*('Multi-start Raw data'!$J$6:$J$2225="Fully converged"))</f>
        <v>2.5209999999999999</v>
      </c>
      <c r="T55">
        <f t="array" ref="T55">SUM('Multi-start Raw data'!$D$6:$D$2225*('Multi-start Raw data'!$B$6:$B$2225=$A55)*('Multi-start Raw data'!$C$6:$C$2225=T$6)*('Multi-start Raw data'!$J$6:$J$2225="Fully converged"))</f>
        <v>2.524</v>
      </c>
      <c r="U55">
        <f t="array" ref="U55">SUM('Multi-start Raw data'!$D$6:$D$2225*('Multi-start Raw data'!$B$6:$B$2225=$A55)*('Multi-start Raw data'!$C$6:$C$2225=U$6)*('Multi-start Raw data'!$J$6:$J$2225="Fully converged"))</f>
        <v>2.52</v>
      </c>
      <c r="W55" s="6">
        <f t="shared" si="9"/>
        <v>2.524</v>
      </c>
      <c r="X55" s="6">
        <f t="shared" si="10"/>
        <v>2.524</v>
      </c>
      <c r="Y55" s="6">
        <f t="shared" si="11"/>
        <v>2.524</v>
      </c>
      <c r="Z55" s="6">
        <f t="shared" si="12"/>
        <v>2.524</v>
      </c>
      <c r="AA55" s="6">
        <f t="shared" si="13"/>
        <v>2.524</v>
      </c>
      <c r="AB55" s="6"/>
      <c r="AC55" s="6">
        <f t="shared" si="14"/>
        <v>0</v>
      </c>
      <c r="AD55" s="6">
        <f t="shared" si="15"/>
        <v>0</v>
      </c>
      <c r="AE55" s="6">
        <f t="shared" si="16"/>
        <v>0</v>
      </c>
      <c r="AF55" s="6">
        <f t="shared" si="17"/>
        <v>0</v>
      </c>
      <c r="AG55" s="6">
        <f t="shared" si="18"/>
        <v>0</v>
      </c>
      <c r="AH55" s="6">
        <f t="shared" si="19"/>
        <v>0</v>
      </c>
      <c r="AI55" s="6">
        <f t="shared" si="20"/>
        <v>0</v>
      </c>
      <c r="AJ55" s="6">
        <f t="shared" si="21"/>
        <v>0</v>
      </c>
      <c r="AK55" s="6">
        <f t="shared" si="22"/>
        <v>0</v>
      </c>
      <c r="AM55" s="16">
        <f t="shared" si="23"/>
        <v>0.1</v>
      </c>
    </row>
    <row r="56" spans="1:39" x14ac:dyDescent="0.3">
      <c r="A56" s="1" t="s">
        <v>1366</v>
      </c>
      <c r="B56">
        <f t="array" ref="B56">SUM('Multi-start Raw data'!$D$6:$D$2225*('Multi-start Raw data'!$B$6:$B$2225=$A56)*('Multi-start Raw data'!$C$6:$C$2225=B$6)*('Multi-start Raw data'!$J$6:$J$2225="Fully converged"))</f>
        <v>2.5150000000000001</v>
      </c>
      <c r="C56">
        <f t="array" ref="C56">SUM('Multi-start Raw data'!$D$6:$D$2225*('Multi-start Raw data'!$B$6:$B$2225=$A56)*('Multi-start Raw data'!$C$6:$C$2225=C$6)*('Multi-start Raw data'!$J$6:$J$2225="Fully converged"))</f>
        <v>2.492</v>
      </c>
      <c r="D56">
        <f t="array" ref="D56">SUM('Multi-start Raw data'!$D$6:$D$2225*('Multi-start Raw data'!$B$6:$B$2225=$A56)*('Multi-start Raw data'!$C$6:$C$2225=D$6)*('Multi-start Raw data'!$J$6:$J$2225="Fully converged"))</f>
        <v>2.5179999999999998</v>
      </c>
      <c r="E56">
        <f t="array" ref="E56">SUM('Multi-start Raw data'!$D$6:$D$2225*('Multi-start Raw data'!$B$6:$B$2225=$A56)*('Multi-start Raw data'!$C$6:$C$2225=E$6)*('Multi-start Raw data'!$J$6:$J$2225="Fully converged"))</f>
        <v>2.5179999999999998</v>
      </c>
      <c r="F56">
        <f t="array" ref="F56">SUM('Multi-start Raw data'!$D$6:$D$2225*('Multi-start Raw data'!$B$6:$B$2225=$A56)*('Multi-start Raw data'!$C$6:$C$2225=F$6)*('Multi-start Raw data'!$J$6:$J$2225="Fully converged"))</f>
        <v>2.5179999999999998</v>
      </c>
      <c r="G56">
        <f t="array" ref="G56">SUM('Multi-start Raw data'!$D$6:$D$2225*('Multi-start Raw data'!$B$6:$B$2225=$A56)*('Multi-start Raw data'!$C$6:$C$2225=G$6)*('Multi-start Raw data'!$J$6:$J$2225="Fully converged"))</f>
        <v>2.5009999999999999</v>
      </c>
      <c r="H56">
        <f t="array" ref="H56">SUM('Multi-start Raw data'!$D$6:$D$2225*('Multi-start Raw data'!$B$6:$B$2225=$A56)*('Multi-start Raw data'!$C$6:$C$2225=H$6)*('Multi-start Raw data'!$J$6:$J$2225="Fully converged"))</f>
        <v>0</v>
      </c>
      <c r="I56">
        <f t="array" ref="I56">SUM('Multi-start Raw data'!$D$6:$D$2225*('Multi-start Raw data'!$B$6:$B$2225=$A56)*('Multi-start Raw data'!$C$6:$C$2225=I$6)*('Multi-start Raw data'!$J$6:$J$2225="Fully converged"))</f>
        <v>2.5179999999999998</v>
      </c>
      <c r="J56">
        <f t="array" ref="J56">SUM('Multi-start Raw data'!$D$6:$D$2225*('Multi-start Raw data'!$B$6:$B$2225=$A56)*('Multi-start Raw data'!$C$6:$C$2225=J$6)*('Multi-start Raw data'!$J$6:$J$2225="Fully converged"))</f>
        <v>2.5139999999999998</v>
      </c>
      <c r="K56">
        <f t="array" ref="K56">SUM('Multi-start Raw data'!$D$6:$D$2225*('Multi-start Raw data'!$B$6:$B$2225=$A56)*('Multi-start Raw data'!$C$6:$C$2225=K$6)*('Multi-start Raw data'!$J$6:$J$2225="Fully converged"))</f>
        <v>2.492</v>
      </c>
      <c r="L56">
        <f t="array" ref="L56">SUM('Multi-start Raw data'!$D$6:$D$2225*('Multi-start Raw data'!$B$6:$B$2225=$A56)*('Multi-start Raw data'!$C$6:$C$2225=L$6)*('Multi-start Raw data'!$J$6:$J$2225="Fully converged"))</f>
        <v>2.5150000000000001</v>
      </c>
      <c r="M56">
        <f t="array" ref="M56">SUM('Multi-start Raw data'!$D$6:$D$2225*('Multi-start Raw data'!$B$6:$B$2225=$A56)*('Multi-start Raw data'!$C$6:$C$2225=M$6)*('Multi-start Raw data'!$J$6:$J$2225="Fully converged"))</f>
        <v>0</v>
      </c>
      <c r="N56">
        <f t="array" ref="N56">SUM('Multi-start Raw data'!$D$6:$D$2225*('Multi-start Raw data'!$B$6:$B$2225=$A56)*('Multi-start Raw data'!$C$6:$C$2225=N$6)*('Multi-start Raw data'!$J$6:$J$2225="Fully converged"))</f>
        <v>2.4980000000000002</v>
      </c>
      <c r="O56">
        <f t="array" ref="O56">SUM('Multi-start Raw data'!$D$6:$D$2225*('Multi-start Raw data'!$B$6:$B$2225=$A56)*('Multi-start Raw data'!$C$6:$C$2225=O$6)*('Multi-start Raw data'!$J$6:$J$2225="Fully converged"))</f>
        <v>2.4940000000000002</v>
      </c>
      <c r="P56">
        <f t="array" ref="P56">SUM('Multi-start Raw data'!$D$6:$D$2225*('Multi-start Raw data'!$B$6:$B$2225=$A56)*('Multi-start Raw data'!$C$6:$C$2225=P$6)*('Multi-start Raw data'!$J$6:$J$2225="Fully converged"))</f>
        <v>2.5179999999999998</v>
      </c>
      <c r="Q56">
        <f t="array" ref="Q56">SUM('Multi-start Raw data'!$D$6:$D$2225*('Multi-start Raw data'!$B$6:$B$2225=$A56)*('Multi-start Raw data'!$C$6:$C$2225=Q$6)*('Multi-start Raw data'!$J$6:$J$2225="Fully converged"))</f>
        <v>2.5179999999999998</v>
      </c>
      <c r="R56">
        <f t="array" ref="R56">SUM('Multi-start Raw data'!$D$6:$D$2225*('Multi-start Raw data'!$B$6:$B$2225=$A56)*('Multi-start Raw data'!$C$6:$C$2225=R$6)*('Multi-start Raw data'!$J$6:$J$2225="Fully converged"))</f>
        <v>2.5150000000000001</v>
      </c>
      <c r="S56">
        <f t="array" ref="S56">SUM('Multi-start Raw data'!$D$6:$D$2225*('Multi-start Raw data'!$B$6:$B$2225=$A56)*('Multi-start Raw data'!$C$6:$C$2225=S$6)*('Multi-start Raw data'!$J$6:$J$2225="Fully converged"))</f>
        <v>2.5139999999999998</v>
      </c>
      <c r="T56">
        <f t="array" ref="T56">SUM('Multi-start Raw data'!$D$6:$D$2225*('Multi-start Raw data'!$B$6:$B$2225=$A56)*('Multi-start Raw data'!$C$6:$C$2225=T$6)*('Multi-start Raw data'!$J$6:$J$2225="Fully converged"))</f>
        <v>2.5179999999999998</v>
      </c>
      <c r="U56">
        <f t="array" ref="U56">SUM('Multi-start Raw data'!$D$6:$D$2225*('Multi-start Raw data'!$B$6:$B$2225=$A56)*('Multi-start Raw data'!$C$6:$C$2225=U$6)*('Multi-start Raw data'!$J$6:$J$2225="Fully converged"))</f>
        <v>2.5150000000000001</v>
      </c>
      <c r="W56" s="6">
        <f t="shared" si="9"/>
        <v>2.5179999999999998</v>
      </c>
      <c r="X56" s="6">
        <f t="shared" si="10"/>
        <v>2.5179999999999998</v>
      </c>
      <c r="Y56" s="6">
        <f t="shared" si="11"/>
        <v>2.5179999999999998</v>
      </c>
      <c r="Z56" s="6">
        <f t="shared" si="12"/>
        <v>2.5179999999999998</v>
      </c>
      <c r="AA56" s="6">
        <f t="shared" si="13"/>
        <v>2.5179999999999998</v>
      </c>
      <c r="AB56" s="6"/>
      <c r="AC56" s="6">
        <f t="shared" si="14"/>
        <v>0</v>
      </c>
      <c r="AD56" s="6">
        <f t="shared" si="15"/>
        <v>0</v>
      </c>
      <c r="AE56" s="6">
        <f t="shared" si="16"/>
        <v>0</v>
      </c>
      <c r="AF56" s="6">
        <f t="shared" si="17"/>
        <v>0</v>
      </c>
      <c r="AG56" s="6">
        <f t="shared" si="18"/>
        <v>0</v>
      </c>
      <c r="AH56" s="6">
        <f t="shared" si="19"/>
        <v>0</v>
      </c>
      <c r="AI56" s="6">
        <f t="shared" si="20"/>
        <v>0</v>
      </c>
      <c r="AJ56" s="6">
        <f t="shared" si="21"/>
        <v>0</v>
      </c>
      <c r="AK56" s="6">
        <f t="shared" si="22"/>
        <v>0</v>
      </c>
      <c r="AM56" s="16">
        <f t="shared" si="23"/>
        <v>0.1</v>
      </c>
    </row>
    <row r="57" spans="1:39" x14ac:dyDescent="0.3">
      <c r="A57" s="1" t="s">
        <v>1386</v>
      </c>
      <c r="B57">
        <f t="array" ref="B57">SUM('Multi-start Raw data'!$D$6:$D$2225*('Multi-start Raw data'!$B$6:$B$2225=$A57)*('Multi-start Raw data'!$C$6:$C$2225=B$6)*('Multi-start Raw data'!$J$6:$J$2225="Fully converged"))</f>
        <v>2.5270000000000001</v>
      </c>
      <c r="C57">
        <f t="array" ref="C57">SUM('Multi-start Raw data'!$D$6:$D$2225*('Multi-start Raw data'!$B$6:$B$2225=$A57)*('Multi-start Raw data'!$C$6:$C$2225=C$6)*('Multi-start Raw data'!$J$6:$J$2225="Fully converged"))</f>
        <v>2.5249999999999999</v>
      </c>
      <c r="D57">
        <f t="array" ref="D57">SUM('Multi-start Raw data'!$D$6:$D$2225*('Multi-start Raw data'!$B$6:$B$2225=$A57)*('Multi-start Raw data'!$C$6:$C$2225=D$6)*('Multi-start Raw data'!$J$6:$J$2225="Fully converged"))</f>
        <v>2.5310000000000001</v>
      </c>
      <c r="E57">
        <f t="array" ref="E57">SUM('Multi-start Raw data'!$D$6:$D$2225*('Multi-start Raw data'!$B$6:$B$2225=$A57)*('Multi-start Raw data'!$C$6:$C$2225=E$6)*('Multi-start Raw data'!$J$6:$J$2225="Fully converged"))</f>
        <v>2.5089999999999999</v>
      </c>
      <c r="F57">
        <f t="array" ref="F57">SUM('Multi-start Raw data'!$D$6:$D$2225*('Multi-start Raw data'!$B$6:$B$2225=$A57)*('Multi-start Raw data'!$C$6:$C$2225=F$6)*('Multi-start Raw data'!$J$6:$J$2225="Fully converged"))</f>
        <v>2.528</v>
      </c>
      <c r="G57">
        <f t="array" ref="G57">SUM('Multi-start Raw data'!$D$6:$D$2225*('Multi-start Raw data'!$B$6:$B$2225=$A57)*('Multi-start Raw data'!$C$6:$C$2225=G$6)*('Multi-start Raw data'!$J$6:$J$2225="Fully converged"))</f>
        <v>2.5270000000000001</v>
      </c>
      <c r="H57">
        <f t="array" ref="H57">SUM('Multi-start Raw data'!$D$6:$D$2225*('Multi-start Raw data'!$B$6:$B$2225=$A57)*('Multi-start Raw data'!$C$6:$C$2225=H$6)*('Multi-start Raw data'!$J$6:$J$2225="Fully converged"))</f>
        <v>2.5310000000000001</v>
      </c>
      <c r="I57">
        <f t="array" ref="I57">SUM('Multi-start Raw data'!$D$6:$D$2225*('Multi-start Raw data'!$B$6:$B$2225=$A57)*('Multi-start Raw data'!$C$6:$C$2225=I$6)*('Multi-start Raw data'!$J$6:$J$2225="Fully converged"))</f>
        <v>2.5289999999999999</v>
      </c>
      <c r="J57">
        <f t="array" ref="J57">SUM('Multi-start Raw data'!$D$6:$D$2225*('Multi-start Raw data'!$B$6:$B$2225=$A57)*('Multi-start Raw data'!$C$6:$C$2225=J$6)*('Multi-start Raw data'!$J$6:$J$2225="Fully converged"))</f>
        <v>2.5270000000000001</v>
      </c>
      <c r="K57">
        <f t="array" ref="K57">SUM('Multi-start Raw data'!$D$6:$D$2225*('Multi-start Raw data'!$B$6:$B$2225=$A57)*('Multi-start Raw data'!$C$6:$C$2225=K$6)*('Multi-start Raw data'!$J$6:$J$2225="Fully converged"))</f>
        <v>2.5219999999999998</v>
      </c>
      <c r="L57">
        <f t="array" ref="L57">SUM('Multi-start Raw data'!$D$6:$D$2225*('Multi-start Raw data'!$B$6:$B$2225=$A57)*('Multi-start Raw data'!$C$6:$C$2225=L$6)*('Multi-start Raw data'!$J$6:$J$2225="Fully converged"))</f>
        <v>2.5310000000000001</v>
      </c>
      <c r="M57">
        <f t="array" ref="M57">SUM('Multi-start Raw data'!$D$6:$D$2225*('Multi-start Raw data'!$B$6:$B$2225=$A57)*('Multi-start Raw data'!$C$6:$C$2225=M$6)*('Multi-start Raw data'!$J$6:$J$2225="Fully converged"))</f>
        <v>2.5310000000000001</v>
      </c>
      <c r="N57">
        <f t="array" ref="N57">SUM('Multi-start Raw data'!$D$6:$D$2225*('Multi-start Raw data'!$B$6:$B$2225=$A57)*('Multi-start Raw data'!$C$6:$C$2225=N$6)*('Multi-start Raw data'!$J$6:$J$2225="Fully converged"))</f>
        <v>2.512</v>
      </c>
      <c r="O57">
        <f t="array" ref="O57">SUM('Multi-start Raw data'!$D$6:$D$2225*('Multi-start Raw data'!$B$6:$B$2225=$A57)*('Multi-start Raw data'!$C$6:$C$2225=O$6)*('Multi-start Raw data'!$J$6:$J$2225="Fully converged"))</f>
        <v>2.508</v>
      </c>
      <c r="P57">
        <f t="array" ref="P57">SUM('Multi-start Raw data'!$D$6:$D$2225*('Multi-start Raw data'!$B$6:$B$2225=$A57)*('Multi-start Raw data'!$C$6:$C$2225=P$6)*('Multi-start Raw data'!$J$6:$J$2225="Fully converged"))</f>
        <v>2.512</v>
      </c>
      <c r="Q57">
        <f t="array" ref="Q57">SUM('Multi-start Raw data'!$D$6:$D$2225*('Multi-start Raw data'!$B$6:$B$2225=$A57)*('Multi-start Raw data'!$C$6:$C$2225=Q$6)*('Multi-start Raw data'!$J$6:$J$2225="Fully converged"))</f>
        <v>2.5310000000000001</v>
      </c>
      <c r="R57">
        <f t="array" ref="R57">SUM('Multi-start Raw data'!$D$6:$D$2225*('Multi-start Raw data'!$B$6:$B$2225=$A57)*('Multi-start Raw data'!$C$6:$C$2225=R$6)*('Multi-start Raw data'!$J$6:$J$2225="Fully converged"))</f>
        <v>2.5259999999999998</v>
      </c>
      <c r="S57">
        <f t="array" ref="S57">SUM('Multi-start Raw data'!$D$6:$D$2225*('Multi-start Raw data'!$B$6:$B$2225=$A57)*('Multi-start Raw data'!$C$6:$C$2225=S$6)*('Multi-start Raw data'!$J$6:$J$2225="Fully converged"))</f>
        <v>2.5270000000000001</v>
      </c>
      <c r="T57">
        <f t="array" ref="T57">SUM('Multi-start Raw data'!$D$6:$D$2225*('Multi-start Raw data'!$B$6:$B$2225=$A57)*('Multi-start Raw data'!$C$6:$C$2225=T$6)*('Multi-start Raw data'!$J$6:$J$2225="Fully converged"))</f>
        <v>2.5310000000000001</v>
      </c>
      <c r="U57">
        <f t="array" ref="U57">SUM('Multi-start Raw data'!$D$6:$D$2225*('Multi-start Raw data'!$B$6:$B$2225=$A57)*('Multi-start Raw data'!$C$6:$C$2225=U$6)*('Multi-start Raw data'!$J$6:$J$2225="Fully converged"))</f>
        <v>2.5270000000000001</v>
      </c>
      <c r="W57" s="6">
        <f t="shared" si="9"/>
        <v>2.5310000000000001</v>
      </c>
      <c r="X57" s="6">
        <f t="shared" si="10"/>
        <v>2.5310000000000001</v>
      </c>
      <c r="Y57" s="6">
        <f t="shared" si="11"/>
        <v>2.5310000000000001</v>
      </c>
      <c r="Z57" s="6">
        <f t="shared" si="12"/>
        <v>2.5310000000000001</v>
      </c>
      <c r="AA57" s="6">
        <f t="shared" si="13"/>
        <v>2.5310000000000001</v>
      </c>
      <c r="AB57" s="6"/>
      <c r="AC57" s="6">
        <f t="shared" si="14"/>
        <v>0</v>
      </c>
      <c r="AD57" s="6">
        <f t="shared" si="15"/>
        <v>0</v>
      </c>
      <c r="AE57" s="6">
        <f t="shared" si="16"/>
        <v>0</v>
      </c>
      <c r="AF57" s="6">
        <f t="shared" si="17"/>
        <v>0</v>
      </c>
      <c r="AG57" s="6">
        <f t="shared" si="18"/>
        <v>0</v>
      </c>
      <c r="AH57" s="6">
        <f t="shared" si="19"/>
        <v>0</v>
      </c>
      <c r="AI57" s="6">
        <f t="shared" si="20"/>
        <v>0</v>
      </c>
      <c r="AJ57" s="6">
        <f t="shared" si="21"/>
        <v>0</v>
      </c>
      <c r="AK57" s="6">
        <f t="shared" si="22"/>
        <v>0</v>
      </c>
      <c r="AM57" s="16">
        <f t="shared" si="23"/>
        <v>0.1</v>
      </c>
    </row>
    <row r="58" spans="1:39" x14ac:dyDescent="0.3">
      <c r="A58" s="1" t="s">
        <v>1405</v>
      </c>
      <c r="B58">
        <f t="array" ref="B58">SUM('Multi-start Raw data'!$D$6:$D$2225*('Multi-start Raw data'!$B$6:$B$2225=$A58)*('Multi-start Raw data'!$C$6:$C$2225=B$6)*('Multi-start Raw data'!$J$6:$J$2225="Fully converged"))</f>
        <v>2.468</v>
      </c>
      <c r="C58">
        <f t="array" ref="C58">SUM('Multi-start Raw data'!$D$6:$D$2225*('Multi-start Raw data'!$B$6:$B$2225=$A58)*('Multi-start Raw data'!$C$6:$C$2225=C$6)*('Multi-start Raw data'!$J$6:$J$2225="Fully converged"))</f>
        <v>2.4670000000000001</v>
      </c>
      <c r="D58">
        <f t="array" ref="D58">SUM('Multi-start Raw data'!$D$6:$D$2225*('Multi-start Raw data'!$B$6:$B$2225=$A58)*('Multi-start Raw data'!$C$6:$C$2225=D$6)*('Multi-start Raw data'!$J$6:$J$2225="Fully converged"))</f>
        <v>2.4700000000000002</v>
      </c>
      <c r="E58">
        <f t="array" ref="E58">SUM('Multi-start Raw data'!$D$6:$D$2225*('Multi-start Raw data'!$B$6:$B$2225=$A58)*('Multi-start Raw data'!$C$6:$C$2225=E$6)*('Multi-start Raw data'!$J$6:$J$2225="Fully converged"))</f>
        <v>2.4670000000000001</v>
      </c>
      <c r="F58">
        <f t="array" ref="F58">SUM('Multi-start Raw data'!$D$6:$D$2225*('Multi-start Raw data'!$B$6:$B$2225=$A58)*('Multi-start Raw data'!$C$6:$C$2225=F$6)*('Multi-start Raw data'!$J$6:$J$2225="Fully converged"))</f>
        <v>2.4700000000000002</v>
      </c>
      <c r="G58">
        <f t="array" ref="G58">SUM('Multi-start Raw data'!$D$6:$D$2225*('Multi-start Raw data'!$B$6:$B$2225=$A58)*('Multi-start Raw data'!$C$6:$C$2225=G$6)*('Multi-start Raw data'!$J$6:$J$2225="Fully converged"))</f>
        <v>2.4689999999999999</v>
      </c>
      <c r="H58">
        <f t="array" ref="H58">SUM('Multi-start Raw data'!$D$6:$D$2225*('Multi-start Raw data'!$B$6:$B$2225=$A58)*('Multi-start Raw data'!$C$6:$C$2225=H$6)*('Multi-start Raw data'!$J$6:$J$2225="Fully converged"))</f>
        <v>2.4510000000000001</v>
      </c>
      <c r="I58">
        <f t="array" ref="I58">SUM('Multi-start Raw data'!$D$6:$D$2225*('Multi-start Raw data'!$B$6:$B$2225=$A58)*('Multi-start Raw data'!$C$6:$C$2225=I$6)*('Multi-start Raw data'!$J$6:$J$2225="Fully converged"))</f>
        <v>2.4700000000000002</v>
      </c>
      <c r="J58">
        <f t="array" ref="J58">SUM('Multi-start Raw data'!$D$6:$D$2225*('Multi-start Raw data'!$B$6:$B$2225=$A58)*('Multi-start Raw data'!$C$6:$C$2225=J$6)*('Multi-start Raw data'!$J$6:$J$2225="Fully converged"))</f>
        <v>2.4689999999999999</v>
      </c>
      <c r="K58">
        <f t="array" ref="K58">SUM('Multi-start Raw data'!$D$6:$D$2225*('Multi-start Raw data'!$B$6:$B$2225=$A58)*('Multi-start Raw data'!$C$6:$C$2225=K$6)*('Multi-start Raw data'!$J$6:$J$2225="Fully converged"))</f>
        <v>2.468</v>
      </c>
      <c r="L58">
        <f t="array" ref="L58">SUM('Multi-start Raw data'!$D$6:$D$2225*('Multi-start Raw data'!$B$6:$B$2225=$A58)*('Multi-start Raw data'!$C$6:$C$2225=L$6)*('Multi-start Raw data'!$J$6:$J$2225="Fully converged"))</f>
        <v>2.468</v>
      </c>
      <c r="M58">
        <f t="array" ref="M58">SUM('Multi-start Raw data'!$D$6:$D$2225*('Multi-start Raw data'!$B$6:$B$2225=$A58)*('Multi-start Raw data'!$C$6:$C$2225=M$6)*('Multi-start Raw data'!$J$6:$J$2225="Fully converged"))</f>
        <v>2.468</v>
      </c>
      <c r="N58">
        <f t="array" ref="N58">SUM('Multi-start Raw data'!$D$6:$D$2225*('Multi-start Raw data'!$B$6:$B$2225=$A58)*('Multi-start Raw data'!$C$6:$C$2225=N$6)*('Multi-start Raw data'!$J$6:$J$2225="Fully converged"))</f>
        <v>2.4510000000000001</v>
      </c>
      <c r="O58">
        <f t="array" ref="O58">SUM('Multi-start Raw data'!$D$6:$D$2225*('Multi-start Raw data'!$B$6:$B$2225=$A58)*('Multi-start Raw data'!$C$6:$C$2225=O$6)*('Multi-start Raw data'!$J$6:$J$2225="Fully converged"))</f>
        <v>2.4689999999999999</v>
      </c>
      <c r="P58">
        <f t="array" ref="P58">SUM('Multi-start Raw data'!$D$6:$D$2225*('Multi-start Raw data'!$B$6:$B$2225=$A58)*('Multi-start Raw data'!$C$6:$C$2225=P$6)*('Multi-start Raw data'!$J$6:$J$2225="Fully converged"))</f>
        <v>2.468</v>
      </c>
      <c r="Q58">
        <f t="array" ref="Q58">SUM('Multi-start Raw data'!$D$6:$D$2225*('Multi-start Raw data'!$B$6:$B$2225=$A58)*('Multi-start Raw data'!$C$6:$C$2225=Q$6)*('Multi-start Raw data'!$J$6:$J$2225="Fully converged"))</f>
        <v>2.4670000000000001</v>
      </c>
      <c r="R58">
        <f t="array" ref="R58">SUM('Multi-start Raw data'!$D$6:$D$2225*('Multi-start Raw data'!$B$6:$B$2225=$A58)*('Multi-start Raw data'!$C$6:$C$2225=R$6)*('Multi-start Raw data'!$J$6:$J$2225="Fully converged"))</f>
        <v>0</v>
      </c>
      <c r="S58">
        <f t="array" ref="S58">SUM('Multi-start Raw data'!$D$6:$D$2225*('Multi-start Raw data'!$B$6:$B$2225=$A58)*('Multi-start Raw data'!$C$6:$C$2225=S$6)*('Multi-start Raw data'!$J$6:$J$2225="Fully converged"))</f>
        <v>2.4689999999999999</v>
      </c>
      <c r="T58">
        <f t="array" ref="T58">SUM('Multi-start Raw data'!$D$6:$D$2225*('Multi-start Raw data'!$B$6:$B$2225=$A58)*('Multi-start Raw data'!$C$6:$C$2225=T$6)*('Multi-start Raw data'!$J$6:$J$2225="Fully converged"))</f>
        <v>2.4700000000000002</v>
      </c>
      <c r="U58">
        <f t="array" ref="U58">SUM('Multi-start Raw data'!$D$6:$D$2225*('Multi-start Raw data'!$B$6:$B$2225=$A58)*('Multi-start Raw data'!$C$6:$C$2225=U$6)*('Multi-start Raw data'!$J$6:$J$2225="Fully converged"))</f>
        <v>2.4670000000000001</v>
      </c>
      <c r="W58" s="6">
        <f t="shared" si="9"/>
        <v>2.4700000000000002</v>
      </c>
      <c r="X58" s="6">
        <f t="shared" si="10"/>
        <v>2.4700000000000002</v>
      </c>
      <c r="Y58" s="6">
        <f t="shared" si="11"/>
        <v>2.4700000000000002</v>
      </c>
      <c r="Z58" s="6">
        <f t="shared" si="12"/>
        <v>2.4700000000000002</v>
      </c>
      <c r="AA58" s="6">
        <f t="shared" si="13"/>
        <v>2.4700000000000002</v>
      </c>
      <c r="AB58" s="6"/>
      <c r="AC58" s="6">
        <f t="shared" si="14"/>
        <v>0</v>
      </c>
      <c r="AD58" s="6">
        <f t="shared" si="15"/>
        <v>0</v>
      </c>
      <c r="AE58" s="6">
        <f t="shared" si="16"/>
        <v>0</v>
      </c>
      <c r="AF58" s="6">
        <f t="shared" si="17"/>
        <v>0</v>
      </c>
      <c r="AG58" s="6">
        <f t="shared" si="18"/>
        <v>0</v>
      </c>
      <c r="AH58" s="6">
        <f t="shared" si="19"/>
        <v>0</v>
      </c>
      <c r="AI58" s="6">
        <f t="shared" si="20"/>
        <v>0</v>
      </c>
      <c r="AJ58" s="6">
        <f t="shared" si="21"/>
        <v>0</v>
      </c>
      <c r="AK58" s="6">
        <f t="shared" si="22"/>
        <v>0</v>
      </c>
      <c r="AM58" s="16">
        <f t="shared" si="23"/>
        <v>0.1</v>
      </c>
    </row>
    <row r="59" spans="1:39" x14ac:dyDescent="0.3">
      <c r="A59" s="1" t="s">
        <v>1421</v>
      </c>
      <c r="B59">
        <f t="array" ref="B59">SUM('Multi-start Raw data'!$D$6:$D$2225*('Multi-start Raw data'!$B$6:$B$2225=$A59)*('Multi-start Raw data'!$C$6:$C$2225=B$6)*('Multi-start Raw data'!$J$6:$J$2225="Fully converged"))</f>
        <v>2.4430000000000001</v>
      </c>
      <c r="C59">
        <f t="array" ref="C59">SUM('Multi-start Raw data'!$D$6:$D$2225*('Multi-start Raw data'!$B$6:$B$2225=$A59)*('Multi-start Raw data'!$C$6:$C$2225=C$6)*('Multi-start Raw data'!$J$6:$J$2225="Fully converged"))</f>
        <v>2.44</v>
      </c>
      <c r="D59">
        <f t="array" ref="D59">SUM('Multi-start Raw data'!$D$6:$D$2225*('Multi-start Raw data'!$B$6:$B$2225=$A59)*('Multi-start Raw data'!$C$6:$C$2225=D$6)*('Multi-start Raw data'!$J$6:$J$2225="Fully converged"))</f>
        <v>2.448</v>
      </c>
      <c r="E59">
        <f t="array" ref="E59">SUM('Multi-start Raw data'!$D$6:$D$2225*('Multi-start Raw data'!$B$6:$B$2225=$A59)*('Multi-start Raw data'!$C$6:$C$2225=E$6)*('Multi-start Raw data'!$J$6:$J$2225="Fully converged"))</f>
        <v>0</v>
      </c>
      <c r="F59">
        <f t="array" ref="F59">SUM('Multi-start Raw data'!$D$6:$D$2225*('Multi-start Raw data'!$B$6:$B$2225=$A59)*('Multi-start Raw data'!$C$6:$C$2225=F$6)*('Multi-start Raw data'!$J$6:$J$2225="Fully converged"))</f>
        <v>2.448</v>
      </c>
      <c r="G59">
        <f t="array" ref="G59">SUM('Multi-start Raw data'!$D$6:$D$2225*('Multi-start Raw data'!$B$6:$B$2225=$A59)*('Multi-start Raw data'!$C$6:$C$2225=G$6)*('Multi-start Raw data'!$J$6:$J$2225="Fully converged"))</f>
        <v>2.2130000000000001</v>
      </c>
      <c r="H59">
        <f t="array" ref="H59">SUM('Multi-start Raw data'!$D$6:$D$2225*('Multi-start Raw data'!$B$6:$B$2225=$A59)*('Multi-start Raw data'!$C$6:$C$2225=H$6)*('Multi-start Raw data'!$J$6:$J$2225="Fully converged"))</f>
        <v>0</v>
      </c>
      <c r="I59">
        <f t="array" ref="I59">SUM('Multi-start Raw data'!$D$6:$D$2225*('Multi-start Raw data'!$B$6:$B$2225=$A59)*('Multi-start Raw data'!$C$6:$C$2225=I$6)*('Multi-start Raw data'!$J$6:$J$2225="Fully converged"))</f>
        <v>2.448</v>
      </c>
      <c r="J59">
        <f t="array" ref="J59">SUM('Multi-start Raw data'!$D$6:$D$2225*('Multi-start Raw data'!$B$6:$B$2225=$A59)*('Multi-start Raw data'!$C$6:$C$2225=J$6)*('Multi-start Raw data'!$J$6:$J$2225="Fully converged"))</f>
        <v>2.444</v>
      </c>
      <c r="K59">
        <f t="array" ref="K59">SUM('Multi-start Raw data'!$D$6:$D$2225*('Multi-start Raw data'!$B$6:$B$2225=$A59)*('Multi-start Raw data'!$C$6:$C$2225=K$6)*('Multi-start Raw data'!$J$6:$J$2225="Fully converged"))</f>
        <v>2.4449999999999998</v>
      </c>
      <c r="L59">
        <f t="array" ref="L59">SUM('Multi-start Raw data'!$D$6:$D$2225*('Multi-start Raw data'!$B$6:$B$2225=$A59)*('Multi-start Raw data'!$C$6:$C$2225=L$6)*('Multi-start Raw data'!$J$6:$J$2225="Fully converged"))</f>
        <v>2.448</v>
      </c>
      <c r="M59">
        <f t="array" ref="M59">SUM('Multi-start Raw data'!$D$6:$D$2225*('Multi-start Raw data'!$B$6:$B$2225=$A59)*('Multi-start Raw data'!$C$6:$C$2225=M$6)*('Multi-start Raw data'!$J$6:$J$2225="Fully converged"))</f>
        <v>2.4409999999999998</v>
      </c>
      <c r="N59">
        <f t="array" ref="N59">SUM('Multi-start Raw data'!$D$6:$D$2225*('Multi-start Raw data'!$B$6:$B$2225=$A59)*('Multi-start Raw data'!$C$6:$C$2225=N$6)*('Multi-start Raw data'!$J$6:$J$2225="Fully converged"))</f>
        <v>2.448</v>
      </c>
      <c r="O59">
        <f t="array" ref="O59">SUM('Multi-start Raw data'!$D$6:$D$2225*('Multi-start Raw data'!$B$6:$B$2225=$A59)*('Multi-start Raw data'!$C$6:$C$2225=O$6)*('Multi-start Raw data'!$J$6:$J$2225="Fully converged"))</f>
        <v>2.4449999999999998</v>
      </c>
      <c r="P59">
        <f t="array" ref="P59">SUM('Multi-start Raw data'!$D$6:$D$2225*('Multi-start Raw data'!$B$6:$B$2225=$A59)*('Multi-start Raw data'!$C$6:$C$2225=P$6)*('Multi-start Raw data'!$J$6:$J$2225="Fully converged"))</f>
        <v>2.4430000000000001</v>
      </c>
      <c r="Q59">
        <f t="array" ref="Q59">SUM('Multi-start Raw data'!$D$6:$D$2225*('Multi-start Raw data'!$B$6:$B$2225=$A59)*('Multi-start Raw data'!$C$6:$C$2225=Q$6)*('Multi-start Raw data'!$J$6:$J$2225="Fully converged"))</f>
        <v>2.44</v>
      </c>
      <c r="R59">
        <f t="array" ref="R59">SUM('Multi-start Raw data'!$D$6:$D$2225*('Multi-start Raw data'!$B$6:$B$2225=$A59)*('Multi-start Raw data'!$C$6:$C$2225=R$6)*('Multi-start Raw data'!$J$6:$J$2225="Fully converged"))</f>
        <v>0</v>
      </c>
      <c r="S59">
        <f t="array" ref="S59">SUM('Multi-start Raw data'!$D$6:$D$2225*('Multi-start Raw data'!$B$6:$B$2225=$A59)*('Multi-start Raw data'!$C$6:$C$2225=S$6)*('Multi-start Raw data'!$J$6:$J$2225="Fully converged"))</f>
        <v>2.4449999999999998</v>
      </c>
      <c r="T59">
        <f t="array" ref="T59">SUM('Multi-start Raw data'!$D$6:$D$2225*('Multi-start Raw data'!$B$6:$B$2225=$A59)*('Multi-start Raw data'!$C$6:$C$2225=T$6)*('Multi-start Raw data'!$J$6:$J$2225="Fully converged"))</f>
        <v>2.448</v>
      </c>
      <c r="U59">
        <f t="array" ref="U59">SUM('Multi-start Raw data'!$D$6:$D$2225*('Multi-start Raw data'!$B$6:$B$2225=$A59)*('Multi-start Raw data'!$C$6:$C$2225=U$6)*('Multi-start Raw data'!$J$6:$J$2225="Fully converged"))</f>
        <v>2.4420000000000002</v>
      </c>
      <c r="W59" s="6">
        <f t="shared" si="9"/>
        <v>2.448</v>
      </c>
      <c r="X59" s="6">
        <f t="shared" si="10"/>
        <v>2.448</v>
      </c>
      <c r="Y59" s="6">
        <f t="shared" si="11"/>
        <v>2.448</v>
      </c>
      <c r="Z59" s="6">
        <f t="shared" si="12"/>
        <v>2.448</v>
      </c>
      <c r="AA59" s="6">
        <f t="shared" si="13"/>
        <v>2.448</v>
      </c>
      <c r="AB59" s="6"/>
      <c r="AC59" s="6">
        <f t="shared" si="14"/>
        <v>0</v>
      </c>
      <c r="AD59" s="6">
        <f t="shared" si="15"/>
        <v>0</v>
      </c>
      <c r="AE59" s="6">
        <f t="shared" si="16"/>
        <v>0</v>
      </c>
      <c r="AF59" s="6">
        <f t="shared" si="17"/>
        <v>0</v>
      </c>
      <c r="AG59" s="6">
        <f t="shared" si="18"/>
        <v>0</v>
      </c>
      <c r="AH59" s="6">
        <f t="shared" si="19"/>
        <v>0</v>
      </c>
      <c r="AI59" s="6">
        <f t="shared" si="20"/>
        <v>0</v>
      </c>
      <c r="AJ59" s="6">
        <f t="shared" si="21"/>
        <v>0</v>
      </c>
      <c r="AK59" s="6">
        <f t="shared" si="22"/>
        <v>0</v>
      </c>
      <c r="AM59" s="16">
        <f t="shared" si="23"/>
        <v>0.1</v>
      </c>
    </row>
    <row r="60" spans="1:39" x14ac:dyDescent="0.3">
      <c r="A60" s="1" t="s">
        <v>1446</v>
      </c>
      <c r="B60">
        <f t="array" ref="B60">SUM('Multi-start Raw data'!$D$6:$D$2225*('Multi-start Raw data'!$B$6:$B$2225=$A60)*('Multi-start Raw data'!$C$6:$C$2225=B$6)*('Multi-start Raw data'!$J$6:$J$2225="Fully converged"))</f>
        <v>2.512</v>
      </c>
      <c r="C60">
        <f t="array" ref="C60">SUM('Multi-start Raw data'!$D$6:$D$2225*('Multi-start Raw data'!$B$6:$B$2225=$A60)*('Multi-start Raw data'!$C$6:$C$2225=C$6)*('Multi-start Raw data'!$J$6:$J$2225="Fully converged"))</f>
        <v>2.5110000000000001</v>
      </c>
      <c r="D60">
        <f t="array" ref="D60">SUM('Multi-start Raw data'!$D$6:$D$2225*('Multi-start Raw data'!$B$6:$B$2225=$A60)*('Multi-start Raw data'!$C$6:$C$2225=D$6)*('Multi-start Raw data'!$J$6:$J$2225="Fully converged"))</f>
        <v>2.516</v>
      </c>
      <c r="E60">
        <f t="array" ref="E60">SUM('Multi-start Raw data'!$D$6:$D$2225*('Multi-start Raw data'!$B$6:$B$2225=$A60)*('Multi-start Raw data'!$C$6:$C$2225=E$6)*('Multi-start Raw data'!$J$6:$J$2225="Fully converged"))</f>
        <v>2.504</v>
      </c>
      <c r="F60">
        <f t="array" ref="F60">SUM('Multi-start Raw data'!$D$6:$D$2225*('Multi-start Raw data'!$B$6:$B$2225=$A60)*('Multi-start Raw data'!$C$6:$C$2225=F$6)*('Multi-start Raw data'!$J$6:$J$2225="Fully converged"))</f>
        <v>2.516</v>
      </c>
      <c r="G60">
        <f t="array" ref="G60">SUM('Multi-start Raw data'!$D$6:$D$2225*('Multi-start Raw data'!$B$6:$B$2225=$A60)*('Multi-start Raw data'!$C$6:$C$2225=G$6)*('Multi-start Raw data'!$J$6:$J$2225="Fully converged"))</f>
        <v>2.512</v>
      </c>
      <c r="H60">
        <f t="array" ref="H60">SUM('Multi-start Raw data'!$D$6:$D$2225*('Multi-start Raw data'!$B$6:$B$2225=$A60)*('Multi-start Raw data'!$C$6:$C$2225=H$6)*('Multi-start Raw data'!$J$6:$J$2225="Fully converged"))</f>
        <v>2.512</v>
      </c>
      <c r="I60">
        <f t="array" ref="I60">SUM('Multi-start Raw data'!$D$6:$D$2225*('Multi-start Raw data'!$B$6:$B$2225=$A60)*('Multi-start Raw data'!$C$6:$C$2225=I$6)*('Multi-start Raw data'!$J$6:$J$2225="Fully converged"))</f>
        <v>2.516</v>
      </c>
      <c r="J60">
        <f t="array" ref="J60">SUM('Multi-start Raw data'!$D$6:$D$2225*('Multi-start Raw data'!$B$6:$B$2225=$A60)*('Multi-start Raw data'!$C$6:$C$2225=J$6)*('Multi-start Raw data'!$J$6:$J$2225="Fully converged"))</f>
        <v>2.4889999999999999</v>
      </c>
      <c r="K60">
        <f t="array" ref="K60">SUM('Multi-start Raw data'!$D$6:$D$2225*('Multi-start Raw data'!$B$6:$B$2225=$A60)*('Multi-start Raw data'!$C$6:$C$2225=K$6)*('Multi-start Raw data'!$J$6:$J$2225="Fully converged"))</f>
        <v>2.508</v>
      </c>
      <c r="L60">
        <f t="array" ref="L60">SUM('Multi-start Raw data'!$D$6:$D$2225*('Multi-start Raw data'!$B$6:$B$2225=$A60)*('Multi-start Raw data'!$C$6:$C$2225=L$6)*('Multi-start Raw data'!$J$6:$J$2225="Fully converged"))</f>
        <v>2.512</v>
      </c>
      <c r="M60">
        <f t="array" ref="M60">SUM('Multi-start Raw data'!$D$6:$D$2225*('Multi-start Raw data'!$B$6:$B$2225=$A60)*('Multi-start Raw data'!$C$6:$C$2225=M$6)*('Multi-start Raw data'!$J$6:$J$2225="Fully converged"))</f>
        <v>2.4910000000000001</v>
      </c>
      <c r="N60">
        <f t="array" ref="N60">SUM('Multi-start Raw data'!$D$6:$D$2225*('Multi-start Raw data'!$B$6:$B$2225=$A60)*('Multi-start Raw data'!$C$6:$C$2225=N$6)*('Multi-start Raw data'!$J$6:$J$2225="Fully converged"))</f>
        <v>2.496</v>
      </c>
      <c r="O60">
        <f t="array" ref="O60">SUM('Multi-start Raw data'!$D$6:$D$2225*('Multi-start Raw data'!$B$6:$B$2225=$A60)*('Multi-start Raw data'!$C$6:$C$2225=O$6)*('Multi-start Raw data'!$J$6:$J$2225="Fully converged"))</f>
        <v>2.5110000000000001</v>
      </c>
      <c r="P60">
        <f t="array" ref="P60">SUM('Multi-start Raw data'!$D$6:$D$2225*('Multi-start Raw data'!$B$6:$B$2225=$A60)*('Multi-start Raw data'!$C$6:$C$2225=P$6)*('Multi-start Raw data'!$J$6:$J$2225="Fully converged"))</f>
        <v>2.512</v>
      </c>
      <c r="Q60">
        <f t="array" ref="Q60">SUM('Multi-start Raw data'!$D$6:$D$2225*('Multi-start Raw data'!$B$6:$B$2225=$A60)*('Multi-start Raw data'!$C$6:$C$2225=Q$6)*('Multi-start Raw data'!$J$6:$J$2225="Fully converged"))</f>
        <v>2.496</v>
      </c>
      <c r="R60">
        <f t="array" ref="R60">SUM('Multi-start Raw data'!$D$6:$D$2225*('Multi-start Raw data'!$B$6:$B$2225=$A60)*('Multi-start Raw data'!$C$6:$C$2225=R$6)*('Multi-start Raw data'!$J$6:$J$2225="Fully converged"))</f>
        <v>2.508</v>
      </c>
      <c r="S60">
        <f t="array" ref="S60">SUM('Multi-start Raw data'!$D$6:$D$2225*('Multi-start Raw data'!$B$6:$B$2225=$A60)*('Multi-start Raw data'!$C$6:$C$2225=S$6)*('Multi-start Raw data'!$J$6:$J$2225="Fully converged"))</f>
        <v>2.4969999999999999</v>
      </c>
      <c r="T60">
        <f t="array" ref="T60">SUM('Multi-start Raw data'!$D$6:$D$2225*('Multi-start Raw data'!$B$6:$B$2225=$A60)*('Multi-start Raw data'!$C$6:$C$2225=T$6)*('Multi-start Raw data'!$J$6:$J$2225="Fully converged"))</f>
        <v>2.512</v>
      </c>
      <c r="U60">
        <f t="array" ref="U60">SUM('Multi-start Raw data'!$D$6:$D$2225*('Multi-start Raw data'!$B$6:$B$2225=$A60)*('Multi-start Raw data'!$C$6:$C$2225=U$6)*('Multi-start Raw data'!$J$6:$J$2225="Fully converged"))</f>
        <v>2.492</v>
      </c>
      <c r="W60" s="6">
        <f t="shared" si="9"/>
        <v>2.516</v>
      </c>
      <c r="X60" s="6">
        <f t="shared" si="10"/>
        <v>2.516</v>
      </c>
      <c r="Y60" s="6">
        <f t="shared" si="11"/>
        <v>2.516</v>
      </c>
      <c r="Z60" s="6">
        <f t="shared" si="12"/>
        <v>2.516</v>
      </c>
      <c r="AA60" s="6">
        <f t="shared" si="13"/>
        <v>2.516</v>
      </c>
      <c r="AB60" s="6"/>
      <c r="AC60" s="6">
        <f t="shared" si="14"/>
        <v>0</v>
      </c>
      <c r="AD60" s="6">
        <f t="shared" si="15"/>
        <v>0</v>
      </c>
      <c r="AE60" s="6">
        <f t="shared" si="16"/>
        <v>0</v>
      </c>
      <c r="AF60" s="6">
        <f t="shared" si="17"/>
        <v>0</v>
      </c>
      <c r="AG60" s="6">
        <f t="shared" si="18"/>
        <v>0</v>
      </c>
      <c r="AH60" s="6">
        <f t="shared" si="19"/>
        <v>0</v>
      </c>
      <c r="AI60" s="6">
        <f t="shared" si="20"/>
        <v>0</v>
      </c>
      <c r="AJ60" s="6">
        <f t="shared" si="21"/>
        <v>0</v>
      </c>
      <c r="AK60" s="6">
        <f t="shared" si="22"/>
        <v>0</v>
      </c>
      <c r="AM60" s="16">
        <f t="shared" si="23"/>
        <v>0.1</v>
      </c>
    </row>
    <row r="61" spans="1:39" x14ac:dyDescent="0.3">
      <c r="A61" s="1" t="s">
        <v>1465</v>
      </c>
      <c r="B61">
        <f t="array" ref="B61">SUM('Multi-start Raw data'!$D$6:$D$2225*('Multi-start Raw data'!$B$6:$B$2225=$A61)*('Multi-start Raw data'!$C$6:$C$2225=B$6)*('Multi-start Raw data'!$J$6:$J$2225="Fully converged"))</f>
        <v>2.5009999999999999</v>
      </c>
      <c r="C61">
        <f t="array" ref="C61">SUM('Multi-start Raw data'!$D$6:$D$2225*('Multi-start Raw data'!$B$6:$B$2225=$A61)*('Multi-start Raw data'!$C$6:$C$2225=C$6)*('Multi-start Raw data'!$J$6:$J$2225="Fully converged"))</f>
        <v>2.504</v>
      </c>
      <c r="D61">
        <f t="array" ref="D61">SUM('Multi-start Raw data'!$D$6:$D$2225*('Multi-start Raw data'!$B$6:$B$2225=$A61)*('Multi-start Raw data'!$C$6:$C$2225=D$6)*('Multi-start Raw data'!$J$6:$J$2225="Fully converged"))</f>
        <v>2.5129999999999999</v>
      </c>
      <c r="E61">
        <f t="array" ref="E61">SUM('Multi-start Raw data'!$D$6:$D$2225*('Multi-start Raw data'!$B$6:$B$2225=$A61)*('Multi-start Raw data'!$C$6:$C$2225=E$6)*('Multi-start Raw data'!$J$6:$J$2225="Fully converged"))</f>
        <v>2.508</v>
      </c>
      <c r="F61">
        <f t="array" ref="F61">SUM('Multi-start Raw data'!$D$6:$D$2225*('Multi-start Raw data'!$B$6:$B$2225=$A61)*('Multi-start Raw data'!$C$6:$C$2225=F$6)*('Multi-start Raw data'!$J$6:$J$2225="Fully converged"))</f>
        <v>2.5009999999999999</v>
      </c>
      <c r="G61">
        <f t="array" ref="G61">SUM('Multi-start Raw data'!$D$6:$D$2225*('Multi-start Raw data'!$B$6:$B$2225=$A61)*('Multi-start Raw data'!$C$6:$C$2225=G$6)*('Multi-start Raw data'!$J$6:$J$2225="Fully converged"))</f>
        <v>0</v>
      </c>
      <c r="H61">
        <f t="array" ref="H61">SUM('Multi-start Raw data'!$D$6:$D$2225*('Multi-start Raw data'!$B$6:$B$2225=$A61)*('Multi-start Raw data'!$C$6:$C$2225=H$6)*('Multi-start Raw data'!$J$6:$J$2225="Fully converged"))</f>
        <v>2.504</v>
      </c>
      <c r="I61">
        <f t="array" ref="I61">SUM('Multi-start Raw data'!$D$6:$D$2225*('Multi-start Raw data'!$B$6:$B$2225=$A61)*('Multi-start Raw data'!$C$6:$C$2225=I$6)*('Multi-start Raw data'!$J$6:$J$2225="Fully converged"))</f>
        <v>2.5099999999999998</v>
      </c>
      <c r="J61">
        <f t="array" ref="J61">SUM('Multi-start Raw data'!$D$6:$D$2225*('Multi-start Raw data'!$B$6:$B$2225=$A61)*('Multi-start Raw data'!$C$6:$C$2225=J$6)*('Multi-start Raw data'!$J$6:$J$2225="Fully converged"))</f>
        <v>2.5070000000000001</v>
      </c>
      <c r="K61">
        <f t="array" ref="K61">SUM('Multi-start Raw data'!$D$6:$D$2225*('Multi-start Raw data'!$B$6:$B$2225=$A61)*('Multi-start Raw data'!$C$6:$C$2225=K$6)*('Multi-start Raw data'!$J$6:$J$2225="Fully converged"))</f>
        <v>2.4900000000000002</v>
      </c>
      <c r="L61">
        <f t="array" ref="L61">SUM('Multi-start Raw data'!$D$6:$D$2225*('Multi-start Raw data'!$B$6:$B$2225=$A61)*('Multi-start Raw data'!$C$6:$C$2225=L$6)*('Multi-start Raw data'!$J$6:$J$2225="Fully converged"))</f>
        <v>2.5070000000000001</v>
      </c>
      <c r="M61">
        <f t="array" ref="M61">SUM('Multi-start Raw data'!$D$6:$D$2225*('Multi-start Raw data'!$B$6:$B$2225=$A61)*('Multi-start Raw data'!$C$6:$C$2225=M$6)*('Multi-start Raw data'!$J$6:$J$2225="Fully converged"))</f>
        <v>2.5009999999999999</v>
      </c>
      <c r="N61">
        <f t="array" ref="N61">SUM('Multi-start Raw data'!$D$6:$D$2225*('Multi-start Raw data'!$B$6:$B$2225=$A61)*('Multi-start Raw data'!$C$6:$C$2225=N$6)*('Multi-start Raw data'!$J$6:$J$2225="Fully converged"))</f>
        <v>2.5009999999999999</v>
      </c>
      <c r="O61">
        <f t="array" ref="O61">SUM('Multi-start Raw data'!$D$6:$D$2225*('Multi-start Raw data'!$B$6:$B$2225=$A61)*('Multi-start Raw data'!$C$6:$C$2225=O$6)*('Multi-start Raw data'!$J$6:$J$2225="Fully converged"))</f>
        <v>0</v>
      </c>
      <c r="P61">
        <f t="array" ref="P61">SUM('Multi-start Raw data'!$D$6:$D$2225*('Multi-start Raw data'!$B$6:$B$2225=$A61)*('Multi-start Raw data'!$C$6:$C$2225=P$6)*('Multi-start Raw data'!$J$6:$J$2225="Fully converged"))</f>
        <v>2.5129999999999999</v>
      </c>
      <c r="Q61">
        <f t="array" ref="Q61">SUM('Multi-start Raw data'!$D$6:$D$2225*('Multi-start Raw data'!$B$6:$B$2225=$A61)*('Multi-start Raw data'!$C$6:$C$2225=Q$6)*('Multi-start Raw data'!$J$6:$J$2225="Fully converged"))</f>
        <v>0</v>
      </c>
      <c r="R61">
        <f t="array" ref="R61">SUM('Multi-start Raw data'!$D$6:$D$2225*('Multi-start Raw data'!$B$6:$B$2225=$A61)*('Multi-start Raw data'!$C$6:$C$2225=R$6)*('Multi-start Raw data'!$J$6:$J$2225="Fully converged"))</f>
        <v>2.4929999999999999</v>
      </c>
      <c r="S61">
        <f t="array" ref="S61">SUM('Multi-start Raw data'!$D$6:$D$2225*('Multi-start Raw data'!$B$6:$B$2225=$A61)*('Multi-start Raw data'!$C$6:$C$2225=S$6)*('Multi-start Raw data'!$J$6:$J$2225="Fully converged"))</f>
        <v>2.508</v>
      </c>
      <c r="T61">
        <f t="array" ref="T61">SUM('Multi-start Raw data'!$D$6:$D$2225*('Multi-start Raw data'!$B$6:$B$2225=$A61)*('Multi-start Raw data'!$C$6:$C$2225=T$6)*('Multi-start Raw data'!$J$6:$J$2225="Fully converged"))</f>
        <v>2.5110000000000001</v>
      </c>
      <c r="U61">
        <f t="array" ref="U61">SUM('Multi-start Raw data'!$D$6:$D$2225*('Multi-start Raw data'!$B$6:$B$2225=$A61)*('Multi-start Raw data'!$C$6:$C$2225=U$6)*('Multi-start Raw data'!$J$6:$J$2225="Fully converged"))</f>
        <v>2.508</v>
      </c>
      <c r="W61" s="6">
        <f t="shared" si="9"/>
        <v>2.5129999999999999</v>
      </c>
      <c r="X61" s="6">
        <f t="shared" si="10"/>
        <v>2.5129999999999999</v>
      </c>
      <c r="Y61" s="6">
        <f t="shared" si="11"/>
        <v>2.5129999999999999</v>
      </c>
      <c r="Z61" s="6">
        <f t="shared" si="12"/>
        <v>2.5129999999999999</v>
      </c>
      <c r="AA61" s="6">
        <f t="shared" si="13"/>
        <v>2.5129999999999999</v>
      </c>
      <c r="AB61" s="6"/>
      <c r="AC61" s="6">
        <f t="shared" si="14"/>
        <v>0</v>
      </c>
      <c r="AD61" s="6">
        <f t="shared" si="15"/>
        <v>0</v>
      </c>
      <c r="AE61" s="6">
        <f t="shared" si="16"/>
        <v>0</v>
      </c>
      <c r="AF61" s="6">
        <f t="shared" si="17"/>
        <v>0</v>
      </c>
      <c r="AG61" s="6">
        <f t="shared" si="18"/>
        <v>0</v>
      </c>
      <c r="AH61" s="6">
        <f t="shared" si="19"/>
        <v>0</v>
      </c>
      <c r="AI61" s="6">
        <f t="shared" si="20"/>
        <v>0</v>
      </c>
      <c r="AJ61" s="6">
        <f t="shared" si="21"/>
        <v>0</v>
      </c>
      <c r="AK61" s="6">
        <f t="shared" si="22"/>
        <v>0</v>
      </c>
      <c r="AM61" s="16">
        <f t="shared" si="23"/>
        <v>0.1</v>
      </c>
    </row>
    <row r="62" spans="1:39" x14ac:dyDescent="0.3">
      <c r="A62" s="1" t="s">
        <v>1484</v>
      </c>
      <c r="B62">
        <f t="array" ref="B62">SUM('Multi-start Raw data'!$D$6:$D$2225*('Multi-start Raw data'!$B$6:$B$2225=$A62)*('Multi-start Raw data'!$C$6:$C$2225=B$6)*('Multi-start Raw data'!$J$6:$J$2225="Fully converged"))</f>
        <v>2.5670000000000002</v>
      </c>
      <c r="C62">
        <f t="array" ref="C62">SUM('Multi-start Raw data'!$D$6:$D$2225*('Multi-start Raw data'!$B$6:$B$2225=$A62)*('Multi-start Raw data'!$C$6:$C$2225=C$6)*('Multi-start Raw data'!$J$6:$J$2225="Fully converged"))</f>
        <v>2.5609999999999999</v>
      </c>
      <c r="D62">
        <f t="array" ref="D62">SUM('Multi-start Raw data'!$D$6:$D$2225*('Multi-start Raw data'!$B$6:$B$2225=$A62)*('Multi-start Raw data'!$C$6:$C$2225=D$6)*('Multi-start Raw data'!$J$6:$J$2225="Fully converged"))</f>
        <v>2.5670000000000002</v>
      </c>
      <c r="E62">
        <f t="array" ref="E62">SUM('Multi-start Raw data'!$D$6:$D$2225*('Multi-start Raw data'!$B$6:$B$2225=$A62)*('Multi-start Raw data'!$C$6:$C$2225=E$6)*('Multi-start Raw data'!$J$6:$J$2225="Fully converged"))</f>
        <v>2.5710000000000002</v>
      </c>
      <c r="F62">
        <f t="array" ref="F62">SUM('Multi-start Raw data'!$D$6:$D$2225*('Multi-start Raw data'!$B$6:$B$2225=$A62)*('Multi-start Raw data'!$C$6:$C$2225=F$6)*('Multi-start Raw data'!$J$6:$J$2225="Fully converged"))</f>
        <v>2.5710000000000002</v>
      </c>
      <c r="G62">
        <f t="array" ref="G62">SUM('Multi-start Raw data'!$D$6:$D$2225*('Multi-start Raw data'!$B$6:$B$2225=$A62)*('Multi-start Raw data'!$C$6:$C$2225=G$6)*('Multi-start Raw data'!$J$6:$J$2225="Fully converged"))</f>
        <v>2.5630000000000002</v>
      </c>
      <c r="H62">
        <f t="array" ref="H62">SUM('Multi-start Raw data'!$D$6:$D$2225*('Multi-start Raw data'!$B$6:$B$2225=$A62)*('Multi-start Raw data'!$C$6:$C$2225=H$6)*('Multi-start Raw data'!$J$6:$J$2225="Fully converged"))</f>
        <v>2.5710000000000002</v>
      </c>
      <c r="I62">
        <f t="array" ref="I62">SUM('Multi-start Raw data'!$D$6:$D$2225*('Multi-start Raw data'!$B$6:$B$2225=$A62)*('Multi-start Raw data'!$C$6:$C$2225=I$6)*('Multi-start Raw data'!$J$6:$J$2225="Fully converged"))</f>
        <v>2.5630000000000002</v>
      </c>
      <c r="J62">
        <f t="array" ref="J62">SUM('Multi-start Raw data'!$D$6:$D$2225*('Multi-start Raw data'!$B$6:$B$2225=$A62)*('Multi-start Raw data'!$C$6:$C$2225=J$6)*('Multi-start Raw data'!$J$6:$J$2225="Fully converged"))</f>
        <v>0</v>
      </c>
      <c r="K62">
        <f t="array" ref="K62">SUM('Multi-start Raw data'!$D$6:$D$2225*('Multi-start Raw data'!$B$6:$B$2225=$A62)*('Multi-start Raw data'!$C$6:$C$2225=K$6)*('Multi-start Raw data'!$J$6:$J$2225="Fully converged"))</f>
        <v>2.5670000000000002</v>
      </c>
      <c r="L62">
        <f t="array" ref="L62">SUM('Multi-start Raw data'!$D$6:$D$2225*('Multi-start Raw data'!$B$6:$B$2225=$A62)*('Multi-start Raw data'!$C$6:$C$2225=L$6)*('Multi-start Raw data'!$J$6:$J$2225="Fully converged"))</f>
        <v>2.5659999999999998</v>
      </c>
      <c r="M62">
        <f t="array" ref="M62">SUM('Multi-start Raw data'!$D$6:$D$2225*('Multi-start Raw data'!$B$6:$B$2225=$A62)*('Multi-start Raw data'!$C$6:$C$2225=M$6)*('Multi-start Raw data'!$J$6:$J$2225="Fully converged"))</f>
        <v>2.5379999999999998</v>
      </c>
      <c r="N62">
        <f t="array" ref="N62">SUM('Multi-start Raw data'!$D$6:$D$2225*('Multi-start Raw data'!$B$6:$B$2225=$A62)*('Multi-start Raw data'!$C$6:$C$2225=N$6)*('Multi-start Raw data'!$J$6:$J$2225="Fully converged"))</f>
        <v>2.54</v>
      </c>
      <c r="O62">
        <f t="array" ref="O62">SUM('Multi-start Raw data'!$D$6:$D$2225*('Multi-start Raw data'!$B$6:$B$2225=$A62)*('Multi-start Raw data'!$C$6:$C$2225=O$6)*('Multi-start Raw data'!$J$6:$J$2225="Fully converged"))</f>
        <v>2.5649999999999999</v>
      </c>
      <c r="P62">
        <f t="array" ref="P62">SUM('Multi-start Raw data'!$D$6:$D$2225*('Multi-start Raw data'!$B$6:$B$2225=$A62)*('Multi-start Raw data'!$C$6:$C$2225=P$6)*('Multi-start Raw data'!$J$6:$J$2225="Fully converged"))</f>
        <v>2.5670000000000002</v>
      </c>
      <c r="Q62">
        <f t="array" ref="Q62">SUM('Multi-start Raw data'!$D$6:$D$2225*('Multi-start Raw data'!$B$6:$B$2225=$A62)*('Multi-start Raw data'!$C$6:$C$2225=Q$6)*('Multi-start Raw data'!$J$6:$J$2225="Fully converged"))</f>
        <v>2.5670000000000002</v>
      </c>
      <c r="R62">
        <f t="array" ref="R62">SUM('Multi-start Raw data'!$D$6:$D$2225*('Multi-start Raw data'!$B$6:$B$2225=$A62)*('Multi-start Raw data'!$C$6:$C$2225=R$6)*('Multi-start Raw data'!$J$6:$J$2225="Fully converged"))</f>
        <v>2.5649999999999999</v>
      </c>
      <c r="S62">
        <f t="array" ref="S62">SUM('Multi-start Raw data'!$D$6:$D$2225*('Multi-start Raw data'!$B$6:$B$2225=$A62)*('Multi-start Raw data'!$C$6:$C$2225=S$6)*('Multi-start Raw data'!$J$6:$J$2225="Fully converged"))</f>
        <v>2.5710000000000002</v>
      </c>
      <c r="T62">
        <f t="array" ref="T62">SUM('Multi-start Raw data'!$D$6:$D$2225*('Multi-start Raw data'!$B$6:$B$2225=$A62)*('Multi-start Raw data'!$C$6:$C$2225=T$6)*('Multi-start Raw data'!$J$6:$J$2225="Fully converged"))</f>
        <v>2.5659999999999998</v>
      </c>
      <c r="U62">
        <f t="array" ref="U62">SUM('Multi-start Raw data'!$D$6:$D$2225*('Multi-start Raw data'!$B$6:$B$2225=$A62)*('Multi-start Raw data'!$C$6:$C$2225=U$6)*('Multi-start Raw data'!$J$6:$J$2225="Fully converged"))</f>
        <v>2.5649999999999999</v>
      </c>
      <c r="W62" s="6">
        <f t="shared" si="9"/>
        <v>2.5710000000000002</v>
      </c>
      <c r="X62" s="6">
        <f t="shared" si="10"/>
        <v>2.5710000000000002</v>
      </c>
      <c r="Y62" s="6">
        <f t="shared" si="11"/>
        <v>2.5710000000000002</v>
      </c>
      <c r="Z62" s="6">
        <f t="shared" si="12"/>
        <v>2.5710000000000002</v>
      </c>
      <c r="AA62" s="6">
        <f t="shared" si="13"/>
        <v>2.5710000000000002</v>
      </c>
      <c r="AB62" s="6"/>
      <c r="AC62" s="6">
        <f t="shared" si="14"/>
        <v>0</v>
      </c>
      <c r="AD62" s="6">
        <f t="shared" si="15"/>
        <v>0</v>
      </c>
      <c r="AE62" s="6">
        <f t="shared" si="16"/>
        <v>0</v>
      </c>
      <c r="AF62" s="6">
        <f t="shared" si="17"/>
        <v>0</v>
      </c>
      <c r="AG62" s="6">
        <f t="shared" si="18"/>
        <v>0</v>
      </c>
      <c r="AH62" s="6">
        <f t="shared" si="19"/>
        <v>0</v>
      </c>
      <c r="AI62" s="6">
        <f t="shared" si="20"/>
        <v>0</v>
      </c>
      <c r="AJ62" s="6">
        <f t="shared" si="21"/>
        <v>0</v>
      </c>
      <c r="AK62" s="6">
        <f t="shared" si="22"/>
        <v>0</v>
      </c>
      <c r="AM62" s="16">
        <f t="shared" si="23"/>
        <v>0.1</v>
      </c>
    </row>
    <row r="63" spans="1:39" x14ac:dyDescent="0.3">
      <c r="A63" s="1" t="s">
        <v>1501</v>
      </c>
      <c r="B63">
        <f t="array" ref="B63">SUM('Multi-start Raw data'!$D$6:$D$2225*('Multi-start Raw data'!$B$6:$B$2225=$A63)*('Multi-start Raw data'!$C$6:$C$2225=B$6)*('Multi-start Raw data'!$J$6:$J$2225="Fully converged"))</f>
        <v>2.5270000000000001</v>
      </c>
      <c r="C63">
        <f t="array" ref="C63">SUM('Multi-start Raw data'!$D$6:$D$2225*('Multi-start Raw data'!$B$6:$B$2225=$A63)*('Multi-start Raw data'!$C$6:$C$2225=C$6)*('Multi-start Raw data'!$J$6:$J$2225="Fully converged"))</f>
        <v>2.5270000000000001</v>
      </c>
      <c r="D63">
        <f t="array" ref="D63">SUM('Multi-start Raw data'!$D$6:$D$2225*('Multi-start Raw data'!$B$6:$B$2225=$A63)*('Multi-start Raw data'!$C$6:$C$2225=D$6)*('Multi-start Raw data'!$J$6:$J$2225="Fully converged"))</f>
        <v>2.5299999999999998</v>
      </c>
      <c r="E63">
        <f t="array" ref="E63">SUM('Multi-start Raw data'!$D$6:$D$2225*('Multi-start Raw data'!$B$6:$B$2225=$A63)*('Multi-start Raw data'!$C$6:$C$2225=E$6)*('Multi-start Raw data'!$J$6:$J$2225="Fully converged"))</f>
        <v>2.5249999999999999</v>
      </c>
      <c r="F63">
        <f t="array" ref="F63">SUM('Multi-start Raw data'!$D$6:$D$2225*('Multi-start Raw data'!$B$6:$B$2225=$A63)*('Multi-start Raw data'!$C$6:$C$2225=F$6)*('Multi-start Raw data'!$J$6:$J$2225="Fully converged"))</f>
        <v>2.5099999999999998</v>
      </c>
      <c r="G63">
        <f t="array" ref="G63">SUM('Multi-start Raw data'!$D$6:$D$2225*('Multi-start Raw data'!$B$6:$B$2225=$A63)*('Multi-start Raw data'!$C$6:$C$2225=G$6)*('Multi-start Raw data'!$J$6:$J$2225="Fully converged"))</f>
        <v>2.5249999999999999</v>
      </c>
      <c r="H63">
        <f t="array" ref="H63">SUM('Multi-start Raw data'!$D$6:$D$2225*('Multi-start Raw data'!$B$6:$B$2225=$A63)*('Multi-start Raw data'!$C$6:$C$2225=H$6)*('Multi-start Raw data'!$J$6:$J$2225="Fully converged"))</f>
        <v>2.5299999999999998</v>
      </c>
      <c r="I63">
        <f t="array" ref="I63">SUM('Multi-start Raw data'!$D$6:$D$2225*('Multi-start Raw data'!$B$6:$B$2225=$A63)*('Multi-start Raw data'!$C$6:$C$2225=I$6)*('Multi-start Raw data'!$J$6:$J$2225="Fully converged"))</f>
        <v>2.5270000000000001</v>
      </c>
      <c r="J63">
        <f t="array" ref="J63">SUM('Multi-start Raw data'!$D$6:$D$2225*('Multi-start Raw data'!$B$6:$B$2225=$A63)*('Multi-start Raw data'!$C$6:$C$2225=J$6)*('Multi-start Raw data'!$J$6:$J$2225="Fully converged"))</f>
        <v>0</v>
      </c>
      <c r="K63">
        <f t="array" ref="K63">SUM('Multi-start Raw data'!$D$6:$D$2225*('Multi-start Raw data'!$B$6:$B$2225=$A63)*('Multi-start Raw data'!$C$6:$C$2225=K$6)*('Multi-start Raw data'!$J$6:$J$2225="Fully converged"))</f>
        <v>2.5299999999999998</v>
      </c>
      <c r="L63">
        <f t="array" ref="L63">SUM('Multi-start Raw data'!$D$6:$D$2225*('Multi-start Raw data'!$B$6:$B$2225=$A63)*('Multi-start Raw data'!$C$6:$C$2225=L$6)*('Multi-start Raw data'!$J$6:$J$2225="Fully converged"))</f>
        <v>2.5270000000000001</v>
      </c>
      <c r="M63">
        <f t="array" ref="M63">SUM('Multi-start Raw data'!$D$6:$D$2225*('Multi-start Raw data'!$B$6:$B$2225=$A63)*('Multi-start Raw data'!$C$6:$C$2225=M$6)*('Multi-start Raw data'!$J$6:$J$2225="Fully converged"))</f>
        <v>2.5099999999999998</v>
      </c>
      <c r="N63">
        <f t="array" ref="N63">SUM('Multi-start Raw data'!$D$6:$D$2225*('Multi-start Raw data'!$B$6:$B$2225=$A63)*('Multi-start Raw data'!$C$6:$C$2225=N$6)*('Multi-start Raw data'!$J$6:$J$2225="Fully converged"))</f>
        <v>2.5299999999999998</v>
      </c>
      <c r="O63">
        <f t="array" ref="O63">SUM('Multi-start Raw data'!$D$6:$D$2225*('Multi-start Raw data'!$B$6:$B$2225=$A63)*('Multi-start Raw data'!$C$6:$C$2225=O$6)*('Multi-start Raw data'!$J$6:$J$2225="Fully converged"))</f>
        <v>2.5270000000000001</v>
      </c>
      <c r="P63">
        <f t="array" ref="P63">SUM('Multi-start Raw data'!$D$6:$D$2225*('Multi-start Raw data'!$B$6:$B$2225=$A63)*('Multi-start Raw data'!$C$6:$C$2225=P$6)*('Multi-start Raw data'!$J$6:$J$2225="Fully converged"))</f>
        <v>2.5299999999999998</v>
      </c>
      <c r="Q63">
        <f t="array" ref="Q63">SUM('Multi-start Raw data'!$D$6:$D$2225*('Multi-start Raw data'!$B$6:$B$2225=$A63)*('Multi-start Raw data'!$C$6:$C$2225=Q$6)*('Multi-start Raw data'!$J$6:$J$2225="Fully converged"))</f>
        <v>2.5299999999999998</v>
      </c>
      <c r="R63">
        <f t="array" ref="R63">SUM('Multi-start Raw data'!$D$6:$D$2225*('Multi-start Raw data'!$B$6:$B$2225=$A63)*('Multi-start Raw data'!$C$6:$C$2225=R$6)*('Multi-start Raw data'!$J$6:$J$2225="Fully converged"))</f>
        <v>2.5249999999999999</v>
      </c>
      <c r="S63">
        <f t="array" ref="S63">SUM('Multi-start Raw data'!$D$6:$D$2225*('Multi-start Raw data'!$B$6:$B$2225=$A63)*('Multi-start Raw data'!$C$6:$C$2225=S$6)*('Multi-start Raw data'!$J$6:$J$2225="Fully converged"))</f>
        <v>2.5099999999999998</v>
      </c>
      <c r="T63">
        <f t="array" ref="T63">SUM('Multi-start Raw data'!$D$6:$D$2225*('Multi-start Raw data'!$B$6:$B$2225=$A63)*('Multi-start Raw data'!$C$6:$C$2225=T$6)*('Multi-start Raw data'!$J$6:$J$2225="Fully converged"))</f>
        <v>2.5270000000000001</v>
      </c>
      <c r="U63">
        <f t="array" ref="U63">SUM('Multi-start Raw data'!$D$6:$D$2225*('Multi-start Raw data'!$B$6:$B$2225=$A63)*('Multi-start Raw data'!$C$6:$C$2225=U$6)*('Multi-start Raw data'!$J$6:$J$2225="Fully converged"))</f>
        <v>2.5270000000000001</v>
      </c>
      <c r="W63" s="6">
        <f t="shared" si="9"/>
        <v>2.5299999999999998</v>
      </c>
      <c r="X63" s="6">
        <f t="shared" si="10"/>
        <v>2.5299999999999998</v>
      </c>
      <c r="Y63" s="6">
        <f t="shared" si="11"/>
        <v>2.5299999999999998</v>
      </c>
      <c r="Z63" s="6">
        <f t="shared" si="12"/>
        <v>2.5299999999999998</v>
      </c>
      <c r="AA63" s="6">
        <f t="shared" si="13"/>
        <v>2.5299999999999998</v>
      </c>
      <c r="AB63" s="6"/>
      <c r="AC63" s="6">
        <f t="shared" si="14"/>
        <v>0</v>
      </c>
      <c r="AD63" s="6">
        <f t="shared" si="15"/>
        <v>0</v>
      </c>
      <c r="AE63" s="6">
        <f t="shared" si="16"/>
        <v>0</v>
      </c>
      <c r="AF63" s="6">
        <f t="shared" si="17"/>
        <v>0</v>
      </c>
      <c r="AG63" s="6">
        <f t="shared" si="18"/>
        <v>0</v>
      </c>
      <c r="AH63" s="6">
        <f t="shared" si="19"/>
        <v>0</v>
      </c>
      <c r="AI63" s="6">
        <f t="shared" si="20"/>
        <v>0</v>
      </c>
      <c r="AJ63" s="6">
        <f t="shared" si="21"/>
        <v>0</v>
      </c>
      <c r="AK63" s="6">
        <f t="shared" si="22"/>
        <v>0</v>
      </c>
      <c r="AM63" s="16">
        <f t="shared" si="23"/>
        <v>0.1</v>
      </c>
    </row>
    <row r="64" spans="1:39" x14ac:dyDescent="0.3">
      <c r="A64" s="1" t="s">
        <v>1518</v>
      </c>
      <c r="B64">
        <f t="array" ref="B64">SUM('Multi-start Raw data'!$D$6:$D$2225*('Multi-start Raw data'!$B$6:$B$2225=$A64)*('Multi-start Raw data'!$C$6:$C$2225=B$6)*('Multi-start Raw data'!$J$6:$J$2225="Fully converged"))</f>
        <v>2.516</v>
      </c>
      <c r="C64">
        <f t="array" ref="C64">SUM('Multi-start Raw data'!$D$6:$D$2225*('Multi-start Raw data'!$B$6:$B$2225=$A64)*('Multi-start Raw data'!$C$6:$C$2225=C$6)*('Multi-start Raw data'!$J$6:$J$2225="Fully converged"))</f>
        <v>2.512</v>
      </c>
      <c r="D64">
        <f t="array" ref="D64">SUM('Multi-start Raw data'!$D$6:$D$2225*('Multi-start Raw data'!$B$6:$B$2225=$A64)*('Multi-start Raw data'!$C$6:$C$2225=D$6)*('Multi-start Raw data'!$J$6:$J$2225="Fully converged"))</f>
        <v>2.516</v>
      </c>
      <c r="E64">
        <f t="array" ref="E64">SUM('Multi-start Raw data'!$D$6:$D$2225*('Multi-start Raw data'!$B$6:$B$2225=$A64)*('Multi-start Raw data'!$C$6:$C$2225=E$6)*('Multi-start Raw data'!$J$6:$J$2225="Fully converged"))</f>
        <v>2.516</v>
      </c>
      <c r="F64">
        <f t="array" ref="F64">SUM('Multi-start Raw data'!$D$6:$D$2225*('Multi-start Raw data'!$B$6:$B$2225=$A64)*('Multi-start Raw data'!$C$6:$C$2225=F$6)*('Multi-start Raw data'!$J$6:$J$2225="Fully converged"))</f>
        <v>2.5</v>
      </c>
      <c r="G64">
        <f t="array" ref="G64">SUM('Multi-start Raw data'!$D$6:$D$2225*('Multi-start Raw data'!$B$6:$B$2225=$A64)*('Multi-start Raw data'!$C$6:$C$2225=G$6)*('Multi-start Raw data'!$J$6:$J$2225="Fully converged"))</f>
        <v>2.516</v>
      </c>
      <c r="H64">
        <f t="array" ref="H64">SUM('Multi-start Raw data'!$D$6:$D$2225*('Multi-start Raw data'!$B$6:$B$2225=$A64)*('Multi-start Raw data'!$C$6:$C$2225=H$6)*('Multi-start Raw data'!$J$6:$J$2225="Fully converged"))</f>
        <v>2.5190000000000001</v>
      </c>
      <c r="I64">
        <f t="array" ref="I64">SUM('Multi-start Raw data'!$D$6:$D$2225*('Multi-start Raw data'!$B$6:$B$2225=$A64)*('Multi-start Raw data'!$C$6:$C$2225=I$6)*('Multi-start Raw data'!$J$6:$J$2225="Fully converged"))</f>
        <v>2.5030000000000001</v>
      </c>
      <c r="J64">
        <f t="array" ref="J64">SUM('Multi-start Raw data'!$D$6:$D$2225*('Multi-start Raw data'!$B$6:$B$2225=$A64)*('Multi-start Raw data'!$C$6:$C$2225=J$6)*('Multi-start Raw data'!$J$6:$J$2225="Fully converged"))</f>
        <v>2.4929999999999999</v>
      </c>
      <c r="K64">
        <f t="array" ref="K64">SUM('Multi-start Raw data'!$D$6:$D$2225*('Multi-start Raw data'!$B$6:$B$2225=$A64)*('Multi-start Raw data'!$C$6:$C$2225=K$6)*('Multi-start Raw data'!$J$6:$J$2225="Fully converged"))</f>
        <v>2.492</v>
      </c>
      <c r="L64">
        <f t="array" ref="L64">SUM('Multi-start Raw data'!$D$6:$D$2225*('Multi-start Raw data'!$B$6:$B$2225=$A64)*('Multi-start Raw data'!$C$6:$C$2225=L$6)*('Multi-start Raw data'!$J$6:$J$2225="Fully converged"))</f>
        <v>2.5150000000000001</v>
      </c>
      <c r="M64">
        <f t="array" ref="M64">SUM('Multi-start Raw data'!$D$6:$D$2225*('Multi-start Raw data'!$B$6:$B$2225=$A64)*('Multi-start Raw data'!$C$6:$C$2225=M$6)*('Multi-start Raw data'!$J$6:$J$2225="Fully converged"))</f>
        <v>2.4940000000000002</v>
      </c>
      <c r="N64">
        <f t="array" ref="N64">SUM('Multi-start Raw data'!$D$6:$D$2225*('Multi-start Raw data'!$B$6:$B$2225=$A64)*('Multi-start Raw data'!$C$6:$C$2225=N$6)*('Multi-start Raw data'!$J$6:$J$2225="Fully converged"))</f>
        <v>2.492</v>
      </c>
      <c r="O64">
        <f t="array" ref="O64">SUM('Multi-start Raw data'!$D$6:$D$2225*('Multi-start Raw data'!$B$6:$B$2225=$A64)*('Multi-start Raw data'!$C$6:$C$2225=O$6)*('Multi-start Raw data'!$J$6:$J$2225="Fully converged"))</f>
        <v>2.516</v>
      </c>
      <c r="P64">
        <f t="array" ref="P64">SUM('Multi-start Raw data'!$D$6:$D$2225*('Multi-start Raw data'!$B$6:$B$2225=$A64)*('Multi-start Raw data'!$C$6:$C$2225=P$6)*('Multi-start Raw data'!$J$6:$J$2225="Fully converged"))</f>
        <v>2.5030000000000001</v>
      </c>
      <c r="Q64">
        <f t="array" ref="Q64">SUM('Multi-start Raw data'!$D$6:$D$2225*('Multi-start Raw data'!$B$6:$B$2225=$A64)*('Multi-start Raw data'!$C$6:$C$2225=Q$6)*('Multi-start Raw data'!$J$6:$J$2225="Fully converged"))</f>
        <v>2.4670000000000001</v>
      </c>
      <c r="R64">
        <f t="array" ref="R64">SUM('Multi-start Raw data'!$D$6:$D$2225*('Multi-start Raw data'!$B$6:$B$2225=$A64)*('Multi-start Raw data'!$C$6:$C$2225=R$6)*('Multi-start Raw data'!$J$6:$J$2225="Fully converged"))</f>
        <v>0</v>
      </c>
      <c r="S64">
        <f t="array" ref="S64">SUM('Multi-start Raw data'!$D$6:$D$2225*('Multi-start Raw data'!$B$6:$B$2225=$A64)*('Multi-start Raw data'!$C$6:$C$2225=S$6)*('Multi-start Raw data'!$J$6:$J$2225="Fully converged"))</f>
        <v>2.5150000000000001</v>
      </c>
      <c r="T64">
        <f t="array" ref="T64">SUM('Multi-start Raw data'!$D$6:$D$2225*('Multi-start Raw data'!$B$6:$B$2225=$A64)*('Multi-start Raw data'!$C$6:$C$2225=T$6)*('Multi-start Raw data'!$J$6:$J$2225="Fully converged"))</f>
        <v>0</v>
      </c>
      <c r="U64">
        <f t="array" ref="U64">SUM('Multi-start Raw data'!$D$6:$D$2225*('Multi-start Raw data'!$B$6:$B$2225=$A64)*('Multi-start Raw data'!$C$6:$C$2225=U$6)*('Multi-start Raw data'!$J$6:$J$2225="Fully converged"))</f>
        <v>2.504</v>
      </c>
      <c r="W64" s="6">
        <f t="shared" si="9"/>
        <v>2.516</v>
      </c>
      <c r="X64" s="6">
        <f t="shared" si="10"/>
        <v>2.5190000000000001</v>
      </c>
      <c r="Y64" s="6">
        <f t="shared" si="11"/>
        <v>2.5190000000000001</v>
      </c>
      <c r="Z64" s="6">
        <f t="shared" si="12"/>
        <v>2.5190000000000001</v>
      </c>
      <c r="AA64" s="6">
        <f t="shared" si="13"/>
        <v>2.5190000000000001</v>
      </c>
      <c r="AB64" s="6"/>
      <c r="AC64" s="6">
        <f t="shared" si="14"/>
        <v>3.0000000000001137E-3</v>
      </c>
      <c r="AD64" s="6">
        <f t="shared" si="15"/>
        <v>0</v>
      </c>
      <c r="AE64" s="6">
        <f t="shared" si="16"/>
        <v>0</v>
      </c>
      <c r="AF64" s="6">
        <f t="shared" si="17"/>
        <v>0</v>
      </c>
      <c r="AG64" s="6">
        <f t="shared" si="18"/>
        <v>0.11909487892021094</v>
      </c>
      <c r="AH64" s="6">
        <f t="shared" si="19"/>
        <v>0</v>
      </c>
      <c r="AI64" s="6">
        <f t="shared" si="20"/>
        <v>0</v>
      </c>
      <c r="AJ64" s="6">
        <f t="shared" si="21"/>
        <v>0</v>
      </c>
      <c r="AK64" s="6">
        <f t="shared" si="22"/>
        <v>0</v>
      </c>
      <c r="AM64" s="16">
        <f t="shared" si="23"/>
        <v>0.1</v>
      </c>
    </row>
    <row r="65" spans="1:39" x14ac:dyDescent="0.3">
      <c r="A65" s="1" t="s">
        <v>1538</v>
      </c>
      <c r="B65">
        <f t="array" ref="B65">SUM('Multi-start Raw data'!$D$6:$D$2225*('Multi-start Raw data'!$B$6:$B$2225=$A65)*('Multi-start Raw data'!$C$6:$C$2225=B$6)*('Multi-start Raw data'!$J$6:$J$2225="Fully converged"))</f>
        <v>2.5139999999999998</v>
      </c>
      <c r="C65">
        <f t="array" ref="C65">SUM('Multi-start Raw data'!$D$6:$D$2225*('Multi-start Raw data'!$B$6:$B$2225=$A65)*('Multi-start Raw data'!$C$6:$C$2225=C$6)*('Multi-start Raw data'!$J$6:$J$2225="Fully converged"))</f>
        <v>2.4929999999999999</v>
      </c>
      <c r="D65">
        <f t="array" ref="D65">SUM('Multi-start Raw data'!$D$6:$D$2225*('Multi-start Raw data'!$B$6:$B$2225=$A65)*('Multi-start Raw data'!$C$6:$C$2225=D$6)*('Multi-start Raw data'!$J$6:$J$2225="Fully converged"))</f>
        <v>2.5169999999999999</v>
      </c>
      <c r="E65">
        <f t="array" ref="E65">SUM('Multi-start Raw data'!$D$6:$D$2225*('Multi-start Raw data'!$B$6:$B$2225=$A65)*('Multi-start Raw data'!$C$6:$C$2225=E$6)*('Multi-start Raw data'!$J$6:$J$2225="Fully converged"))</f>
        <v>2.5169999999999999</v>
      </c>
      <c r="F65">
        <f t="array" ref="F65">SUM('Multi-start Raw data'!$D$6:$D$2225*('Multi-start Raw data'!$B$6:$B$2225=$A65)*('Multi-start Raw data'!$C$6:$C$2225=F$6)*('Multi-start Raw data'!$J$6:$J$2225="Fully converged"))</f>
        <v>2.5019999999999998</v>
      </c>
      <c r="G65">
        <f t="array" ref="G65">SUM('Multi-start Raw data'!$D$6:$D$2225*('Multi-start Raw data'!$B$6:$B$2225=$A65)*('Multi-start Raw data'!$C$6:$C$2225=G$6)*('Multi-start Raw data'!$J$6:$J$2225="Fully converged"))</f>
        <v>2.4990000000000001</v>
      </c>
      <c r="H65">
        <f t="array" ref="H65">SUM('Multi-start Raw data'!$D$6:$D$2225*('Multi-start Raw data'!$B$6:$B$2225=$A65)*('Multi-start Raw data'!$C$6:$C$2225=H$6)*('Multi-start Raw data'!$J$6:$J$2225="Fully converged"))</f>
        <v>2.496</v>
      </c>
      <c r="I65">
        <f t="array" ref="I65">SUM('Multi-start Raw data'!$D$6:$D$2225*('Multi-start Raw data'!$B$6:$B$2225=$A65)*('Multi-start Raw data'!$C$6:$C$2225=I$6)*('Multi-start Raw data'!$J$6:$J$2225="Fully converged"))</f>
        <v>2.508</v>
      </c>
      <c r="J65">
        <f t="array" ref="J65">SUM('Multi-start Raw data'!$D$6:$D$2225*('Multi-start Raw data'!$B$6:$B$2225=$A65)*('Multi-start Raw data'!$C$6:$C$2225=J$6)*('Multi-start Raw data'!$J$6:$J$2225="Fully converged"))</f>
        <v>2.5129999999999999</v>
      </c>
      <c r="K65">
        <f t="array" ref="K65">SUM('Multi-start Raw data'!$D$6:$D$2225*('Multi-start Raw data'!$B$6:$B$2225=$A65)*('Multi-start Raw data'!$C$6:$C$2225=K$6)*('Multi-start Raw data'!$J$6:$J$2225="Fully converged"))</f>
        <v>2.4780000000000002</v>
      </c>
      <c r="L65">
        <f t="array" ref="L65">SUM('Multi-start Raw data'!$D$6:$D$2225*('Multi-start Raw data'!$B$6:$B$2225=$A65)*('Multi-start Raw data'!$C$6:$C$2225=L$6)*('Multi-start Raw data'!$J$6:$J$2225="Fully converged"))</f>
        <v>2.5169999999999999</v>
      </c>
      <c r="M65">
        <f t="array" ref="M65">SUM('Multi-start Raw data'!$D$6:$D$2225*('Multi-start Raw data'!$B$6:$B$2225=$A65)*('Multi-start Raw data'!$C$6:$C$2225=M$6)*('Multi-start Raw data'!$J$6:$J$2225="Fully converged"))</f>
        <v>2.5019999999999998</v>
      </c>
      <c r="N65">
        <f t="array" ref="N65">SUM('Multi-start Raw data'!$D$6:$D$2225*('Multi-start Raw data'!$B$6:$B$2225=$A65)*('Multi-start Raw data'!$C$6:$C$2225=N$6)*('Multi-start Raw data'!$J$6:$J$2225="Fully converged"))</f>
        <v>2.5019999999999998</v>
      </c>
      <c r="O65">
        <f t="array" ref="O65">SUM('Multi-start Raw data'!$D$6:$D$2225*('Multi-start Raw data'!$B$6:$B$2225=$A65)*('Multi-start Raw data'!$C$6:$C$2225=O$6)*('Multi-start Raw data'!$J$6:$J$2225="Fully converged"))</f>
        <v>2.5139999999999998</v>
      </c>
      <c r="P65">
        <f t="array" ref="P65">SUM('Multi-start Raw data'!$D$6:$D$2225*('Multi-start Raw data'!$B$6:$B$2225=$A65)*('Multi-start Raw data'!$C$6:$C$2225=P$6)*('Multi-start Raw data'!$J$6:$J$2225="Fully converged"))</f>
        <v>2.5169999999999999</v>
      </c>
      <c r="Q65">
        <f t="array" ref="Q65">SUM('Multi-start Raw data'!$D$6:$D$2225*('Multi-start Raw data'!$B$6:$B$2225=$A65)*('Multi-start Raw data'!$C$6:$C$2225=Q$6)*('Multi-start Raw data'!$J$6:$J$2225="Fully converged"))</f>
        <v>0</v>
      </c>
      <c r="R65">
        <f t="array" ref="R65">SUM('Multi-start Raw data'!$D$6:$D$2225*('Multi-start Raw data'!$B$6:$B$2225=$A65)*('Multi-start Raw data'!$C$6:$C$2225=R$6)*('Multi-start Raw data'!$J$6:$J$2225="Fully converged"))</f>
        <v>2.5139999999999998</v>
      </c>
      <c r="S65">
        <f t="array" ref="S65">SUM('Multi-start Raw data'!$D$6:$D$2225*('Multi-start Raw data'!$B$6:$B$2225=$A65)*('Multi-start Raw data'!$C$6:$C$2225=S$6)*('Multi-start Raw data'!$J$6:$J$2225="Fully converged"))</f>
        <v>2.5169999999999999</v>
      </c>
      <c r="T65">
        <f t="array" ref="T65">SUM('Multi-start Raw data'!$D$6:$D$2225*('Multi-start Raw data'!$B$6:$B$2225=$A65)*('Multi-start Raw data'!$C$6:$C$2225=T$6)*('Multi-start Raw data'!$J$6:$J$2225="Fully converged"))</f>
        <v>2.5019999999999998</v>
      </c>
      <c r="U65">
        <f t="array" ref="U65">SUM('Multi-start Raw data'!$D$6:$D$2225*('Multi-start Raw data'!$B$6:$B$2225=$A65)*('Multi-start Raw data'!$C$6:$C$2225=U$6)*('Multi-start Raw data'!$J$6:$J$2225="Fully converged"))</f>
        <v>2.5139999999999998</v>
      </c>
      <c r="W65" s="6">
        <f t="shared" si="9"/>
        <v>2.5169999999999999</v>
      </c>
      <c r="X65" s="6">
        <f t="shared" si="10"/>
        <v>2.5169999999999999</v>
      </c>
      <c r="Y65" s="6">
        <f t="shared" si="11"/>
        <v>2.5169999999999999</v>
      </c>
      <c r="Z65" s="6">
        <f t="shared" si="12"/>
        <v>2.5169999999999999</v>
      </c>
      <c r="AA65" s="6">
        <f t="shared" si="13"/>
        <v>2.5169999999999999</v>
      </c>
      <c r="AB65" s="6"/>
      <c r="AC65" s="6">
        <f t="shared" si="14"/>
        <v>0</v>
      </c>
      <c r="AD65" s="6">
        <f t="shared" si="15"/>
        <v>0</v>
      </c>
      <c r="AE65" s="6">
        <f t="shared" si="16"/>
        <v>0</v>
      </c>
      <c r="AF65" s="6">
        <f t="shared" si="17"/>
        <v>0</v>
      </c>
      <c r="AG65" s="6">
        <f t="shared" si="18"/>
        <v>0</v>
      </c>
      <c r="AH65" s="6">
        <f t="shared" si="19"/>
        <v>0</v>
      </c>
      <c r="AI65" s="6">
        <f t="shared" si="20"/>
        <v>0</v>
      </c>
      <c r="AJ65" s="6">
        <f t="shared" si="21"/>
        <v>0</v>
      </c>
      <c r="AK65" s="6">
        <f t="shared" si="22"/>
        <v>0</v>
      </c>
      <c r="AM65" s="16">
        <f t="shared" si="23"/>
        <v>0.1</v>
      </c>
    </row>
    <row r="66" spans="1:39" x14ac:dyDescent="0.3">
      <c r="A66" s="1" t="s">
        <v>1555</v>
      </c>
      <c r="B66">
        <f t="array" ref="B66">SUM('Multi-start Raw data'!$D$6:$D$2225*('Multi-start Raw data'!$B$6:$B$2225=$A66)*('Multi-start Raw data'!$C$6:$C$2225=B$6)*('Multi-start Raw data'!$J$6:$J$2225="Fully converged"))</f>
        <v>2.5150000000000001</v>
      </c>
      <c r="C66">
        <f t="array" ref="C66">SUM('Multi-start Raw data'!$D$6:$D$2225*('Multi-start Raw data'!$B$6:$B$2225=$A66)*('Multi-start Raw data'!$C$6:$C$2225=C$6)*('Multi-start Raw data'!$J$6:$J$2225="Fully converged"))</f>
        <v>2.5230000000000001</v>
      </c>
      <c r="D66">
        <f t="array" ref="D66">SUM('Multi-start Raw data'!$D$6:$D$2225*('Multi-start Raw data'!$B$6:$B$2225=$A66)*('Multi-start Raw data'!$C$6:$C$2225=D$6)*('Multi-start Raw data'!$J$6:$J$2225="Fully converged"))</f>
        <v>2.5110000000000001</v>
      </c>
      <c r="E66">
        <f t="array" ref="E66">SUM('Multi-start Raw data'!$D$6:$D$2225*('Multi-start Raw data'!$B$6:$B$2225=$A66)*('Multi-start Raw data'!$C$6:$C$2225=E$6)*('Multi-start Raw data'!$J$6:$J$2225="Fully converged"))</f>
        <v>0</v>
      </c>
      <c r="F66">
        <f t="array" ref="F66">SUM('Multi-start Raw data'!$D$6:$D$2225*('Multi-start Raw data'!$B$6:$B$2225=$A66)*('Multi-start Raw data'!$C$6:$C$2225=F$6)*('Multi-start Raw data'!$J$6:$J$2225="Fully converged"))</f>
        <v>2.5259999999999998</v>
      </c>
      <c r="G66">
        <f t="array" ref="G66">SUM('Multi-start Raw data'!$D$6:$D$2225*('Multi-start Raw data'!$B$6:$B$2225=$A66)*('Multi-start Raw data'!$C$6:$C$2225=G$6)*('Multi-start Raw data'!$J$6:$J$2225="Fully converged"))</f>
        <v>2.5089999999999999</v>
      </c>
      <c r="H66">
        <f t="array" ref="H66">SUM('Multi-start Raw data'!$D$6:$D$2225*('Multi-start Raw data'!$B$6:$B$2225=$A66)*('Multi-start Raw data'!$C$6:$C$2225=H$6)*('Multi-start Raw data'!$J$6:$J$2225="Fully converged"))</f>
        <v>2.512</v>
      </c>
      <c r="I66">
        <f t="array" ref="I66">SUM('Multi-start Raw data'!$D$6:$D$2225*('Multi-start Raw data'!$B$6:$B$2225=$A66)*('Multi-start Raw data'!$C$6:$C$2225=I$6)*('Multi-start Raw data'!$J$6:$J$2225="Fully converged"))</f>
        <v>2.5270000000000001</v>
      </c>
      <c r="J66">
        <f t="array" ref="J66">SUM('Multi-start Raw data'!$D$6:$D$2225*('Multi-start Raw data'!$B$6:$B$2225=$A66)*('Multi-start Raw data'!$C$6:$C$2225=J$6)*('Multi-start Raw data'!$J$6:$J$2225="Fully converged"))</f>
        <v>2.5270000000000001</v>
      </c>
      <c r="K66">
        <f t="array" ref="K66">SUM('Multi-start Raw data'!$D$6:$D$2225*('Multi-start Raw data'!$B$6:$B$2225=$A66)*('Multi-start Raw data'!$C$6:$C$2225=K$6)*('Multi-start Raw data'!$J$6:$J$2225="Fully converged"))</f>
        <v>2.5259999999999998</v>
      </c>
      <c r="L66">
        <f t="array" ref="L66">SUM('Multi-start Raw data'!$D$6:$D$2225*('Multi-start Raw data'!$B$6:$B$2225=$A66)*('Multi-start Raw data'!$C$6:$C$2225=L$6)*('Multi-start Raw data'!$J$6:$J$2225="Fully converged"))</f>
        <v>2.528</v>
      </c>
      <c r="M66">
        <f t="array" ref="M66">SUM('Multi-start Raw data'!$D$6:$D$2225*('Multi-start Raw data'!$B$6:$B$2225=$A66)*('Multi-start Raw data'!$C$6:$C$2225=M$6)*('Multi-start Raw data'!$J$6:$J$2225="Fully converged"))</f>
        <v>2.5150000000000001</v>
      </c>
      <c r="N66">
        <f t="array" ref="N66">SUM('Multi-start Raw data'!$D$6:$D$2225*('Multi-start Raw data'!$B$6:$B$2225=$A66)*('Multi-start Raw data'!$C$6:$C$2225=N$6)*('Multi-start Raw data'!$J$6:$J$2225="Fully converged"))</f>
        <v>2.5150000000000001</v>
      </c>
      <c r="O66">
        <f t="array" ref="O66">SUM('Multi-start Raw data'!$D$6:$D$2225*('Multi-start Raw data'!$B$6:$B$2225=$A66)*('Multi-start Raw data'!$C$6:$C$2225=O$6)*('Multi-start Raw data'!$J$6:$J$2225="Fully converged"))</f>
        <v>2.5259999999999998</v>
      </c>
      <c r="P66">
        <f t="array" ref="P66">SUM('Multi-start Raw data'!$D$6:$D$2225*('Multi-start Raw data'!$B$6:$B$2225=$A66)*('Multi-start Raw data'!$C$6:$C$2225=P$6)*('Multi-start Raw data'!$J$6:$J$2225="Fully converged"))</f>
        <v>2.5150000000000001</v>
      </c>
      <c r="Q66">
        <f t="array" ref="Q66">SUM('Multi-start Raw data'!$D$6:$D$2225*('Multi-start Raw data'!$B$6:$B$2225=$A66)*('Multi-start Raw data'!$C$6:$C$2225=Q$6)*('Multi-start Raw data'!$J$6:$J$2225="Fully converged"))</f>
        <v>0</v>
      </c>
      <c r="R66">
        <f t="array" ref="R66">SUM('Multi-start Raw data'!$D$6:$D$2225*('Multi-start Raw data'!$B$6:$B$2225=$A66)*('Multi-start Raw data'!$C$6:$C$2225=R$6)*('Multi-start Raw data'!$J$6:$J$2225="Fully converged"))</f>
        <v>2.5259999999999998</v>
      </c>
      <c r="S66">
        <f t="array" ref="S66">SUM('Multi-start Raw data'!$D$6:$D$2225*('Multi-start Raw data'!$B$6:$B$2225=$A66)*('Multi-start Raw data'!$C$6:$C$2225=S$6)*('Multi-start Raw data'!$J$6:$J$2225="Fully converged"))</f>
        <v>0</v>
      </c>
      <c r="T66">
        <f t="array" ref="T66">SUM('Multi-start Raw data'!$D$6:$D$2225*('Multi-start Raw data'!$B$6:$B$2225=$A66)*('Multi-start Raw data'!$C$6:$C$2225=T$6)*('Multi-start Raw data'!$J$6:$J$2225="Fully converged"))</f>
        <v>2.5249999999999999</v>
      </c>
      <c r="U66">
        <f t="array" ref="U66">SUM('Multi-start Raw data'!$D$6:$D$2225*('Multi-start Raw data'!$B$6:$B$2225=$A66)*('Multi-start Raw data'!$C$6:$C$2225=U$6)*('Multi-start Raw data'!$J$6:$J$2225="Fully converged"))</f>
        <v>2.5259999999999998</v>
      </c>
      <c r="W66" s="6">
        <f t="shared" si="9"/>
        <v>2.5230000000000001</v>
      </c>
      <c r="X66" s="6">
        <f t="shared" si="10"/>
        <v>2.5270000000000001</v>
      </c>
      <c r="Y66" s="6">
        <f t="shared" si="11"/>
        <v>2.528</v>
      </c>
      <c r="Z66" s="6">
        <f t="shared" si="12"/>
        <v>2.528</v>
      </c>
      <c r="AA66" s="6">
        <f t="shared" si="13"/>
        <v>2.528</v>
      </c>
      <c r="AB66" s="6"/>
      <c r="AC66" s="6">
        <f t="shared" si="14"/>
        <v>4.0000000000000036E-3</v>
      </c>
      <c r="AD66" s="6">
        <f t="shared" si="15"/>
        <v>9.9999999999988987E-4</v>
      </c>
      <c r="AE66" s="6">
        <f t="shared" si="16"/>
        <v>0</v>
      </c>
      <c r="AF66" s="6">
        <f t="shared" si="17"/>
        <v>0</v>
      </c>
      <c r="AG66" s="6">
        <f t="shared" si="18"/>
        <v>0.19778481012657803</v>
      </c>
      <c r="AH66" s="6">
        <f t="shared" si="19"/>
        <v>3.9556962025312094E-2</v>
      </c>
      <c r="AI66" s="6">
        <f t="shared" si="20"/>
        <v>0</v>
      </c>
      <c r="AJ66" s="6">
        <f t="shared" si="21"/>
        <v>0</v>
      </c>
      <c r="AK66" s="6">
        <f t="shared" si="22"/>
        <v>0</v>
      </c>
      <c r="AM66" s="16">
        <f t="shared" si="23"/>
        <v>0.1</v>
      </c>
    </row>
    <row r="67" spans="1:39" x14ac:dyDescent="0.3">
      <c r="A67" s="1" t="s">
        <v>1570</v>
      </c>
      <c r="B67">
        <f t="array" ref="B67">SUM('Multi-start Raw data'!$D$6:$D$2225*('Multi-start Raw data'!$B$6:$B$2225=$A67)*('Multi-start Raw data'!$C$6:$C$2225=B$6)*('Multi-start Raw data'!$J$6:$J$2225="Fully converged"))</f>
        <v>2.4990000000000001</v>
      </c>
      <c r="C67">
        <f t="array" ref="C67">SUM('Multi-start Raw data'!$D$6:$D$2225*('Multi-start Raw data'!$B$6:$B$2225=$A67)*('Multi-start Raw data'!$C$6:$C$2225=C$6)*('Multi-start Raw data'!$J$6:$J$2225="Fully converged"))</f>
        <v>2.4950000000000001</v>
      </c>
      <c r="D67">
        <f t="array" ref="D67">SUM('Multi-start Raw data'!$D$6:$D$2225*('Multi-start Raw data'!$B$6:$B$2225=$A67)*('Multi-start Raw data'!$C$6:$C$2225=D$6)*('Multi-start Raw data'!$J$6:$J$2225="Fully converged"))</f>
        <v>2.4849999999999999</v>
      </c>
      <c r="E67">
        <f t="array" ref="E67">SUM('Multi-start Raw data'!$D$6:$D$2225*('Multi-start Raw data'!$B$6:$B$2225=$A67)*('Multi-start Raw data'!$C$6:$C$2225=E$6)*('Multi-start Raw data'!$J$6:$J$2225="Fully converged"))</f>
        <v>2.4990000000000001</v>
      </c>
      <c r="F67">
        <f t="array" ref="F67">SUM('Multi-start Raw data'!$D$6:$D$2225*('Multi-start Raw data'!$B$6:$B$2225=$A67)*('Multi-start Raw data'!$C$6:$C$2225=F$6)*('Multi-start Raw data'!$J$6:$J$2225="Fully converged"))</f>
        <v>2.4809999999999999</v>
      </c>
      <c r="G67">
        <f t="array" ref="G67">SUM('Multi-start Raw data'!$D$6:$D$2225*('Multi-start Raw data'!$B$6:$B$2225=$A67)*('Multi-start Raw data'!$C$6:$C$2225=G$6)*('Multi-start Raw data'!$J$6:$J$2225="Fully converged"))</f>
        <v>2.4550000000000001</v>
      </c>
      <c r="H67">
        <f t="array" ref="H67">SUM('Multi-start Raw data'!$D$6:$D$2225*('Multi-start Raw data'!$B$6:$B$2225=$A67)*('Multi-start Raw data'!$C$6:$C$2225=H$6)*('Multi-start Raw data'!$J$6:$J$2225="Fully converged"))</f>
        <v>2.4809999999999999</v>
      </c>
      <c r="I67">
        <f t="array" ref="I67">SUM('Multi-start Raw data'!$D$6:$D$2225*('Multi-start Raw data'!$B$6:$B$2225=$A67)*('Multi-start Raw data'!$C$6:$C$2225=I$6)*('Multi-start Raw data'!$J$6:$J$2225="Fully converged"))</f>
        <v>2.4950000000000001</v>
      </c>
      <c r="J67">
        <f t="array" ref="J67">SUM('Multi-start Raw data'!$D$6:$D$2225*('Multi-start Raw data'!$B$6:$B$2225=$A67)*('Multi-start Raw data'!$C$6:$C$2225=J$6)*('Multi-start Raw data'!$J$6:$J$2225="Fully converged"))</f>
        <v>2.4990000000000001</v>
      </c>
      <c r="K67">
        <f t="array" ref="K67">SUM('Multi-start Raw data'!$D$6:$D$2225*('Multi-start Raw data'!$B$6:$B$2225=$A67)*('Multi-start Raw data'!$C$6:$C$2225=K$6)*('Multi-start Raw data'!$J$6:$J$2225="Fully converged"))</f>
        <v>2.4809999999999999</v>
      </c>
      <c r="L67">
        <f t="array" ref="L67">SUM('Multi-start Raw data'!$D$6:$D$2225*('Multi-start Raw data'!$B$6:$B$2225=$A67)*('Multi-start Raw data'!$C$6:$C$2225=L$6)*('Multi-start Raw data'!$J$6:$J$2225="Fully converged"))</f>
        <v>2.5009999999999999</v>
      </c>
      <c r="M67">
        <f t="array" ref="M67">SUM('Multi-start Raw data'!$D$6:$D$2225*('Multi-start Raw data'!$B$6:$B$2225=$A67)*('Multi-start Raw data'!$C$6:$C$2225=M$6)*('Multi-start Raw data'!$J$6:$J$2225="Fully converged"))</f>
        <v>2.4860000000000002</v>
      </c>
      <c r="N67">
        <f t="array" ref="N67">SUM('Multi-start Raw data'!$D$6:$D$2225*('Multi-start Raw data'!$B$6:$B$2225=$A67)*('Multi-start Raw data'!$C$6:$C$2225=N$6)*('Multi-start Raw data'!$J$6:$J$2225="Fully converged"))</f>
        <v>2.4860000000000002</v>
      </c>
      <c r="O67">
        <f t="array" ref="O67">SUM('Multi-start Raw data'!$D$6:$D$2225*('Multi-start Raw data'!$B$6:$B$2225=$A67)*('Multi-start Raw data'!$C$6:$C$2225=O$6)*('Multi-start Raw data'!$J$6:$J$2225="Fully converged"))</f>
        <v>2.48</v>
      </c>
      <c r="P67">
        <f t="array" ref="P67">SUM('Multi-start Raw data'!$D$6:$D$2225*('Multi-start Raw data'!$B$6:$B$2225=$A67)*('Multi-start Raw data'!$C$6:$C$2225=P$6)*('Multi-start Raw data'!$J$6:$J$2225="Fully converged"))</f>
        <v>2.5009999999999999</v>
      </c>
      <c r="Q67">
        <f t="array" ref="Q67">SUM('Multi-start Raw data'!$D$6:$D$2225*('Multi-start Raw data'!$B$6:$B$2225=$A67)*('Multi-start Raw data'!$C$6:$C$2225=Q$6)*('Multi-start Raw data'!$J$6:$J$2225="Fully converged"))</f>
        <v>2.4990000000000001</v>
      </c>
      <c r="R67">
        <f t="array" ref="R67">SUM('Multi-start Raw data'!$D$6:$D$2225*('Multi-start Raw data'!$B$6:$B$2225=$A67)*('Multi-start Raw data'!$C$6:$C$2225=R$6)*('Multi-start Raw data'!$J$6:$J$2225="Fully converged"))</f>
        <v>0</v>
      </c>
      <c r="S67">
        <f t="array" ref="S67">SUM('Multi-start Raw data'!$D$6:$D$2225*('Multi-start Raw data'!$B$6:$B$2225=$A67)*('Multi-start Raw data'!$C$6:$C$2225=S$6)*('Multi-start Raw data'!$J$6:$J$2225="Fully converged"))</f>
        <v>2.4990000000000001</v>
      </c>
      <c r="T67">
        <f t="array" ref="T67">SUM('Multi-start Raw data'!$D$6:$D$2225*('Multi-start Raw data'!$B$6:$B$2225=$A67)*('Multi-start Raw data'!$C$6:$C$2225=T$6)*('Multi-start Raw data'!$J$6:$J$2225="Fully converged"))</f>
        <v>2.4950000000000001</v>
      </c>
      <c r="U67">
        <f t="array" ref="U67">SUM('Multi-start Raw data'!$D$6:$D$2225*('Multi-start Raw data'!$B$6:$B$2225=$A67)*('Multi-start Raw data'!$C$6:$C$2225=U$6)*('Multi-start Raw data'!$J$6:$J$2225="Fully converged"))</f>
        <v>2.4980000000000002</v>
      </c>
      <c r="W67" s="6">
        <f t="shared" si="9"/>
        <v>2.4990000000000001</v>
      </c>
      <c r="X67" s="6">
        <f t="shared" si="10"/>
        <v>2.4990000000000001</v>
      </c>
      <c r="Y67" s="6">
        <f t="shared" si="11"/>
        <v>2.5009999999999999</v>
      </c>
      <c r="Z67" s="6">
        <f t="shared" si="12"/>
        <v>2.5009999999999999</v>
      </c>
      <c r="AA67" s="6">
        <f t="shared" si="13"/>
        <v>2.5009999999999999</v>
      </c>
      <c r="AB67" s="6"/>
      <c r="AC67" s="6">
        <f t="shared" si="14"/>
        <v>0</v>
      </c>
      <c r="AD67" s="6">
        <f t="shared" si="15"/>
        <v>1.9999999999997797E-3</v>
      </c>
      <c r="AE67" s="6">
        <f t="shared" si="16"/>
        <v>0</v>
      </c>
      <c r="AF67" s="6">
        <f t="shared" si="17"/>
        <v>0</v>
      </c>
      <c r="AG67" s="6">
        <f t="shared" si="18"/>
        <v>7.9968012794873242E-2</v>
      </c>
      <c r="AH67" s="6">
        <f t="shared" si="19"/>
        <v>7.9968012794873242E-2</v>
      </c>
      <c r="AI67" s="6">
        <f t="shared" si="20"/>
        <v>0</v>
      </c>
      <c r="AJ67" s="6">
        <f t="shared" si="21"/>
        <v>0</v>
      </c>
      <c r="AK67" s="6">
        <f t="shared" si="22"/>
        <v>0</v>
      </c>
      <c r="AM67" s="16">
        <f t="shared" si="23"/>
        <v>0.1</v>
      </c>
    </row>
    <row r="68" spans="1:39" x14ac:dyDescent="0.3">
      <c r="A68" s="1" t="s">
        <v>1590</v>
      </c>
      <c r="B68">
        <f t="array" ref="B68">SUM('Multi-start Raw data'!$D$6:$D$2225*('Multi-start Raw data'!$B$6:$B$2225=$A68)*('Multi-start Raw data'!$C$6:$C$2225=B$6)*('Multi-start Raw data'!$J$6:$J$2225="Fully converged"))</f>
        <v>2.2869999999999999</v>
      </c>
      <c r="C68">
        <f t="array" ref="C68">SUM('Multi-start Raw data'!$D$6:$D$2225*('Multi-start Raw data'!$B$6:$B$2225=$A68)*('Multi-start Raw data'!$C$6:$C$2225=C$6)*('Multi-start Raw data'!$J$6:$J$2225="Fully converged"))</f>
        <v>2.2949999999999999</v>
      </c>
      <c r="D68">
        <f t="array" ref="D68">SUM('Multi-start Raw data'!$D$6:$D$2225*('Multi-start Raw data'!$B$6:$B$2225=$A68)*('Multi-start Raw data'!$C$6:$C$2225=D$6)*('Multi-start Raw data'!$J$6:$J$2225="Fully converged"))</f>
        <v>2.3130000000000002</v>
      </c>
      <c r="E68">
        <f t="array" ref="E68">SUM('Multi-start Raw data'!$D$6:$D$2225*('Multi-start Raw data'!$B$6:$B$2225=$A68)*('Multi-start Raw data'!$C$6:$C$2225=E$6)*('Multi-start Raw data'!$J$6:$J$2225="Fully converged"))</f>
        <v>2.3130000000000002</v>
      </c>
      <c r="F68">
        <f t="array" ref="F68">SUM('Multi-start Raw data'!$D$6:$D$2225*('Multi-start Raw data'!$B$6:$B$2225=$A68)*('Multi-start Raw data'!$C$6:$C$2225=F$6)*('Multi-start Raw data'!$J$6:$J$2225="Fully converged"))</f>
        <v>2.3130000000000002</v>
      </c>
      <c r="G68">
        <f t="array" ref="G68">SUM('Multi-start Raw data'!$D$6:$D$2225*('Multi-start Raw data'!$B$6:$B$2225=$A68)*('Multi-start Raw data'!$C$6:$C$2225=G$6)*('Multi-start Raw data'!$J$6:$J$2225="Fully converged"))</f>
        <v>2.286</v>
      </c>
      <c r="H68">
        <f t="array" ref="H68">SUM('Multi-start Raw data'!$D$6:$D$2225*('Multi-start Raw data'!$B$6:$B$2225=$A68)*('Multi-start Raw data'!$C$6:$C$2225=H$6)*('Multi-start Raw data'!$J$6:$J$2225="Fully converged"))</f>
        <v>2.306</v>
      </c>
      <c r="I68">
        <f t="array" ref="I68">SUM('Multi-start Raw data'!$D$6:$D$2225*('Multi-start Raw data'!$B$6:$B$2225=$A68)*('Multi-start Raw data'!$C$6:$C$2225=I$6)*('Multi-start Raw data'!$J$6:$J$2225="Fully converged"))</f>
        <v>2.3130000000000002</v>
      </c>
      <c r="J68">
        <f t="array" ref="J68">SUM('Multi-start Raw data'!$D$6:$D$2225*('Multi-start Raw data'!$B$6:$B$2225=$A68)*('Multi-start Raw data'!$C$6:$C$2225=J$6)*('Multi-start Raw data'!$J$6:$J$2225="Fully converged"))</f>
        <v>2.2879999999999998</v>
      </c>
      <c r="K68">
        <f t="array" ref="K68">SUM('Multi-start Raw data'!$D$6:$D$2225*('Multi-start Raw data'!$B$6:$B$2225=$A68)*('Multi-start Raw data'!$C$6:$C$2225=K$6)*('Multi-start Raw data'!$J$6:$J$2225="Fully converged"))</f>
        <v>2.2959999999999998</v>
      </c>
      <c r="L68">
        <f t="array" ref="L68">SUM('Multi-start Raw data'!$D$6:$D$2225*('Multi-start Raw data'!$B$6:$B$2225=$A68)*('Multi-start Raw data'!$C$6:$C$2225=L$6)*('Multi-start Raw data'!$J$6:$J$2225="Fully converged"))</f>
        <v>2.31</v>
      </c>
      <c r="M68">
        <f t="array" ref="M68">SUM('Multi-start Raw data'!$D$6:$D$2225*('Multi-start Raw data'!$B$6:$B$2225=$A68)*('Multi-start Raw data'!$C$6:$C$2225=M$6)*('Multi-start Raw data'!$J$6:$J$2225="Fully converged"))</f>
        <v>2.2879999999999998</v>
      </c>
      <c r="N68">
        <f t="array" ref="N68">SUM('Multi-start Raw data'!$D$6:$D$2225*('Multi-start Raw data'!$B$6:$B$2225=$A68)*('Multi-start Raw data'!$C$6:$C$2225=N$6)*('Multi-start Raw data'!$J$6:$J$2225="Fully converged"))</f>
        <v>2.3130000000000002</v>
      </c>
      <c r="O68">
        <f t="array" ref="O68">SUM('Multi-start Raw data'!$D$6:$D$2225*('Multi-start Raw data'!$B$6:$B$2225=$A68)*('Multi-start Raw data'!$C$6:$C$2225=O$6)*('Multi-start Raw data'!$J$6:$J$2225="Fully converged"))</f>
        <v>2.286</v>
      </c>
      <c r="P68">
        <f t="array" ref="P68">SUM('Multi-start Raw data'!$D$6:$D$2225*('Multi-start Raw data'!$B$6:$B$2225=$A68)*('Multi-start Raw data'!$C$6:$C$2225=P$6)*('Multi-start Raw data'!$J$6:$J$2225="Fully converged"))</f>
        <v>2.2949999999999999</v>
      </c>
      <c r="Q68">
        <f t="array" ref="Q68">SUM('Multi-start Raw data'!$D$6:$D$2225*('Multi-start Raw data'!$B$6:$B$2225=$A68)*('Multi-start Raw data'!$C$6:$C$2225=Q$6)*('Multi-start Raw data'!$J$6:$J$2225="Fully converged"))</f>
        <v>2.3069999999999999</v>
      </c>
      <c r="R68">
        <f t="array" ref="R68">SUM('Multi-start Raw data'!$D$6:$D$2225*('Multi-start Raw data'!$B$6:$B$2225=$A68)*('Multi-start Raw data'!$C$6:$C$2225=R$6)*('Multi-start Raw data'!$J$6:$J$2225="Fully converged"))</f>
        <v>0</v>
      </c>
      <c r="S68">
        <f t="array" ref="S68">SUM('Multi-start Raw data'!$D$6:$D$2225*('Multi-start Raw data'!$B$6:$B$2225=$A68)*('Multi-start Raw data'!$C$6:$C$2225=S$6)*('Multi-start Raw data'!$J$6:$J$2225="Fully converged"))</f>
        <v>2.2869999999999999</v>
      </c>
      <c r="T68">
        <f t="array" ref="T68">SUM('Multi-start Raw data'!$D$6:$D$2225*('Multi-start Raw data'!$B$6:$B$2225=$A68)*('Multi-start Raw data'!$C$6:$C$2225=T$6)*('Multi-start Raw data'!$J$6:$J$2225="Fully converged"))</f>
        <v>0</v>
      </c>
      <c r="U68">
        <f t="array" ref="U68">SUM('Multi-start Raw data'!$D$6:$D$2225*('Multi-start Raw data'!$B$6:$B$2225=$A68)*('Multi-start Raw data'!$C$6:$C$2225=U$6)*('Multi-start Raw data'!$J$6:$J$2225="Fully converged"))</f>
        <v>2.2869999999999999</v>
      </c>
      <c r="W68" s="6">
        <f t="shared" si="9"/>
        <v>2.3130000000000002</v>
      </c>
      <c r="X68" s="6">
        <f t="shared" si="10"/>
        <v>2.3130000000000002</v>
      </c>
      <c r="Y68" s="6">
        <f t="shared" si="11"/>
        <v>2.3130000000000002</v>
      </c>
      <c r="Z68" s="6">
        <f t="shared" si="12"/>
        <v>2.3130000000000002</v>
      </c>
      <c r="AA68" s="6">
        <f t="shared" si="13"/>
        <v>2.3130000000000002</v>
      </c>
      <c r="AB68" s="6"/>
      <c r="AC68" s="6">
        <f t="shared" si="14"/>
        <v>0</v>
      </c>
      <c r="AD68" s="6">
        <f t="shared" si="15"/>
        <v>0</v>
      </c>
      <c r="AE68" s="6">
        <f t="shared" si="16"/>
        <v>0</v>
      </c>
      <c r="AF68" s="6">
        <f t="shared" si="17"/>
        <v>0</v>
      </c>
      <c r="AG68" s="6">
        <f t="shared" si="18"/>
        <v>0</v>
      </c>
      <c r="AH68" s="6">
        <f t="shared" si="19"/>
        <v>0</v>
      </c>
      <c r="AI68" s="6">
        <f t="shared" si="20"/>
        <v>0</v>
      </c>
      <c r="AJ68" s="6">
        <f t="shared" si="21"/>
        <v>0</v>
      </c>
      <c r="AK68" s="6">
        <f t="shared" si="22"/>
        <v>0</v>
      </c>
      <c r="AM68" s="16">
        <f t="shared" si="23"/>
        <v>0.1</v>
      </c>
    </row>
    <row r="69" spans="1:39" x14ac:dyDescent="0.3">
      <c r="A69" s="1" t="s">
        <v>1614</v>
      </c>
      <c r="B69">
        <f t="array" ref="B69">SUM('Multi-start Raw data'!$D$6:$D$2225*('Multi-start Raw data'!$B$6:$B$2225=$A69)*('Multi-start Raw data'!$C$6:$C$2225=B$6)*('Multi-start Raw data'!$J$6:$J$2225="Fully converged"))</f>
        <v>2.5499999999999998</v>
      </c>
      <c r="C69">
        <f t="array" ref="C69">SUM('Multi-start Raw data'!$D$6:$D$2225*('Multi-start Raw data'!$B$6:$B$2225=$A69)*('Multi-start Raw data'!$C$6:$C$2225=C$6)*('Multi-start Raw data'!$J$6:$J$2225="Fully converged"))</f>
        <v>2.5499999999999998</v>
      </c>
      <c r="D69">
        <f t="array" ref="D69">SUM('Multi-start Raw data'!$D$6:$D$2225*('Multi-start Raw data'!$B$6:$B$2225=$A69)*('Multi-start Raw data'!$C$6:$C$2225=D$6)*('Multi-start Raw data'!$J$6:$J$2225="Fully converged"))</f>
        <v>2.5569999999999999</v>
      </c>
      <c r="E69">
        <f t="array" ref="E69">SUM('Multi-start Raw data'!$D$6:$D$2225*('Multi-start Raw data'!$B$6:$B$2225=$A69)*('Multi-start Raw data'!$C$6:$C$2225=E$6)*('Multi-start Raw data'!$J$6:$J$2225="Fully converged"))</f>
        <v>2.5489999999999999</v>
      </c>
      <c r="F69">
        <f t="array" ref="F69">SUM('Multi-start Raw data'!$D$6:$D$2225*('Multi-start Raw data'!$B$6:$B$2225=$A69)*('Multi-start Raw data'!$C$6:$C$2225=F$6)*('Multi-start Raw data'!$J$6:$J$2225="Fully converged"))</f>
        <v>2.5339999999999998</v>
      </c>
      <c r="G69">
        <f t="array" ref="G69">SUM('Multi-start Raw data'!$D$6:$D$2225*('Multi-start Raw data'!$B$6:$B$2225=$A69)*('Multi-start Raw data'!$C$6:$C$2225=G$6)*('Multi-start Raw data'!$J$6:$J$2225="Fully converged"))</f>
        <v>2.4889999999999999</v>
      </c>
      <c r="H69">
        <f t="array" ref="H69">SUM('Multi-start Raw data'!$D$6:$D$2225*('Multi-start Raw data'!$B$6:$B$2225=$A69)*('Multi-start Raw data'!$C$6:$C$2225=H$6)*('Multi-start Raw data'!$J$6:$J$2225="Fully converged"))</f>
        <v>2.5339999999999998</v>
      </c>
      <c r="I69">
        <f t="array" ref="I69">SUM('Multi-start Raw data'!$D$6:$D$2225*('Multi-start Raw data'!$B$6:$B$2225=$A69)*('Multi-start Raw data'!$C$6:$C$2225=I$6)*('Multi-start Raw data'!$J$6:$J$2225="Fully converged"))</f>
        <v>2.548</v>
      </c>
      <c r="J69">
        <f t="array" ref="J69">SUM('Multi-start Raw data'!$D$6:$D$2225*('Multi-start Raw data'!$B$6:$B$2225=$A69)*('Multi-start Raw data'!$C$6:$C$2225=J$6)*('Multi-start Raw data'!$J$6:$J$2225="Fully converged"))</f>
        <v>2.5499999999999998</v>
      </c>
      <c r="K69">
        <f t="array" ref="K69">SUM('Multi-start Raw data'!$D$6:$D$2225*('Multi-start Raw data'!$B$6:$B$2225=$A69)*('Multi-start Raw data'!$C$6:$C$2225=K$6)*('Multi-start Raw data'!$J$6:$J$2225="Fully converged"))</f>
        <v>2.548</v>
      </c>
      <c r="L69">
        <f t="array" ref="L69">SUM('Multi-start Raw data'!$D$6:$D$2225*('Multi-start Raw data'!$B$6:$B$2225=$A69)*('Multi-start Raw data'!$C$6:$C$2225=L$6)*('Multi-start Raw data'!$J$6:$J$2225="Fully converged"))</f>
        <v>2.5379999999999998</v>
      </c>
      <c r="M69">
        <f t="array" ref="M69">SUM('Multi-start Raw data'!$D$6:$D$2225*('Multi-start Raw data'!$B$6:$B$2225=$A69)*('Multi-start Raw data'!$C$6:$C$2225=M$6)*('Multi-start Raw data'!$J$6:$J$2225="Fully converged"))</f>
        <v>2.5499999999999998</v>
      </c>
      <c r="N69">
        <f t="array" ref="N69">SUM('Multi-start Raw data'!$D$6:$D$2225*('Multi-start Raw data'!$B$6:$B$2225=$A69)*('Multi-start Raw data'!$C$6:$C$2225=N$6)*('Multi-start Raw data'!$J$6:$J$2225="Fully converged"))</f>
        <v>2.5390000000000001</v>
      </c>
      <c r="O69">
        <f t="array" ref="O69">SUM('Multi-start Raw data'!$D$6:$D$2225*('Multi-start Raw data'!$B$6:$B$2225=$A69)*('Multi-start Raw data'!$C$6:$C$2225=O$6)*('Multi-start Raw data'!$J$6:$J$2225="Fully converged"))</f>
        <v>2.5249999999999999</v>
      </c>
      <c r="P69">
        <f t="array" ref="P69">SUM('Multi-start Raw data'!$D$6:$D$2225*('Multi-start Raw data'!$B$6:$B$2225=$A69)*('Multi-start Raw data'!$C$6:$C$2225=P$6)*('Multi-start Raw data'!$J$6:$J$2225="Fully converged"))</f>
        <v>2.5569999999999999</v>
      </c>
      <c r="Q69">
        <f t="array" ref="Q69">SUM('Multi-start Raw data'!$D$6:$D$2225*('Multi-start Raw data'!$B$6:$B$2225=$A69)*('Multi-start Raw data'!$C$6:$C$2225=Q$6)*('Multi-start Raw data'!$J$6:$J$2225="Fully converged"))</f>
        <v>2.532</v>
      </c>
      <c r="R69">
        <f t="array" ref="R69">SUM('Multi-start Raw data'!$D$6:$D$2225*('Multi-start Raw data'!$B$6:$B$2225=$A69)*('Multi-start Raw data'!$C$6:$C$2225=R$6)*('Multi-start Raw data'!$J$6:$J$2225="Fully converged"))</f>
        <v>2.5499999999999998</v>
      </c>
      <c r="S69">
        <f t="array" ref="S69">SUM('Multi-start Raw data'!$D$6:$D$2225*('Multi-start Raw data'!$B$6:$B$2225=$A69)*('Multi-start Raw data'!$C$6:$C$2225=S$6)*('Multi-start Raw data'!$J$6:$J$2225="Fully converged"))</f>
        <v>2.5499999999999998</v>
      </c>
      <c r="T69">
        <f t="array" ref="T69">SUM('Multi-start Raw data'!$D$6:$D$2225*('Multi-start Raw data'!$B$6:$B$2225=$A69)*('Multi-start Raw data'!$C$6:$C$2225=T$6)*('Multi-start Raw data'!$J$6:$J$2225="Fully converged"))</f>
        <v>2.5569999999999999</v>
      </c>
      <c r="U69">
        <f t="array" ref="U69">SUM('Multi-start Raw data'!$D$6:$D$2225*('Multi-start Raw data'!$B$6:$B$2225=$A69)*('Multi-start Raw data'!$C$6:$C$2225=U$6)*('Multi-start Raw data'!$J$6:$J$2225="Fully converged"))</f>
        <v>2.5499999999999998</v>
      </c>
      <c r="W69" s="6">
        <f t="shared" si="9"/>
        <v>2.5569999999999999</v>
      </c>
      <c r="X69" s="6">
        <f t="shared" si="10"/>
        <v>2.5569999999999999</v>
      </c>
      <c r="Y69" s="6">
        <f t="shared" si="11"/>
        <v>2.5569999999999999</v>
      </c>
      <c r="Z69" s="6">
        <f t="shared" si="12"/>
        <v>2.5569999999999999</v>
      </c>
      <c r="AA69" s="6">
        <f t="shared" si="13"/>
        <v>2.5569999999999999</v>
      </c>
      <c r="AB69" s="6"/>
      <c r="AC69" s="6">
        <f t="shared" si="14"/>
        <v>0</v>
      </c>
      <c r="AD69" s="6">
        <f t="shared" si="15"/>
        <v>0</v>
      </c>
      <c r="AE69" s="6">
        <f t="shared" si="16"/>
        <v>0</v>
      </c>
      <c r="AF69" s="6">
        <f t="shared" si="17"/>
        <v>0</v>
      </c>
      <c r="AG69" s="6">
        <f t="shared" ref="AG69:AG86" si="24">IFERROR(($AA69-W69)/$AA69*100,0)</f>
        <v>0</v>
      </c>
      <c r="AH69" s="6">
        <f t="shared" ref="AH69:AH86" si="25">IFERROR(($AA69-X69)/$AA69*100,0)</f>
        <v>0</v>
      </c>
      <c r="AI69" s="6">
        <f t="shared" ref="AI69:AI86" si="26">IFERROR(($AA69-Y69)/$AA69*100,0)</f>
        <v>0</v>
      </c>
      <c r="AJ69" s="6">
        <f t="shared" ref="AJ69:AJ86" si="27">IFERROR(($AA69-Z69)/$AA69*100,0)</f>
        <v>0</v>
      </c>
      <c r="AK69" s="6">
        <f t="shared" ref="AK69:AK86" si="28">IFERROR(($AA69-AA69)/$AA69*100,0)</f>
        <v>0</v>
      </c>
      <c r="AM69" s="16">
        <f t="shared" si="23"/>
        <v>0.1</v>
      </c>
    </row>
    <row r="70" spans="1:39" x14ac:dyDescent="0.3">
      <c r="A70" s="1" t="s">
        <v>1630</v>
      </c>
      <c r="B70">
        <f t="array" ref="B70">SUM('Multi-start Raw data'!$D$6:$D$2225*('Multi-start Raw data'!$B$6:$B$2225=$A70)*('Multi-start Raw data'!$C$6:$C$2225=B$6)*('Multi-start Raw data'!$J$6:$J$2225="Fully converged"))</f>
        <v>2.4790000000000001</v>
      </c>
      <c r="C70">
        <f t="array" ref="C70">SUM('Multi-start Raw data'!$D$6:$D$2225*('Multi-start Raw data'!$B$6:$B$2225=$A70)*('Multi-start Raw data'!$C$6:$C$2225=C$6)*('Multi-start Raw data'!$J$6:$J$2225="Fully converged"))</f>
        <v>2.5019999999999998</v>
      </c>
      <c r="D70">
        <f t="array" ref="D70">SUM('Multi-start Raw data'!$D$6:$D$2225*('Multi-start Raw data'!$B$6:$B$2225=$A70)*('Multi-start Raw data'!$C$6:$C$2225=D$6)*('Multi-start Raw data'!$J$6:$J$2225="Fully converged"))</f>
        <v>2.5049999999999999</v>
      </c>
      <c r="E70">
        <f t="array" ref="E70">SUM('Multi-start Raw data'!$D$6:$D$2225*('Multi-start Raw data'!$B$6:$B$2225=$A70)*('Multi-start Raw data'!$C$6:$C$2225=E$6)*('Multi-start Raw data'!$J$6:$J$2225="Fully converged"))</f>
        <v>2.5009999999999999</v>
      </c>
      <c r="F70">
        <f t="array" ref="F70">SUM('Multi-start Raw data'!$D$6:$D$2225*('Multi-start Raw data'!$B$6:$B$2225=$A70)*('Multi-start Raw data'!$C$6:$C$2225=F$6)*('Multi-start Raw data'!$J$6:$J$2225="Fully converged"))</f>
        <v>2.4820000000000002</v>
      </c>
      <c r="G70">
        <f t="array" ref="G70">SUM('Multi-start Raw data'!$D$6:$D$2225*('Multi-start Raw data'!$B$6:$B$2225=$A70)*('Multi-start Raw data'!$C$6:$C$2225=G$6)*('Multi-start Raw data'!$J$6:$J$2225="Fully converged"))</f>
        <v>2.4790000000000001</v>
      </c>
      <c r="H70">
        <f t="array" ref="H70">SUM('Multi-start Raw data'!$D$6:$D$2225*('Multi-start Raw data'!$B$6:$B$2225=$A70)*('Multi-start Raw data'!$C$6:$C$2225=H$6)*('Multi-start Raw data'!$J$6:$J$2225="Fully converged"))</f>
        <v>2.4860000000000002</v>
      </c>
      <c r="I70">
        <f t="array" ref="I70">SUM('Multi-start Raw data'!$D$6:$D$2225*('Multi-start Raw data'!$B$6:$B$2225=$A70)*('Multi-start Raw data'!$C$6:$C$2225=I$6)*('Multi-start Raw data'!$J$6:$J$2225="Fully converged"))</f>
        <v>2.4980000000000002</v>
      </c>
      <c r="J70">
        <f t="array" ref="J70">SUM('Multi-start Raw data'!$D$6:$D$2225*('Multi-start Raw data'!$B$6:$B$2225=$A70)*('Multi-start Raw data'!$C$6:$C$2225=J$6)*('Multi-start Raw data'!$J$6:$J$2225="Fully converged"))</f>
        <v>2.5019999999999998</v>
      </c>
      <c r="K70">
        <f t="array" ref="K70">SUM('Multi-start Raw data'!$D$6:$D$2225*('Multi-start Raw data'!$B$6:$B$2225=$A70)*('Multi-start Raw data'!$C$6:$C$2225=K$6)*('Multi-start Raw data'!$J$6:$J$2225="Fully converged"))</f>
        <v>2.4820000000000002</v>
      </c>
      <c r="L70">
        <f t="array" ref="L70">SUM('Multi-start Raw data'!$D$6:$D$2225*('Multi-start Raw data'!$B$6:$B$2225=$A70)*('Multi-start Raw data'!$C$6:$C$2225=L$6)*('Multi-start Raw data'!$J$6:$J$2225="Fully converged"))</f>
        <v>2.5049999999999999</v>
      </c>
      <c r="M70">
        <f t="array" ref="M70">SUM('Multi-start Raw data'!$D$6:$D$2225*('Multi-start Raw data'!$B$6:$B$2225=$A70)*('Multi-start Raw data'!$C$6:$C$2225=M$6)*('Multi-start Raw data'!$J$6:$J$2225="Fully converged"))</f>
        <v>2.4870000000000001</v>
      </c>
      <c r="N70">
        <f t="array" ref="N70">SUM('Multi-start Raw data'!$D$6:$D$2225*('Multi-start Raw data'!$B$6:$B$2225=$A70)*('Multi-start Raw data'!$C$6:$C$2225=N$6)*('Multi-start Raw data'!$J$6:$J$2225="Fully converged"))</f>
        <v>2.4860000000000002</v>
      </c>
      <c r="O70">
        <f t="array" ref="O70">SUM('Multi-start Raw data'!$D$6:$D$2225*('Multi-start Raw data'!$B$6:$B$2225=$A70)*('Multi-start Raw data'!$C$6:$C$2225=O$6)*('Multi-start Raw data'!$J$6:$J$2225="Fully converged"))</f>
        <v>2.5019999999999998</v>
      </c>
      <c r="P70">
        <f t="array" ref="P70">SUM('Multi-start Raw data'!$D$6:$D$2225*('Multi-start Raw data'!$B$6:$B$2225=$A70)*('Multi-start Raw data'!$C$6:$C$2225=P$6)*('Multi-start Raw data'!$J$6:$J$2225="Fully converged"))</f>
        <v>2.4860000000000002</v>
      </c>
      <c r="Q70">
        <f t="array" ref="Q70">SUM('Multi-start Raw data'!$D$6:$D$2225*('Multi-start Raw data'!$B$6:$B$2225=$A70)*('Multi-start Raw data'!$C$6:$C$2225=Q$6)*('Multi-start Raw data'!$J$6:$J$2225="Fully converged"))</f>
        <v>2.4990000000000001</v>
      </c>
      <c r="R70">
        <f t="array" ref="R70">SUM('Multi-start Raw data'!$D$6:$D$2225*('Multi-start Raw data'!$B$6:$B$2225=$A70)*('Multi-start Raw data'!$C$6:$C$2225=R$6)*('Multi-start Raw data'!$J$6:$J$2225="Fully converged"))</f>
        <v>2.4820000000000002</v>
      </c>
      <c r="S70">
        <f t="array" ref="S70">SUM('Multi-start Raw data'!$D$6:$D$2225*('Multi-start Raw data'!$B$6:$B$2225=$A70)*('Multi-start Raw data'!$C$6:$C$2225=S$6)*('Multi-start Raw data'!$J$6:$J$2225="Fully converged"))</f>
        <v>2.5019999999999998</v>
      </c>
      <c r="T70">
        <f t="array" ref="T70">SUM('Multi-start Raw data'!$D$6:$D$2225*('Multi-start Raw data'!$B$6:$B$2225=$A70)*('Multi-start Raw data'!$C$6:$C$2225=T$6)*('Multi-start Raw data'!$J$6:$J$2225="Fully converged"))</f>
        <v>2.5019999999999998</v>
      </c>
      <c r="U70">
        <f t="array" ref="U70">SUM('Multi-start Raw data'!$D$6:$D$2225*('Multi-start Raw data'!$B$6:$B$2225=$A70)*('Multi-start Raw data'!$C$6:$C$2225=U$6)*('Multi-start Raw data'!$J$6:$J$2225="Fully converged"))</f>
        <v>2.5019999999999998</v>
      </c>
      <c r="W70" s="6">
        <f t="shared" si="9"/>
        <v>2.5049999999999999</v>
      </c>
      <c r="X70" s="6">
        <f t="shared" si="10"/>
        <v>2.5049999999999999</v>
      </c>
      <c r="Y70" s="6">
        <f t="shared" si="11"/>
        <v>2.5049999999999999</v>
      </c>
      <c r="Z70" s="6">
        <f t="shared" si="12"/>
        <v>2.5049999999999999</v>
      </c>
      <c r="AA70" s="6">
        <f t="shared" si="13"/>
        <v>2.5049999999999999</v>
      </c>
      <c r="AB70" s="6"/>
      <c r="AC70" s="6">
        <f t="shared" si="14"/>
        <v>0</v>
      </c>
      <c r="AD70" s="6">
        <f t="shared" si="15"/>
        <v>0</v>
      </c>
      <c r="AE70" s="6">
        <f t="shared" si="16"/>
        <v>0</v>
      </c>
      <c r="AF70" s="6">
        <f t="shared" si="17"/>
        <v>0</v>
      </c>
      <c r="AG70" s="6">
        <f t="shared" si="24"/>
        <v>0</v>
      </c>
      <c r="AH70" s="6">
        <f t="shared" si="25"/>
        <v>0</v>
      </c>
      <c r="AI70" s="6">
        <f t="shared" si="26"/>
        <v>0</v>
      </c>
      <c r="AJ70" s="6">
        <f t="shared" si="27"/>
        <v>0</v>
      </c>
      <c r="AK70" s="6">
        <f t="shared" si="28"/>
        <v>0</v>
      </c>
      <c r="AM70" s="16">
        <f t="shared" si="23"/>
        <v>0.1</v>
      </c>
    </row>
    <row r="71" spans="1:39" x14ac:dyDescent="0.3">
      <c r="A71" s="1" t="s">
        <v>1647</v>
      </c>
      <c r="B71">
        <f t="array" ref="B71">SUM('Multi-start Raw data'!$D$6:$D$2225*('Multi-start Raw data'!$B$6:$B$2225=$A71)*('Multi-start Raw data'!$C$6:$C$2225=B$6)*('Multi-start Raw data'!$J$6:$J$2225="Fully converged"))</f>
        <v>2.508</v>
      </c>
      <c r="C71">
        <f t="array" ref="C71">SUM('Multi-start Raw data'!$D$6:$D$2225*('Multi-start Raw data'!$B$6:$B$2225=$A71)*('Multi-start Raw data'!$C$6:$C$2225=C$6)*('Multi-start Raw data'!$J$6:$J$2225="Fully converged"))</f>
        <v>2.484</v>
      </c>
      <c r="D71">
        <f t="array" ref="D71">SUM('Multi-start Raw data'!$D$6:$D$2225*('Multi-start Raw data'!$B$6:$B$2225=$A71)*('Multi-start Raw data'!$C$6:$C$2225=D$6)*('Multi-start Raw data'!$J$6:$J$2225="Fully converged"))</f>
        <v>2.5110000000000001</v>
      </c>
      <c r="E71">
        <f t="array" ref="E71">SUM('Multi-start Raw data'!$D$6:$D$2225*('Multi-start Raw data'!$B$6:$B$2225=$A71)*('Multi-start Raw data'!$C$6:$C$2225=E$6)*('Multi-start Raw data'!$J$6:$J$2225="Fully converged"))</f>
        <v>2.4929999999999999</v>
      </c>
      <c r="F71">
        <f t="array" ref="F71">SUM('Multi-start Raw data'!$D$6:$D$2225*('Multi-start Raw data'!$B$6:$B$2225=$A71)*('Multi-start Raw data'!$C$6:$C$2225=F$6)*('Multi-start Raw data'!$J$6:$J$2225="Fully converged"))</f>
        <v>2.5110000000000001</v>
      </c>
      <c r="G71">
        <f t="array" ref="G71">SUM('Multi-start Raw data'!$D$6:$D$2225*('Multi-start Raw data'!$B$6:$B$2225=$A71)*('Multi-start Raw data'!$C$6:$C$2225=G$6)*('Multi-start Raw data'!$J$6:$J$2225="Fully converged"))</f>
        <v>2.4860000000000002</v>
      </c>
      <c r="H71">
        <f t="array" ref="H71">SUM('Multi-start Raw data'!$D$6:$D$2225*('Multi-start Raw data'!$B$6:$B$2225=$A71)*('Multi-start Raw data'!$C$6:$C$2225=H$6)*('Multi-start Raw data'!$J$6:$J$2225="Fully converged"))</f>
        <v>2.5070000000000001</v>
      </c>
      <c r="I71">
        <f t="array" ref="I71">SUM('Multi-start Raw data'!$D$6:$D$2225*('Multi-start Raw data'!$B$6:$B$2225=$A71)*('Multi-start Raw data'!$C$6:$C$2225=I$6)*('Multi-start Raw data'!$J$6:$J$2225="Fully converged"))</f>
        <v>2.5110000000000001</v>
      </c>
      <c r="J71">
        <f t="array" ref="J71">SUM('Multi-start Raw data'!$D$6:$D$2225*('Multi-start Raw data'!$B$6:$B$2225=$A71)*('Multi-start Raw data'!$C$6:$C$2225=J$6)*('Multi-start Raw data'!$J$6:$J$2225="Fully converged"))</f>
        <v>2.508</v>
      </c>
      <c r="K71">
        <f t="array" ref="K71">SUM('Multi-start Raw data'!$D$6:$D$2225*('Multi-start Raw data'!$B$6:$B$2225=$A71)*('Multi-start Raw data'!$C$6:$C$2225=K$6)*('Multi-start Raw data'!$J$6:$J$2225="Fully converged"))</f>
        <v>2.508</v>
      </c>
      <c r="L71">
        <f t="array" ref="L71">SUM('Multi-start Raw data'!$D$6:$D$2225*('Multi-start Raw data'!$B$6:$B$2225=$A71)*('Multi-start Raw data'!$C$6:$C$2225=L$6)*('Multi-start Raw data'!$J$6:$J$2225="Fully converged"))</f>
        <v>2.5110000000000001</v>
      </c>
      <c r="M71">
        <f t="array" ref="M71">SUM('Multi-start Raw data'!$D$6:$D$2225*('Multi-start Raw data'!$B$6:$B$2225=$A71)*('Multi-start Raw data'!$C$6:$C$2225=M$6)*('Multi-start Raw data'!$J$6:$J$2225="Fully converged"))</f>
        <v>2.5110000000000001</v>
      </c>
      <c r="N71">
        <f t="array" ref="N71">SUM('Multi-start Raw data'!$D$6:$D$2225*('Multi-start Raw data'!$B$6:$B$2225=$A71)*('Multi-start Raw data'!$C$6:$C$2225=N$6)*('Multi-start Raw data'!$J$6:$J$2225="Fully converged"))</f>
        <v>2.4929999999999999</v>
      </c>
      <c r="O71">
        <f t="array" ref="O71">SUM('Multi-start Raw data'!$D$6:$D$2225*('Multi-start Raw data'!$B$6:$B$2225=$A71)*('Multi-start Raw data'!$C$6:$C$2225=O$6)*('Multi-start Raw data'!$J$6:$J$2225="Fully converged"))</f>
        <v>2.488</v>
      </c>
      <c r="P71">
        <f t="array" ref="P71">SUM('Multi-start Raw data'!$D$6:$D$2225*('Multi-start Raw data'!$B$6:$B$2225=$A71)*('Multi-start Raw data'!$C$6:$C$2225=P$6)*('Multi-start Raw data'!$J$6:$J$2225="Fully converged"))</f>
        <v>2.5110000000000001</v>
      </c>
      <c r="Q71">
        <f t="array" ref="Q71">SUM('Multi-start Raw data'!$D$6:$D$2225*('Multi-start Raw data'!$B$6:$B$2225=$A71)*('Multi-start Raw data'!$C$6:$C$2225=Q$6)*('Multi-start Raw data'!$J$6:$J$2225="Fully converged"))</f>
        <v>0</v>
      </c>
      <c r="R71">
        <f t="array" ref="R71">SUM('Multi-start Raw data'!$D$6:$D$2225*('Multi-start Raw data'!$B$6:$B$2225=$A71)*('Multi-start Raw data'!$C$6:$C$2225=R$6)*('Multi-start Raw data'!$J$6:$J$2225="Fully converged"))</f>
        <v>0</v>
      </c>
      <c r="S71">
        <f t="array" ref="S71">SUM('Multi-start Raw data'!$D$6:$D$2225*('Multi-start Raw data'!$B$6:$B$2225=$A71)*('Multi-start Raw data'!$C$6:$C$2225=S$6)*('Multi-start Raw data'!$J$6:$J$2225="Fully converged"))</f>
        <v>2.5070000000000001</v>
      </c>
      <c r="T71">
        <f t="array" ref="T71">SUM('Multi-start Raw data'!$D$6:$D$2225*('Multi-start Raw data'!$B$6:$B$2225=$A71)*('Multi-start Raw data'!$C$6:$C$2225=T$6)*('Multi-start Raw data'!$J$6:$J$2225="Fully converged"))</f>
        <v>2.5110000000000001</v>
      </c>
      <c r="U71">
        <f t="array" ref="U71">SUM('Multi-start Raw data'!$D$6:$D$2225*('Multi-start Raw data'!$B$6:$B$2225=$A71)*('Multi-start Raw data'!$C$6:$C$2225=U$6)*('Multi-start Raw data'!$J$6:$J$2225="Fully converged"))</f>
        <v>2.508</v>
      </c>
      <c r="W71" s="6">
        <f t="shared" si="9"/>
        <v>2.5110000000000001</v>
      </c>
      <c r="X71" s="6">
        <f t="shared" si="10"/>
        <v>2.5110000000000001</v>
      </c>
      <c r="Y71" s="6">
        <f t="shared" si="11"/>
        <v>2.5110000000000001</v>
      </c>
      <c r="Z71" s="6">
        <f t="shared" si="12"/>
        <v>2.5110000000000001</v>
      </c>
      <c r="AA71" s="6">
        <f t="shared" si="13"/>
        <v>2.5110000000000001</v>
      </c>
      <c r="AB71" s="6"/>
      <c r="AC71" s="6">
        <f t="shared" si="14"/>
        <v>0</v>
      </c>
      <c r="AD71" s="6">
        <f t="shared" si="15"/>
        <v>0</v>
      </c>
      <c r="AE71" s="6">
        <f t="shared" si="16"/>
        <v>0</v>
      </c>
      <c r="AF71" s="6">
        <f t="shared" si="17"/>
        <v>0</v>
      </c>
      <c r="AG71" s="6">
        <f t="shared" si="24"/>
        <v>0</v>
      </c>
      <c r="AH71" s="6">
        <f t="shared" si="25"/>
        <v>0</v>
      </c>
      <c r="AI71" s="6">
        <f t="shared" si="26"/>
        <v>0</v>
      </c>
      <c r="AJ71" s="6">
        <f t="shared" si="27"/>
        <v>0</v>
      </c>
      <c r="AK71" s="6">
        <f t="shared" si="28"/>
        <v>0</v>
      </c>
      <c r="AM71" s="16">
        <f t="shared" si="23"/>
        <v>0.1</v>
      </c>
    </row>
    <row r="72" spans="1:39" x14ac:dyDescent="0.3">
      <c r="A72" s="1" t="s">
        <v>1665</v>
      </c>
      <c r="B72">
        <f t="array" ref="B72">SUM('Multi-start Raw data'!$D$6:$D$2225*('Multi-start Raw data'!$B$6:$B$2225=$A72)*('Multi-start Raw data'!$C$6:$C$2225=B$6)*('Multi-start Raw data'!$J$6:$J$2225="Fully converged"))</f>
        <v>2.488</v>
      </c>
      <c r="C72">
        <f t="array" ref="C72">SUM('Multi-start Raw data'!$D$6:$D$2225*('Multi-start Raw data'!$B$6:$B$2225=$A72)*('Multi-start Raw data'!$C$6:$C$2225=C$6)*('Multi-start Raw data'!$J$6:$J$2225="Fully converged"))</f>
        <v>2.4670000000000001</v>
      </c>
      <c r="D72">
        <f t="array" ref="D72">SUM('Multi-start Raw data'!$D$6:$D$2225*('Multi-start Raw data'!$B$6:$B$2225=$A72)*('Multi-start Raw data'!$C$6:$C$2225=D$6)*('Multi-start Raw data'!$J$6:$J$2225="Fully converged"))</f>
        <v>2.4750000000000001</v>
      </c>
      <c r="E72">
        <f t="array" ref="E72">SUM('Multi-start Raw data'!$D$6:$D$2225*('Multi-start Raw data'!$B$6:$B$2225=$A72)*('Multi-start Raw data'!$C$6:$C$2225=E$6)*('Multi-start Raw data'!$J$6:$J$2225="Fully converged"))</f>
        <v>2.4889999999999999</v>
      </c>
      <c r="F72">
        <f t="array" ref="F72">SUM('Multi-start Raw data'!$D$6:$D$2225*('Multi-start Raw data'!$B$6:$B$2225=$A72)*('Multi-start Raw data'!$C$6:$C$2225=F$6)*('Multi-start Raw data'!$J$6:$J$2225="Fully converged"))</f>
        <v>2.4929999999999999</v>
      </c>
      <c r="G72">
        <f t="array" ref="G72">SUM('Multi-start Raw data'!$D$6:$D$2225*('Multi-start Raw data'!$B$6:$B$2225=$A72)*('Multi-start Raw data'!$C$6:$C$2225=G$6)*('Multi-start Raw data'!$J$6:$J$2225="Fully converged"))</f>
        <v>2.4929999999999999</v>
      </c>
      <c r="H72">
        <f t="array" ref="H72">SUM('Multi-start Raw data'!$D$6:$D$2225*('Multi-start Raw data'!$B$6:$B$2225=$A72)*('Multi-start Raw data'!$C$6:$C$2225=H$6)*('Multi-start Raw data'!$J$6:$J$2225="Fully converged"))</f>
        <v>2.4729999999999999</v>
      </c>
      <c r="I72">
        <f t="array" ref="I72">SUM('Multi-start Raw data'!$D$6:$D$2225*('Multi-start Raw data'!$B$6:$B$2225=$A72)*('Multi-start Raw data'!$C$6:$C$2225=I$6)*('Multi-start Raw data'!$J$6:$J$2225="Fully converged"))</f>
        <v>2.4929999999999999</v>
      </c>
      <c r="J72">
        <f t="array" ref="J72">SUM('Multi-start Raw data'!$D$6:$D$2225*('Multi-start Raw data'!$B$6:$B$2225=$A72)*('Multi-start Raw data'!$C$6:$C$2225=J$6)*('Multi-start Raw data'!$J$6:$J$2225="Fully converged"))</f>
        <v>2.4910000000000001</v>
      </c>
      <c r="K72">
        <f t="array" ref="K72">SUM('Multi-start Raw data'!$D$6:$D$2225*('Multi-start Raw data'!$B$6:$B$2225=$A72)*('Multi-start Raw data'!$C$6:$C$2225=K$6)*('Multi-start Raw data'!$J$6:$J$2225="Fully converged"))</f>
        <v>2.4689999999999999</v>
      </c>
      <c r="L72">
        <f t="array" ref="L72">SUM('Multi-start Raw data'!$D$6:$D$2225*('Multi-start Raw data'!$B$6:$B$2225=$A72)*('Multi-start Raw data'!$C$6:$C$2225=L$6)*('Multi-start Raw data'!$J$6:$J$2225="Fully converged"))</f>
        <v>2.4929999999999999</v>
      </c>
      <c r="M72">
        <f t="array" ref="M72">SUM('Multi-start Raw data'!$D$6:$D$2225*('Multi-start Raw data'!$B$6:$B$2225=$A72)*('Multi-start Raw data'!$C$6:$C$2225=M$6)*('Multi-start Raw data'!$J$6:$J$2225="Fully converged"))</f>
        <v>2.4849999999999999</v>
      </c>
      <c r="N72">
        <f t="array" ref="N72">SUM('Multi-start Raw data'!$D$6:$D$2225*('Multi-start Raw data'!$B$6:$B$2225=$A72)*('Multi-start Raw data'!$C$6:$C$2225=N$6)*('Multi-start Raw data'!$J$6:$J$2225="Fully converged"))</f>
        <v>2.4929999999999999</v>
      </c>
      <c r="O72">
        <f t="array" ref="O72">SUM('Multi-start Raw data'!$D$6:$D$2225*('Multi-start Raw data'!$B$6:$B$2225=$A72)*('Multi-start Raw data'!$C$6:$C$2225=O$6)*('Multi-start Raw data'!$J$6:$J$2225="Fully converged"))</f>
        <v>2.4900000000000002</v>
      </c>
      <c r="P72">
        <f t="array" ref="P72">SUM('Multi-start Raw data'!$D$6:$D$2225*('Multi-start Raw data'!$B$6:$B$2225=$A72)*('Multi-start Raw data'!$C$6:$C$2225=P$6)*('Multi-start Raw data'!$J$6:$J$2225="Fully converged"))</f>
        <v>0</v>
      </c>
      <c r="Q72">
        <f t="array" ref="Q72">SUM('Multi-start Raw data'!$D$6:$D$2225*('Multi-start Raw data'!$B$6:$B$2225=$A72)*('Multi-start Raw data'!$C$6:$C$2225=Q$6)*('Multi-start Raw data'!$J$6:$J$2225="Fully converged"))</f>
        <v>2.4750000000000001</v>
      </c>
      <c r="R72">
        <f t="array" ref="R72">SUM('Multi-start Raw data'!$D$6:$D$2225*('Multi-start Raw data'!$B$6:$B$2225=$A72)*('Multi-start Raw data'!$C$6:$C$2225=R$6)*('Multi-start Raw data'!$J$6:$J$2225="Fully converged"))</f>
        <v>0</v>
      </c>
      <c r="S72">
        <f t="array" ref="S72">SUM('Multi-start Raw data'!$D$6:$D$2225*('Multi-start Raw data'!$B$6:$B$2225=$A72)*('Multi-start Raw data'!$C$6:$C$2225=S$6)*('Multi-start Raw data'!$J$6:$J$2225="Fully converged"))</f>
        <v>2.4929999999999999</v>
      </c>
      <c r="T72">
        <f t="array" ref="T72">SUM('Multi-start Raw data'!$D$6:$D$2225*('Multi-start Raw data'!$B$6:$B$2225=$A72)*('Multi-start Raw data'!$C$6:$C$2225=T$6)*('Multi-start Raw data'!$J$6:$J$2225="Fully converged"))</f>
        <v>0</v>
      </c>
      <c r="U72">
        <f t="array" ref="U72">SUM('Multi-start Raw data'!$D$6:$D$2225*('Multi-start Raw data'!$B$6:$B$2225=$A72)*('Multi-start Raw data'!$C$6:$C$2225=U$6)*('Multi-start Raw data'!$J$6:$J$2225="Fully converged"))</f>
        <v>2.4900000000000002</v>
      </c>
      <c r="W72" s="6">
        <f t="shared" ref="W72:W117" si="29">MAX(B72:E72)</f>
        <v>2.4889999999999999</v>
      </c>
      <c r="X72" s="6">
        <f t="shared" ref="X72:X117" si="30">MAX(B72:I72)</f>
        <v>2.4929999999999999</v>
      </c>
      <c r="Y72" s="6">
        <f t="shared" ref="Y72:Y117" si="31">MAX(B72:M72)</f>
        <v>2.4929999999999999</v>
      </c>
      <c r="Z72" s="6">
        <f t="shared" ref="Z72:Z117" si="32">MAX(B72:Q72)</f>
        <v>2.4929999999999999</v>
      </c>
      <c r="AA72" s="6">
        <f t="shared" ref="AA72:AA117" si="33">MAX(B72:U72)</f>
        <v>2.4929999999999999</v>
      </c>
      <c r="AB72" s="6"/>
      <c r="AC72" s="6">
        <f t="shared" ref="AC72:AC117" si="34">+X72-W72</f>
        <v>4.0000000000000036E-3</v>
      </c>
      <c r="AD72" s="6">
        <f t="shared" ref="AD72:AD117" si="35">+Y72-X72</f>
        <v>0</v>
      </c>
      <c r="AE72" s="6">
        <f t="shared" ref="AE72:AE117" si="36">+Z72-Y72</f>
        <v>0</v>
      </c>
      <c r="AF72" s="6">
        <f t="shared" ref="AF72:AF117" si="37">+AA72-Z72</f>
        <v>0</v>
      </c>
      <c r="AG72" s="6">
        <f t="shared" si="24"/>
        <v>0.16044925792218226</v>
      </c>
      <c r="AH72" s="6">
        <f t="shared" si="25"/>
        <v>0</v>
      </c>
      <c r="AI72" s="6">
        <f t="shared" si="26"/>
        <v>0</v>
      </c>
      <c r="AJ72" s="6">
        <f t="shared" si="27"/>
        <v>0</v>
      </c>
      <c r="AK72" s="6">
        <f t="shared" si="28"/>
        <v>0</v>
      </c>
      <c r="AM72" s="16">
        <f t="shared" ref="AM72:AM120" si="38">$AJ$2*100</f>
        <v>0.1</v>
      </c>
    </row>
    <row r="73" spans="1:39" x14ac:dyDescent="0.3">
      <c r="A73" s="1" t="s">
        <v>1684</v>
      </c>
      <c r="B73">
        <f t="array" ref="B73">SUM('Multi-start Raw data'!$D$6:$D$2225*('Multi-start Raw data'!$B$6:$B$2225=$A73)*('Multi-start Raw data'!$C$6:$C$2225=B$6)*('Multi-start Raw data'!$J$6:$J$2225="Fully converged"))</f>
        <v>2.4319999999999999</v>
      </c>
      <c r="C73">
        <f t="array" ref="C73">SUM('Multi-start Raw data'!$D$6:$D$2225*('Multi-start Raw data'!$B$6:$B$2225=$A73)*('Multi-start Raw data'!$C$6:$C$2225=C$6)*('Multi-start Raw data'!$J$6:$J$2225="Fully converged"))</f>
        <v>2.427</v>
      </c>
      <c r="D73">
        <f t="array" ref="D73">SUM('Multi-start Raw data'!$D$6:$D$2225*('Multi-start Raw data'!$B$6:$B$2225=$A73)*('Multi-start Raw data'!$C$6:$C$2225=D$6)*('Multi-start Raw data'!$J$6:$J$2225="Fully converged"))</f>
        <v>2.4430000000000001</v>
      </c>
      <c r="E73">
        <f t="array" ref="E73">SUM('Multi-start Raw data'!$D$6:$D$2225*('Multi-start Raw data'!$B$6:$B$2225=$A73)*('Multi-start Raw data'!$C$6:$C$2225=E$6)*('Multi-start Raw data'!$J$6:$J$2225="Fully converged"))</f>
        <v>2.4279999999999999</v>
      </c>
      <c r="F73">
        <f t="array" ref="F73">SUM('Multi-start Raw data'!$D$6:$D$2225*('Multi-start Raw data'!$B$6:$B$2225=$A73)*('Multi-start Raw data'!$C$6:$C$2225=F$6)*('Multi-start Raw data'!$J$6:$J$2225="Fully converged"))</f>
        <v>2.4430000000000001</v>
      </c>
      <c r="G73">
        <f t="array" ref="G73">SUM('Multi-start Raw data'!$D$6:$D$2225*('Multi-start Raw data'!$B$6:$B$2225=$A73)*('Multi-start Raw data'!$C$6:$C$2225=G$6)*('Multi-start Raw data'!$J$6:$J$2225="Fully converged"))</f>
        <v>2.4289999999999998</v>
      </c>
      <c r="H73">
        <f t="array" ref="H73">SUM('Multi-start Raw data'!$D$6:$D$2225*('Multi-start Raw data'!$B$6:$B$2225=$A73)*('Multi-start Raw data'!$C$6:$C$2225=H$6)*('Multi-start Raw data'!$J$6:$J$2225="Fully converged"))</f>
        <v>2.4430000000000001</v>
      </c>
      <c r="I73">
        <f t="array" ref="I73">SUM('Multi-start Raw data'!$D$6:$D$2225*('Multi-start Raw data'!$B$6:$B$2225=$A73)*('Multi-start Raw data'!$C$6:$C$2225=I$6)*('Multi-start Raw data'!$J$6:$J$2225="Fully converged"))</f>
        <v>2.4350000000000001</v>
      </c>
      <c r="J73">
        <f t="array" ref="J73">SUM('Multi-start Raw data'!$D$6:$D$2225*('Multi-start Raw data'!$B$6:$B$2225=$A73)*('Multi-start Raw data'!$C$6:$C$2225=J$6)*('Multi-start Raw data'!$J$6:$J$2225="Fully converged"))</f>
        <v>2.4279999999999999</v>
      </c>
      <c r="K73">
        <f t="array" ref="K73">SUM('Multi-start Raw data'!$D$6:$D$2225*('Multi-start Raw data'!$B$6:$B$2225=$A73)*('Multi-start Raw data'!$C$6:$C$2225=K$6)*('Multi-start Raw data'!$J$6:$J$2225="Fully converged"))</f>
        <v>2.4279999999999999</v>
      </c>
      <c r="L73">
        <f t="array" ref="L73">SUM('Multi-start Raw data'!$D$6:$D$2225*('Multi-start Raw data'!$B$6:$B$2225=$A73)*('Multi-start Raw data'!$C$6:$C$2225=L$6)*('Multi-start Raw data'!$J$6:$J$2225="Fully converged"))</f>
        <v>2.4300000000000002</v>
      </c>
      <c r="M73">
        <f t="array" ref="M73">SUM('Multi-start Raw data'!$D$6:$D$2225*('Multi-start Raw data'!$B$6:$B$2225=$A73)*('Multi-start Raw data'!$C$6:$C$2225=M$6)*('Multi-start Raw data'!$J$6:$J$2225="Fully converged"))</f>
        <v>2.4140000000000001</v>
      </c>
      <c r="N73">
        <f t="array" ref="N73">SUM('Multi-start Raw data'!$D$6:$D$2225*('Multi-start Raw data'!$B$6:$B$2225=$A73)*('Multi-start Raw data'!$C$6:$C$2225=N$6)*('Multi-start Raw data'!$J$6:$J$2225="Fully converged"))</f>
        <v>2.4319999999999999</v>
      </c>
      <c r="O73">
        <f t="array" ref="O73">SUM('Multi-start Raw data'!$D$6:$D$2225*('Multi-start Raw data'!$B$6:$B$2225=$A73)*('Multi-start Raw data'!$C$6:$C$2225=O$6)*('Multi-start Raw data'!$J$6:$J$2225="Fully converged"))</f>
        <v>2.4289999999999998</v>
      </c>
      <c r="P73">
        <f t="array" ref="P73">SUM('Multi-start Raw data'!$D$6:$D$2225*('Multi-start Raw data'!$B$6:$B$2225=$A73)*('Multi-start Raw data'!$C$6:$C$2225=P$6)*('Multi-start Raw data'!$J$6:$J$2225="Fully converged"))</f>
        <v>0</v>
      </c>
      <c r="Q73">
        <f t="array" ref="Q73">SUM('Multi-start Raw data'!$D$6:$D$2225*('Multi-start Raw data'!$B$6:$B$2225=$A73)*('Multi-start Raw data'!$C$6:$C$2225=Q$6)*('Multi-start Raw data'!$J$6:$J$2225="Fully converged"))</f>
        <v>2.4409999999999998</v>
      </c>
      <c r="R73">
        <f t="array" ref="R73">SUM('Multi-start Raw data'!$D$6:$D$2225*('Multi-start Raw data'!$B$6:$B$2225=$A73)*('Multi-start Raw data'!$C$6:$C$2225=R$6)*('Multi-start Raw data'!$J$6:$J$2225="Fully converged"))</f>
        <v>2.4289999999999998</v>
      </c>
      <c r="S73">
        <f t="array" ref="S73">SUM('Multi-start Raw data'!$D$6:$D$2225*('Multi-start Raw data'!$B$6:$B$2225=$A73)*('Multi-start Raw data'!$C$6:$C$2225=S$6)*('Multi-start Raw data'!$J$6:$J$2225="Fully converged"))</f>
        <v>2.4430000000000001</v>
      </c>
      <c r="T73">
        <f t="array" ref="T73">SUM('Multi-start Raw data'!$D$6:$D$2225*('Multi-start Raw data'!$B$6:$B$2225=$A73)*('Multi-start Raw data'!$C$6:$C$2225=T$6)*('Multi-start Raw data'!$J$6:$J$2225="Fully converged"))</f>
        <v>2.4430000000000001</v>
      </c>
      <c r="U73">
        <f t="array" ref="U73">SUM('Multi-start Raw data'!$D$6:$D$2225*('Multi-start Raw data'!$B$6:$B$2225=$A73)*('Multi-start Raw data'!$C$6:$C$2225=U$6)*('Multi-start Raw data'!$J$6:$J$2225="Fully converged"))</f>
        <v>2.4319999999999999</v>
      </c>
      <c r="W73" s="6">
        <f t="shared" si="29"/>
        <v>2.4430000000000001</v>
      </c>
      <c r="X73" s="6">
        <f t="shared" si="30"/>
        <v>2.4430000000000001</v>
      </c>
      <c r="Y73" s="6">
        <f t="shared" si="31"/>
        <v>2.4430000000000001</v>
      </c>
      <c r="Z73" s="6">
        <f t="shared" si="32"/>
        <v>2.4430000000000001</v>
      </c>
      <c r="AA73" s="6">
        <f t="shared" si="33"/>
        <v>2.4430000000000001</v>
      </c>
      <c r="AB73" s="6"/>
      <c r="AC73" s="6">
        <f t="shared" si="34"/>
        <v>0</v>
      </c>
      <c r="AD73" s="6">
        <f t="shared" si="35"/>
        <v>0</v>
      </c>
      <c r="AE73" s="6">
        <f t="shared" si="36"/>
        <v>0</v>
      </c>
      <c r="AF73" s="6">
        <f t="shared" si="37"/>
        <v>0</v>
      </c>
      <c r="AG73" s="6">
        <f t="shared" si="24"/>
        <v>0</v>
      </c>
      <c r="AH73" s="6">
        <f t="shared" si="25"/>
        <v>0</v>
      </c>
      <c r="AI73" s="6">
        <f t="shared" si="26"/>
        <v>0</v>
      </c>
      <c r="AJ73" s="6">
        <f t="shared" si="27"/>
        <v>0</v>
      </c>
      <c r="AK73" s="6">
        <f t="shared" si="28"/>
        <v>0</v>
      </c>
      <c r="AM73" s="16">
        <f t="shared" si="38"/>
        <v>0.1</v>
      </c>
    </row>
    <row r="74" spans="1:39" x14ac:dyDescent="0.3">
      <c r="A74" s="1" t="s">
        <v>1705</v>
      </c>
      <c r="B74">
        <f t="array" ref="B74">SUM('Multi-start Raw data'!$D$6:$D$2225*('Multi-start Raw data'!$B$6:$B$2225=$A74)*('Multi-start Raw data'!$C$6:$C$2225=B$6)*('Multi-start Raw data'!$J$6:$J$2225="Fully converged"))</f>
        <v>2.4860000000000002</v>
      </c>
      <c r="C74">
        <f t="array" ref="C74">SUM('Multi-start Raw data'!$D$6:$D$2225*('Multi-start Raw data'!$B$6:$B$2225=$A74)*('Multi-start Raw data'!$C$6:$C$2225=C$6)*('Multi-start Raw data'!$J$6:$J$2225="Fully converged"))</f>
        <v>2.5059999999999998</v>
      </c>
      <c r="D74">
        <f t="array" ref="D74">SUM('Multi-start Raw data'!$D$6:$D$2225*('Multi-start Raw data'!$B$6:$B$2225=$A74)*('Multi-start Raw data'!$C$6:$C$2225=D$6)*('Multi-start Raw data'!$J$6:$J$2225="Fully converged"))</f>
        <v>2.5099999999999998</v>
      </c>
      <c r="E74">
        <f t="array" ref="E74">SUM('Multi-start Raw data'!$D$6:$D$2225*('Multi-start Raw data'!$B$6:$B$2225=$A74)*('Multi-start Raw data'!$C$6:$C$2225=E$6)*('Multi-start Raw data'!$J$6:$J$2225="Fully converged"))</f>
        <v>2.5099999999999998</v>
      </c>
      <c r="F74">
        <f t="array" ref="F74">SUM('Multi-start Raw data'!$D$6:$D$2225*('Multi-start Raw data'!$B$6:$B$2225=$A74)*('Multi-start Raw data'!$C$6:$C$2225=F$6)*('Multi-start Raw data'!$J$6:$J$2225="Fully converged"))</f>
        <v>2.5070000000000001</v>
      </c>
      <c r="G74">
        <f t="array" ref="G74">SUM('Multi-start Raw data'!$D$6:$D$2225*('Multi-start Raw data'!$B$6:$B$2225=$A74)*('Multi-start Raw data'!$C$6:$C$2225=G$6)*('Multi-start Raw data'!$J$6:$J$2225="Fully converged"))</f>
        <v>0</v>
      </c>
      <c r="H74">
        <f t="array" ref="H74">SUM('Multi-start Raw data'!$D$6:$D$2225*('Multi-start Raw data'!$B$6:$B$2225=$A74)*('Multi-start Raw data'!$C$6:$C$2225=H$6)*('Multi-start Raw data'!$J$6:$J$2225="Fully converged"))</f>
        <v>2.4910000000000001</v>
      </c>
      <c r="I74">
        <f t="array" ref="I74">SUM('Multi-start Raw data'!$D$6:$D$2225*('Multi-start Raw data'!$B$6:$B$2225=$A74)*('Multi-start Raw data'!$C$6:$C$2225=I$6)*('Multi-start Raw data'!$J$6:$J$2225="Fully converged"))</f>
        <v>2.5030000000000001</v>
      </c>
      <c r="J74">
        <f t="array" ref="J74">SUM('Multi-start Raw data'!$D$6:$D$2225*('Multi-start Raw data'!$B$6:$B$2225=$A74)*('Multi-start Raw data'!$C$6:$C$2225=J$6)*('Multi-start Raw data'!$J$6:$J$2225="Fully converged"))</f>
        <v>2.4889999999999999</v>
      </c>
      <c r="K74">
        <f t="array" ref="K74">SUM('Multi-start Raw data'!$D$6:$D$2225*('Multi-start Raw data'!$B$6:$B$2225=$A74)*('Multi-start Raw data'!$C$6:$C$2225=K$6)*('Multi-start Raw data'!$J$6:$J$2225="Fully converged"))</f>
        <v>2.5070000000000001</v>
      </c>
      <c r="L74">
        <f t="array" ref="L74">SUM('Multi-start Raw data'!$D$6:$D$2225*('Multi-start Raw data'!$B$6:$B$2225=$A74)*('Multi-start Raw data'!$C$6:$C$2225=L$6)*('Multi-start Raw data'!$J$6:$J$2225="Fully converged"))</f>
        <v>2.5099999999999998</v>
      </c>
      <c r="M74">
        <f t="array" ref="M74">SUM('Multi-start Raw data'!$D$6:$D$2225*('Multi-start Raw data'!$B$6:$B$2225=$A74)*('Multi-start Raw data'!$C$6:$C$2225=M$6)*('Multi-start Raw data'!$J$6:$J$2225="Fully converged"))</f>
        <v>2.488</v>
      </c>
      <c r="N74">
        <f t="array" ref="N74">SUM('Multi-start Raw data'!$D$6:$D$2225*('Multi-start Raw data'!$B$6:$B$2225=$A74)*('Multi-start Raw data'!$C$6:$C$2225=N$6)*('Multi-start Raw data'!$J$6:$J$2225="Fully converged"))</f>
        <v>2.4900000000000002</v>
      </c>
      <c r="O74">
        <f t="array" ref="O74">SUM('Multi-start Raw data'!$D$6:$D$2225*('Multi-start Raw data'!$B$6:$B$2225=$A74)*('Multi-start Raw data'!$C$6:$C$2225=O$6)*('Multi-start Raw data'!$J$6:$J$2225="Fully converged"))</f>
        <v>0</v>
      </c>
      <c r="P74">
        <f t="array" ref="P74">SUM('Multi-start Raw data'!$D$6:$D$2225*('Multi-start Raw data'!$B$6:$B$2225=$A74)*('Multi-start Raw data'!$C$6:$C$2225=P$6)*('Multi-start Raw data'!$J$6:$J$2225="Fully converged"))</f>
        <v>2.5070000000000001</v>
      </c>
      <c r="Q74">
        <f t="array" ref="Q74">SUM('Multi-start Raw data'!$D$6:$D$2225*('Multi-start Raw data'!$B$6:$B$2225=$A74)*('Multi-start Raw data'!$C$6:$C$2225=Q$6)*('Multi-start Raw data'!$J$6:$J$2225="Fully converged"))</f>
        <v>2.4889999999999999</v>
      </c>
      <c r="R74">
        <f t="array" ref="R74">SUM('Multi-start Raw data'!$D$6:$D$2225*('Multi-start Raw data'!$B$6:$B$2225=$A74)*('Multi-start Raw data'!$C$6:$C$2225=R$6)*('Multi-start Raw data'!$J$6:$J$2225="Fully converged"))</f>
        <v>2.5070000000000001</v>
      </c>
      <c r="S74">
        <f t="array" ref="S74">SUM('Multi-start Raw data'!$D$6:$D$2225*('Multi-start Raw data'!$B$6:$B$2225=$A74)*('Multi-start Raw data'!$C$6:$C$2225=S$6)*('Multi-start Raw data'!$J$6:$J$2225="Fully converged"))</f>
        <v>2.4929999999999999</v>
      </c>
      <c r="T74">
        <f t="array" ref="T74">SUM('Multi-start Raw data'!$D$6:$D$2225*('Multi-start Raw data'!$B$6:$B$2225=$A74)*('Multi-start Raw data'!$C$6:$C$2225=T$6)*('Multi-start Raw data'!$J$6:$J$2225="Fully converged"))</f>
        <v>2.5070000000000001</v>
      </c>
      <c r="U74">
        <f t="array" ref="U74">SUM('Multi-start Raw data'!$D$6:$D$2225*('Multi-start Raw data'!$B$6:$B$2225=$A74)*('Multi-start Raw data'!$C$6:$C$2225=U$6)*('Multi-start Raw data'!$J$6:$J$2225="Fully converged"))</f>
        <v>2.5049999999999999</v>
      </c>
      <c r="W74" s="6">
        <f t="shared" si="29"/>
        <v>2.5099999999999998</v>
      </c>
      <c r="X74" s="6">
        <f t="shared" si="30"/>
        <v>2.5099999999999998</v>
      </c>
      <c r="Y74" s="6">
        <f t="shared" si="31"/>
        <v>2.5099999999999998</v>
      </c>
      <c r="Z74" s="6">
        <f t="shared" si="32"/>
        <v>2.5099999999999998</v>
      </c>
      <c r="AA74" s="6">
        <f t="shared" si="33"/>
        <v>2.5099999999999998</v>
      </c>
      <c r="AB74" s="6"/>
      <c r="AC74" s="6">
        <f t="shared" si="34"/>
        <v>0</v>
      </c>
      <c r="AD74" s="6">
        <f t="shared" si="35"/>
        <v>0</v>
      </c>
      <c r="AE74" s="6">
        <f t="shared" si="36"/>
        <v>0</v>
      </c>
      <c r="AF74" s="6">
        <f t="shared" si="37"/>
        <v>0</v>
      </c>
      <c r="AG74" s="6">
        <f t="shared" si="24"/>
        <v>0</v>
      </c>
      <c r="AH74" s="6">
        <f t="shared" si="25"/>
        <v>0</v>
      </c>
      <c r="AI74" s="6">
        <f t="shared" si="26"/>
        <v>0</v>
      </c>
      <c r="AJ74" s="6">
        <f t="shared" si="27"/>
        <v>0</v>
      </c>
      <c r="AK74" s="6">
        <f t="shared" si="28"/>
        <v>0</v>
      </c>
      <c r="AM74" s="16">
        <f t="shared" si="38"/>
        <v>0.1</v>
      </c>
    </row>
    <row r="75" spans="1:39" x14ac:dyDescent="0.3">
      <c r="A75" s="1" t="s">
        <v>1723</v>
      </c>
      <c r="B75">
        <f t="array" ref="B75">SUM('Multi-start Raw data'!$D$6:$D$2225*('Multi-start Raw data'!$B$6:$B$2225=$A75)*('Multi-start Raw data'!$C$6:$C$2225=B$6)*('Multi-start Raw data'!$J$6:$J$2225="Fully converged"))</f>
        <v>2.4830000000000001</v>
      </c>
      <c r="C75">
        <f t="array" ref="C75">SUM('Multi-start Raw data'!$D$6:$D$2225*('Multi-start Raw data'!$B$6:$B$2225=$A75)*('Multi-start Raw data'!$C$6:$C$2225=C$6)*('Multi-start Raw data'!$J$6:$J$2225="Fully converged"))</f>
        <v>2.4790000000000001</v>
      </c>
      <c r="D75">
        <f t="array" ref="D75">SUM('Multi-start Raw data'!$D$6:$D$2225*('Multi-start Raw data'!$B$6:$B$2225=$A75)*('Multi-start Raw data'!$C$6:$C$2225=D$6)*('Multi-start Raw data'!$J$6:$J$2225="Fully converged"))</f>
        <v>2.4860000000000002</v>
      </c>
      <c r="E75">
        <f t="array" ref="E75">SUM('Multi-start Raw data'!$D$6:$D$2225*('Multi-start Raw data'!$B$6:$B$2225=$A75)*('Multi-start Raw data'!$C$6:$C$2225=E$6)*('Multi-start Raw data'!$J$6:$J$2225="Fully converged"))</f>
        <v>2.4830000000000001</v>
      </c>
      <c r="F75">
        <f t="array" ref="F75">SUM('Multi-start Raw data'!$D$6:$D$2225*('Multi-start Raw data'!$B$6:$B$2225=$A75)*('Multi-start Raw data'!$C$6:$C$2225=F$6)*('Multi-start Raw data'!$J$6:$J$2225="Fully converged"))</f>
        <v>2.4660000000000002</v>
      </c>
      <c r="G75">
        <f t="array" ref="G75">SUM('Multi-start Raw data'!$D$6:$D$2225*('Multi-start Raw data'!$B$6:$B$2225=$A75)*('Multi-start Raw data'!$C$6:$C$2225=G$6)*('Multi-start Raw data'!$J$6:$J$2225="Fully converged"))</f>
        <v>2.4820000000000002</v>
      </c>
      <c r="H75">
        <f t="array" ref="H75">SUM('Multi-start Raw data'!$D$6:$D$2225*('Multi-start Raw data'!$B$6:$B$2225=$A75)*('Multi-start Raw data'!$C$6:$C$2225=H$6)*('Multi-start Raw data'!$J$6:$J$2225="Fully converged"))</f>
        <v>2.468</v>
      </c>
      <c r="I75">
        <f t="array" ref="I75">SUM('Multi-start Raw data'!$D$6:$D$2225*('Multi-start Raw data'!$B$6:$B$2225=$A75)*('Multi-start Raw data'!$C$6:$C$2225=I$6)*('Multi-start Raw data'!$J$6:$J$2225="Fully converged"))</f>
        <v>2.4860000000000002</v>
      </c>
      <c r="J75">
        <f t="array" ref="J75">SUM('Multi-start Raw data'!$D$6:$D$2225*('Multi-start Raw data'!$B$6:$B$2225=$A75)*('Multi-start Raw data'!$C$6:$C$2225=J$6)*('Multi-start Raw data'!$J$6:$J$2225="Fully converged"))</f>
        <v>2.4820000000000002</v>
      </c>
      <c r="K75">
        <f t="array" ref="K75">SUM('Multi-start Raw data'!$D$6:$D$2225*('Multi-start Raw data'!$B$6:$B$2225=$A75)*('Multi-start Raw data'!$C$6:$C$2225=K$6)*('Multi-start Raw data'!$J$6:$J$2225="Fully converged"))</f>
        <v>2.4609999999999999</v>
      </c>
      <c r="L75">
        <f t="array" ref="L75">SUM('Multi-start Raw data'!$D$6:$D$2225*('Multi-start Raw data'!$B$6:$B$2225=$A75)*('Multi-start Raw data'!$C$6:$C$2225=L$6)*('Multi-start Raw data'!$J$6:$J$2225="Fully converged"))</f>
        <v>2.4860000000000002</v>
      </c>
      <c r="M75">
        <f t="array" ref="M75">SUM('Multi-start Raw data'!$D$6:$D$2225*('Multi-start Raw data'!$B$6:$B$2225=$A75)*('Multi-start Raw data'!$C$6:$C$2225=M$6)*('Multi-start Raw data'!$J$6:$J$2225="Fully converged"))</f>
        <v>2.4689999999999999</v>
      </c>
      <c r="N75">
        <f t="array" ref="N75">SUM('Multi-start Raw data'!$D$6:$D$2225*('Multi-start Raw data'!$B$6:$B$2225=$A75)*('Multi-start Raw data'!$C$6:$C$2225=N$6)*('Multi-start Raw data'!$J$6:$J$2225="Fully converged"))</f>
        <v>2.4660000000000002</v>
      </c>
      <c r="O75">
        <f t="array" ref="O75">SUM('Multi-start Raw data'!$D$6:$D$2225*('Multi-start Raw data'!$B$6:$B$2225=$A75)*('Multi-start Raw data'!$C$6:$C$2225=O$6)*('Multi-start Raw data'!$J$6:$J$2225="Fully converged"))</f>
        <v>2.4830000000000001</v>
      </c>
      <c r="P75">
        <f t="array" ref="P75">SUM('Multi-start Raw data'!$D$6:$D$2225*('Multi-start Raw data'!$B$6:$B$2225=$A75)*('Multi-start Raw data'!$C$6:$C$2225=P$6)*('Multi-start Raw data'!$J$6:$J$2225="Fully converged"))</f>
        <v>2.4689999999999999</v>
      </c>
      <c r="Q75">
        <f t="array" ref="Q75">SUM('Multi-start Raw data'!$D$6:$D$2225*('Multi-start Raw data'!$B$6:$B$2225=$A75)*('Multi-start Raw data'!$C$6:$C$2225=Q$6)*('Multi-start Raw data'!$J$6:$J$2225="Fully converged"))</f>
        <v>2.4830000000000001</v>
      </c>
      <c r="R75">
        <f t="array" ref="R75">SUM('Multi-start Raw data'!$D$6:$D$2225*('Multi-start Raw data'!$B$6:$B$2225=$A75)*('Multi-start Raw data'!$C$6:$C$2225=R$6)*('Multi-start Raw data'!$J$6:$J$2225="Fully converged"))</f>
        <v>2.4790000000000001</v>
      </c>
      <c r="S75">
        <f t="array" ref="S75">SUM('Multi-start Raw data'!$D$6:$D$2225*('Multi-start Raw data'!$B$6:$B$2225=$A75)*('Multi-start Raw data'!$C$6:$C$2225=S$6)*('Multi-start Raw data'!$J$6:$J$2225="Fully converged"))</f>
        <v>2.484</v>
      </c>
      <c r="T75">
        <f t="array" ref="T75">SUM('Multi-start Raw data'!$D$6:$D$2225*('Multi-start Raw data'!$B$6:$B$2225=$A75)*('Multi-start Raw data'!$C$6:$C$2225=T$6)*('Multi-start Raw data'!$J$6:$J$2225="Fully converged"))</f>
        <v>2.4830000000000001</v>
      </c>
      <c r="U75">
        <f t="array" ref="U75">SUM('Multi-start Raw data'!$D$6:$D$2225*('Multi-start Raw data'!$B$6:$B$2225=$A75)*('Multi-start Raw data'!$C$6:$C$2225=U$6)*('Multi-start Raw data'!$J$6:$J$2225="Fully converged"))</f>
        <v>2.4820000000000002</v>
      </c>
      <c r="W75" s="6">
        <f t="shared" si="29"/>
        <v>2.4860000000000002</v>
      </c>
      <c r="X75" s="6">
        <f t="shared" si="30"/>
        <v>2.4860000000000002</v>
      </c>
      <c r="Y75" s="6">
        <f t="shared" si="31"/>
        <v>2.4860000000000002</v>
      </c>
      <c r="Z75" s="6">
        <f t="shared" si="32"/>
        <v>2.4860000000000002</v>
      </c>
      <c r="AA75" s="6">
        <f t="shared" si="33"/>
        <v>2.4860000000000002</v>
      </c>
      <c r="AB75" s="6"/>
      <c r="AC75" s="6">
        <f t="shared" si="34"/>
        <v>0</v>
      </c>
      <c r="AD75" s="6">
        <f t="shared" si="35"/>
        <v>0</v>
      </c>
      <c r="AE75" s="6">
        <f t="shared" si="36"/>
        <v>0</v>
      </c>
      <c r="AF75" s="6">
        <f t="shared" si="37"/>
        <v>0</v>
      </c>
      <c r="AG75" s="6">
        <f t="shared" si="24"/>
        <v>0</v>
      </c>
      <c r="AH75" s="6">
        <f t="shared" si="25"/>
        <v>0</v>
      </c>
      <c r="AI75" s="6">
        <f t="shared" si="26"/>
        <v>0</v>
      </c>
      <c r="AJ75" s="6">
        <f t="shared" si="27"/>
        <v>0</v>
      </c>
      <c r="AK75" s="6">
        <f t="shared" si="28"/>
        <v>0</v>
      </c>
      <c r="AM75" s="16">
        <f t="shared" si="38"/>
        <v>0.1</v>
      </c>
    </row>
    <row r="76" spans="1:39" x14ac:dyDescent="0.3">
      <c r="A76" s="1" t="s">
        <v>1743</v>
      </c>
      <c r="B76">
        <f t="array" ref="B76">SUM('Multi-start Raw data'!$D$6:$D$2225*('Multi-start Raw data'!$B$6:$B$2225=$A76)*('Multi-start Raw data'!$C$6:$C$2225=B$6)*('Multi-start Raw data'!$J$6:$J$2225="Fully converged"))</f>
        <v>2.5059999999999998</v>
      </c>
      <c r="C76">
        <f t="array" ref="C76">SUM('Multi-start Raw data'!$D$6:$D$2225*('Multi-start Raw data'!$B$6:$B$2225=$A76)*('Multi-start Raw data'!$C$6:$C$2225=C$6)*('Multi-start Raw data'!$J$6:$J$2225="Fully converged"))</f>
        <v>2.4889999999999999</v>
      </c>
      <c r="D76">
        <f t="array" ref="D76">SUM('Multi-start Raw data'!$D$6:$D$2225*('Multi-start Raw data'!$B$6:$B$2225=$A76)*('Multi-start Raw data'!$C$6:$C$2225=D$6)*('Multi-start Raw data'!$J$6:$J$2225="Fully converged"))</f>
        <v>2.5099999999999998</v>
      </c>
      <c r="E76">
        <f t="array" ref="E76">SUM('Multi-start Raw data'!$D$6:$D$2225*('Multi-start Raw data'!$B$6:$B$2225=$A76)*('Multi-start Raw data'!$C$6:$C$2225=E$6)*('Multi-start Raw data'!$J$6:$J$2225="Fully converged"))</f>
        <v>2.492</v>
      </c>
      <c r="F76">
        <f t="array" ref="F76">SUM('Multi-start Raw data'!$D$6:$D$2225*('Multi-start Raw data'!$B$6:$B$2225=$A76)*('Multi-start Raw data'!$C$6:$C$2225=F$6)*('Multi-start Raw data'!$J$6:$J$2225="Fully converged"))</f>
        <v>2.5049999999999999</v>
      </c>
      <c r="G76">
        <f t="array" ref="G76">SUM('Multi-start Raw data'!$D$6:$D$2225*('Multi-start Raw data'!$B$6:$B$2225=$A76)*('Multi-start Raw data'!$C$6:$C$2225=G$6)*('Multi-start Raw data'!$J$6:$J$2225="Fully converged"))</f>
        <v>2.4889999999999999</v>
      </c>
      <c r="H76">
        <f t="array" ref="H76">SUM('Multi-start Raw data'!$D$6:$D$2225*('Multi-start Raw data'!$B$6:$B$2225=$A76)*('Multi-start Raw data'!$C$6:$C$2225=H$6)*('Multi-start Raw data'!$J$6:$J$2225="Fully converged"))</f>
        <v>2.492</v>
      </c>
      <c r="I76">
        <f t="array" ref="I76">SUM('Multi-start Raw data'!$D$6:$D$2225*('Multi-start Raw data'!$B$6:$B$2225=$A76)*('Multi-start Raw data'!$C$6:$C$2225=I$6)*('Multi-start Raw data'!$J$6:$J$2225="Fully converged"))</f>
        <v>2.5</v>
      </c>
      <c r="J76">
        <f t="array" ref="J76">SUM('Multi-start Raw data'!$D$6:$D$2225*('Multi-start Raw data'!$B$6:$B$2225=$A76)*('Multi-start Raw data'!$C$6:$C$2225=J$6)*('Multi-start Raw data'!$J$6:$J$2225="Fully converged"))</f>
        <v>2.5049999999999999</v>
      </c>
      <c r="K76">
        <f t="array" ref="K76">SUM('Multi-start Raw data'!$D$6:$D$2225*('Multi-start Raw data'!$B$6:$B$2225=$A76)*('Multi-start Raw data'!$C$6:$C$2225=K$6)*('Multi-start Raw data'!$J$6:$J$2225="Fully converged"))</f>
        <v>2.4889999999999999</v>
      </c>
      <c r="L76">
        <f t="array" ref="L76">SUM('Multi-start Raw data'!$D$6:$D$2225*('Multi-start Raw data'!$B$6:$B$2225=$A76)*('Multi-start Raw data'!$C$6:$C$2225=L$6)*('Multi-start Raw data'!$J$6:$J$2225="Fully converged"))</f>
        <v>2.5099999999999998</v>
      </c>
      <c r="M76">
        <f t="array" ref="M76">SUM('Multi-start Raw data'!$D$6:$D$2225*('Multi-start Raw data'!$B$6:$B$2225=$A76)*('Multi-start Raw data'!$C$6:$C$2225=M$6)*('Multi-start Raw data'!$J$6:$J$2225="Fully converged"))</f>
        <v>2.5099999999999998</v>
      </c>
      <c r="N76">
        <f t="array" ref="N76">SUM('Multi-start Raw data'!$D$6:$D$2225*('Multi-start Raw data'!$B$6:$B$2225=$A76)*('Multi-start Raw data'!$C$6:$C$2225=N$6)*('Multi-start Raw data'!$J$6:$J$2225="Fully converged"))</f>
        <v>2.492</v>
      </c>
      <c r="O76">
        <f t="array" ref="O76">SUM('Multi-start Raw data'!$D$6:$D$2225*('Multi-start Raw data'!$B$6:$B$2225=$A76)*('Multi-start Raw data'!$C$6:$C$2225=O$6)*('Multi-start Raw data'!$J$6:$J$2225="Fully converged"))</f>
        <v>2.4889999999999999</v>
      </c>
      <c r="P76">
        <f t="array" ref="P76">SUM('Multi-start Raw data'!$D$6:$D$2225*('Multi-start Raw data'!$B$6:$B$2225=$A76)*('Multi-start Raw data'!$C$6:$C$2225=P$6)*('Multi-start Raw data'!$J$6:$J$2225="Fully converged"))</f>
        <v>2.4950000000000001</v>
      </c>
      <c r="Q76">
        <f t="array" ref="Q76">SUM('Multi-start Raw data'!$D$6:$D$2225*('Multi-start Raw data'!$B$6:$B$2225=$A76)*('Multi-start Raw data'!$C$6:$C$2225=Q$6)*('Multi-start Raw data'!$J$6:$J$2225="Fully converged"))</f>
        <v>2.4649999999999999</v>
      </c>
      <c r="R76">
        <f t="array" ref="R76">SUM('Multi-start Raw data'!$D$6:$D$2225*('Multi-start Raw data'!$B$6:$B$2225=$A76)*('Multi-start Raw data'!$C$6:$C$2225=R$6)*('Multi-start Raw data'!$J$6:$J$2225="Fully converged"))</f>
        <v>2.5059999999999998</v>
      </c>
      <c r="S76">
        <f t="array" ref="S76">SUM('Multi-start Raw data'!$D$6:$D$2225*('Multi-start Raw data'!$B$6:$B$2225=$A76)*('Multi-start Raw data'!$C$6:$C$2225=S$6)*('Multi-start Raw data'!$J$6:$J$2225="Fully converged"))</f>
        <v>2.4609999999999999</v>
      </c>
      <c r="T76">
        <f t="array" ref="T76">SUM('Multi-start Raw data'!$D$6:$D$2225*('Multi-start Raw data'!$B$6:$B$2225=$A76)*('Multi-start Raw data'!$C$6:$C$2225=T$6)*('Multi-start Raw data'!$J$6:$J$2225="Fully converged"))</f>
        <v>2.5049999999999999</v>
      </c>
      <c r="U76">
        <f t="array" ref="U76">SUM('Multi-start Raw data'!$D$6:$D$2225*('Multi-start Raw data'!$B$6:$B$2225=$A76)*('Multi-start Raw data'!$C$6:$C$2225=U$6)*('Multi-start Raw data'!$J$6:$J$2225="Fully converged"))</f>
        <v>2.5059999999999998</v>
      </c>
      <c r="W76" s="6">
        <f t="shared" si="29"/>
        <v>2.5099999999999998</v>
      </c>
      <c r="X76" s="6">
        <f t="shared" si="30"/>
        <v>2.5099999999999998</v>
      </c>
      <c r="Y76" s="6">
        <f t="shared" si="31"/>
        <v>2.5099999999999998</v>
      </c>
      <c r="Z76" s="6">
        <f t="shared" si="32"/>
        <v>2.5099999999999998</v>
      </c>
      <c r="AA76" s="6">
        <f t="shared" si="33"/>
        <v>2.5099999999999998</v>
      </c>
      <c r="AB76" s="6"/>
      <c r="AC76" s="6">
        <f t="shared" si="34"/>
        <v>0</v>
      </c>
      <c r="AD76" s="6">
        <f t="shared" si="35"/>
        <v>0</v>
      </c>
      <c r="AE76" s="6">
        <f t="shared" si="36"/>
        <v>0</v>
      </c>
      <c r="AF76" s="6">
        <f t="shared" si="37"/>
        <v>0</v>
      </c>
      <c r="AG76" s="6">
        <f t="shared" si="24"/>
        <v>0</v>
      </c>
      <c r="AH76" s="6">
        <f t="shared" si="25"/>
        <v>0</v>
      </c>
      <c r="AI76" s="6">
        <f t="shared" si="26"/>
        <v>0</v>
      </c>
      <c r="AJ76" s="6">
        <f t="shared" si="27"/>
        <v>0</v>
      </c>
      <c r="AK76" s="6">
        <f t="shared" si="28"/>
        <v>0</v>
      </c>
      <c r="AM76" s="16">
        <f t="shared" si="38"/>
        <v>0.1</v>
      </c>
    </row>
    <row r="77" spans="1:39" x14ac:dyDescent="0.3">
      <c r="A77" s="1" t="s">
        <v>1761</v>
      </c>
      <c r="B77">
        <f t="array" ref="B77">SUM('Multi-start Raw data'!$D$6:$D$2225*('Multi-start Raw data'!$B$6:$B$2225=$A77)*('Multi-start Raw data'!$C$6:$C$2225=B$6)*('Multi-start Raw data'!$J$6:$J$2225="Fully converged"))</f>
        <v>2.5449999999999999</v>
      </c>
      <c r="C77">
        <f t="array" ref="C77">SUM('Multi-start Raw data'!$D$6:$D$2225*('Multi-start Raw data'!$B$6:$B$2225=$A77)*('Multi-start Raw data'!$C$6:$C$2225=C$6)*('Multi-start Raw data'!$J$6:$J$2225="Fully converged"))</f>
        <v>2.5390000000000001</v>
      </c>
      <c r="D77">
        <f t="array" ref="D77">SUM('Multi-start Raw data'!$D$6:$D$2225*('Multi-start Raw data'!$B$6:$B$2225=$A77)*('Multi-start Raw data'!$C$6:$C$2225=D$6)*('Multi-start Raw data'!$J$6:$J$2225="Fully converged"))</f>
        <v>2.5499999999999998</v>
      </c>
      <c r="E77">
        <f t="array" ref="E77">SUM('Multi-start Raw data'!$D$6:$D$2225*('Multi-start Raw data'!$B$6:$B$2225=$A77)*('Multi-start Raw data'!$C$6:$C$2225=E$6)*('Multi-start Raw data'!$J$6:$J$2225="Fully converged"))</f>
        <v>2.5449999999999999</v>
      </c>
      <c r="F77">
        <f t="array" ref="F77">SUM('Multi-start Raw data'!$D$6:$D$2225*('Multi-start Raw data'!$B$6:$B$2225=$A77)*('Multi-start Raw data'!$C$6:$C$2225=F$6)*('Multi-start Raw data'!$J$6:$J$2225="Fully converged"))</f>
        <v>2.5499999999999998</v>
      </c>
      <c r="G77">
        <f t="array" ref="G77">SUM('Multi-start Raw data'!$D$6:$D$2225*('Multi-start Raw data'!$B$6:$B$2225=$A77)*('Multi-start Raw data'!$C$6:$C$2225=G$6)*('Multi-start Raw data'!$J$6:$J$2225="Fully converged"))</f>
        <v>2.4969999999999999</v>
      </c>
      <c r="H77">
        <f t="array" ref="H77">SUM('Multi-start Raw data'!$D$6:$D$2225*('Multi-start Raw data'!$B$6:$B$2225=$A77)*('Multi-start Raw data'!$C$6:$C$2225=H$6)*('Multi-start Raw data'!$J$6:$J$2225="Fully converged"))</f>
        <v>2.5449999999999999</v>
      </c>
      <c r="I77">
        <f t="array" ref="I77">SUM('Multi-start Raw data'!$D$6:$D$2225*('Multi-start Raw data'!$B$6:$B$2225=$A77)*('Multi-start Raw data'!$C$6:$C$2225=I$6)*('Multi-start Raw data'!$J$6:$J$2225="Fully converged"))</f>
        <v>2.5449999999999999</v>
      </c>
      <c r="J77">
        <f t="array" ref="J77">SUM('Multi-start Raw data'!$D$6:$D$2225*('Multi-start Raw data'!$B$6:$B$2225=$A77)*('Multi-start Raw data'!$C$6:$C$2225=J$6)*('Multi-start Raw data'!$J$6:$J$2225="Fully converged"))</f>
        <v>2.544</v>
      </c>
      <c r="K77">
        <f t="array" ref="K77">SUM('Multi-start Raw data'!$D$6:$D$2225*('Multi-start Raw data'!$B$6:$B$2225=$A77)*('Multi-start Raw data'!$C$6:$C$2225=K$6)*('Multi-start Raw data'!$J$6:$J$2225="Fully converged"))</f>
        <v>2.54</v>
      </c>
      <c r="L77">
        <f t="array" ref="L77">SUM('Multi-start Raw data'!$D$6:$D$2225*('Multi-start Raw data'!$B$6:$B$2225=$A77)*('Multi-start Raw data'!$C$6:$C$2225=L$6)*('Multi-start Raw data'!$J$6:$J$2225="Fully converged"))</f>
        <v>2.544</v>
      </c>
      <c r="M77">
        <f t="array" ref="M77">SUM('Multi-start Raw data'!$D$6:$D$2225*('Multi-start Raw data'!$B$6:$B$2225=$A77)*('Multi-start Raw data'!$C$6:$C$2225=M$6)*('Multi-start Raw data'!$J$6:$J$2225="Fully converged"))</f>
        <v>2.528</v>
      </c>
      <c r="N77">
        <f t="array" ref="N77">SUM('Multi-start Raw data'!$D$6:$D$2225*('Multi-start Raw data'!$B$6:$B$2225=$A77)*('Multi-start Raw data'!$C$6:$C$2225=N$6)*('Multi-start Raw data'!$J$6:$J$2225="Fully converged"))</f>
        <v>2.528</v>
      </c>
      <c r="O77">
        <f t="array" ref="O77">SUM('Multi-start Raw data'!$D$6:$D$2225*('Multi-start Raw data'!$B$6:$B$2225=$A77)*('Multi-start Raw data'!$C$6:$C$2225=O$6)*('Multi-start Raw data'!$J$6:$J$2225="Fully converged"))</f>
        <v>2.5449999999999999</v>
      </c>
      <c r="P77">
        <f t="array" ref="P77">SUM('Multi-start Raw data'!$D$6:$D$2225*('Multi-start Raw data'!$B$6:$B$2225=$A77)*('Multi-start Raw data'!$C$6:$C$2225=P$6)*('Multi-start Raw data'!$J$6:$J$2225="Fully converged"))</f>
        <v>2.528</v>
      </c>
      <c r="Q77">
        <f t="array" ref="Q77">SUM('Multi-start Raw data'!$D$6:$D$2225*('Multi-start Raw data'!$B$6:$B$2225=$A77)*('Multi-start Raw data'!$C$6:$C$2225=Q$6)*('Multi-start Raw data'!$J$6:$J$2225="Fully converged"))</f>
        <v>2.5249999999999999</v>
      </c>
      <c r="R77">
        <f t="array" ref="R77">SUM('Multi-start Raw data'!$D$6:$D$2225*('Multi-start Raw data'!$B$6:$B$2225=$A77)*('Multi-start Raw data'!$C$6:$C$2225=R$6)*('Multi-start Raw data'!$J$6:$J$2225="Fully converged"))</f>
        <v>2.54</v>
      </c>
      <c r="S77">
        <f t="array" ref="S77">SUM('Multi-start Raw data'!$D$6:$D$2225*('Multi-start Raw data'!$B$6:$B$2225=$A77)*('Multi-start Raw data'!$C$6:$C$2225=S$6)*('Multi-start Raw data'!$J$6:$J$2225="Fully converged"))</f>
        <v>2.5470000000000002</v>
      </c>
      <c r="T77">
        <f t="array" ref="T77">SUM('Multi-start Raw data'!$D$6:$D$2225*('Multi-start Raw data'!$B$6:$B$2225=$A77)*('Multi-start Raw data'!$C$6:$C$2225=T$6)*('Multi-start Raw data'!$J$6:$J$2225="Fully converged"))</f>
        <v>2.5499999999999998</v>
      </c>
      <c r="U77">
        <f t="array" ref="U77">SUM('Multi-start Raw data'!$D$6:$D$2225*('Multi-start Raw data'!$B$6:$B$2225=$A77)*('Multi-start Raw data'!$C$6:$C$2225=U$6)*('Multi-start Raw data'!$J$6:$J$2225="Fully converged"))</f>
        <v>2.544</v>
      </c>
      <c r="W77" s="6">
        <f t="shared" si="29"/>
        <v>2.5499999999999998</v>
      </c>
      <c r="X77" s="6">
        <f t="shared" si="30"/>
        <v>2.5499999999999998</v>
      </c>
      <c r="Y77" s="6">
        <f t="shared" si="31"/>
        <v>2.5499999999999998</v>
      </c>
      <c r="Z77" s="6">
        <f t="shared" si="32"/>
        <v>2.5499999999999998</v>
      </c>
      <c r="AA77" s="6">
        <f t="shared" si="33"/>
        <v>2.5499999999999998</v>
      </c>
      <c r="AB77" s="6"/>
      <c r="AC77" s="6">
        <f t="shared" si="34"/>
        <v>0</v>
      </c>
      <c r="AD77" s="6">
        <f t="shared" si="35"/>
        <v>0</v>
      </c>
      <c r="AE77" s="6">
        <f t="shared" si="36"/>
        <v>0</v>
      </c>
      <c r="AF77" s="6">
        <f t="shared" si="37"/>
        <v>0</v>
      </c>
      <c r="AG77" s="6">
        <f t="shared" si="24"/>
        <v>0</v>
      </c>
      <c r="AH77" s="6">
        <f t="shared" si="25"/>
        <v>0</v>
      </c>
      <c r="AI77" s="6">
        <f t="shared" si="26"/>
        <v>0</v>
      </c>
      <c r="AJ77" s="6">
        <f t="shared" si="27"/>
        <v>0</v>
      </c>
      <c r="AK77" s="6">
        <f t="shared" si="28"/>
        <v>0</v>
      </c>
      <c r="AM77" s="16">
        <f t="shared" si="38"/>
        <v>0.1</v>
      </c>
    </row>
    <row r="78" spans="1:39" x14ac:dyDescent="0.3">
      <c r="A78" s="1" t="s">
        <v>1774</v>
      </c>
      <c r="B78">
        <f t="array" ref="B78">SUM('Multi-start Raw data'!$D$6:$D$2225*('Multi-start Raw data'!$B$6:$B$2225=$A78)*('Multi-start Raw data'!$C$6:$C$2225=B$6)*('Multi-start Raw data'!$J$6:$J$2225="Fully converged"))</f>
        <v>2.488</v>
      </c>
      <c r="C78">
        <f t="array" ref="C78">SUM('Multi-start Raw data'!$D$6:$D$2225*('Multi-start Raw data'!$B$6:$B$2225=$A78)*('Multi-start Raw data'!$C$6:$C$2225=C$6)*('Multi-start Raw data'!$J$6:$J$2225="Fully converged"))</f>
        <v>2.4900000000000002</v>
      </c>
      <c r="D78">
        <f t="array" ref="D78">SUM('Multi-start Raw data'!$D$6:$D$2225*('Multi-start Raw data'!$B$6:$B$2225=$A78)*('Multi-start Raw data'!$C$6:$C$2225=D$6)*('Multi-start Raw data'!$J$6:$J$2225="Fully converged"))</f>
        <v>0</v>
      </c>
      <c r="E78">
        <f t="array" ref="E78">SUM('Multi-start Raw data'!$D$6:$D$2225*('Multi-start Raw data'!$B$6:$B$2225=$A78)*('Multi-start Raw data'!$C$6:$C$2225=E$6)*('Multi-start Raw data'!$J$6:$J$2225="Fully converged"))</f>
        <v>2.4710000000000001</v>
      </c>
      <c r="F78">
        <f t="array" ref="F78">SUM('Multi-start Raw data'!$D$6:$D$2225*('Multi-start Raw data'!$B$6:$B$2225=$A78)*('Multi-start Raw data'!$C$6:$C$2225=F$6)*('Multi-start Raw data'!$J$6:$J$2225="Fully converged"))</f>
        <v>2.476</v>
      </c>
      <c r="G78">
        <f t="array" ref="G78">SUM('Multi-start Raw data'!$D$6:$D$2225*('Multi-start Raw data'!$B$6:$B$2225=$A78)*('Multi-start Raw data'!$C$6:$C$2225=G$6)*('Multi-start Raw data'!$J$6:$J$2225="Fully converged"))</f>
        <v>2.4900000000000002</v>
      </c>
      <c r="H78">
        <f t="array" ref="H78">SUM('Multi-start Raw data'!$D$6:$D$2225*('Multi-start Raw data'!$B$6:$B$2225=$A78)*('Multi-start Raw data'!$C$6:$C$2225=H$6)*('Multi-start Raw data'!$J$6:$J$2225="Fully converged"))</f>
        <v>2.4910000000000001</v>
      </c>
      <c r="I78">
        <f t="array" ref="I78">SUM('Multi-start Raw data'!$D$6:$D$2225*('Multi-start Raw data'!$B$6:$B$2225=$A78)*('Multi-start Raw data'!$C$6:$C$2225=I$6)*('Multi-start Raw data'!$J$6:$J$2225="Fully converged"))</f>
        <v>2.4929999999999999</v>
      </c>
      <c r="J78">
        <f t="array" ref="J78">SUM('Multi-start Raw data'!$D$6:$D$2225*('Multi-start Raw data'!$B$6:$B$2225=$A78)*('Multi-start Raw data'!$C$6:$C$2225=J$6)*('Multi-start Raw data'!$J$6:$J$2225="Fully converged"))</f>
        <v>2.4590000000000001</v>
      </c>
      <c r="K78">
        <f t="array" ref="K78">SUM('Multi-start Raw data'!$D$6:$D$2225*('Multi-start Raw data'!$B$6:$B$2225=$A78)*('Multi-start Raw data'!$C$6:$C$2225=K$6)*('Multi-start Raw data'!$J$6:$J$2225="Fully converged"))</f>
        <v>2.4710000000000001</v>
      </c>
      <c r="L78">
        <f t="array" ref="L78">SUM('Multi-start Raw data'!$D$6:$D$2225*('Multi-start Raw data'!$B$6:$B$2225=$A78)*('Multi-start Raw data'!$C$6:$C$2225=L$6)*('Multi-start Raw data'!$J$6:$J$2225="Fully converged"))</f>
        <v>2.4900000000000002</v>
      </c>
      <c r="M78">
        <f t="array" ref="M78">SUM('Multi-start Raw data'!$D$6:$D$2225*('Multi-start Raw data'!$B$6:$B$2225=$A78)*('Multi-start Raw data'!$C$6:$C$2225=M$6)*('Multi-start Raw data'!$J$6:$J$2225="Fully converged"))</f>
        <v>2.4929999999999999</v>
      </c>
      <c r="N78">
        <f t="array" ref="N78">SUM('Multi-start Raw data'!$D$6:$D$2225*('Multi-start Raw data'!$B$6:$B$2225=$A78)*('Multi-start Raw data'!$C$6:$C$2225=N$6)*('Multi-start Raw data'!$J$6:$J$2225="Fully converged"))</f>
        <v>2.4769999999999999</v>
      </c>
      <c r="O78">
        <f t="array" ref="O78">SUM('Multi-start Raw data'!$D$6:$D$2225*('Multi-start Raw data'!$B$6:$B$2225=$A78)*('Multi-start Raw data'!$C$6:$C$2225=O$6)*('Multi-start Raw data'!$J$6:$J$2225="Fully converged"))</f>
        <v>2.4769999999999999</v>
      </c>
      <c r="P78">
        <f t="array" ref="P78">SUM('Multi-start Raw data'!$D$6:$D$2225*('Multi-start Raw data'!$B$6:$B$2225=$A78)*('Multi-start Raw data'!$C$6:$C$2225=P$6)*('Multi-start Raw data'!$J$6:$J$2225="Fully converged"))</f>
        <v>2.4929999999999999</v>
      </c>
      <c r="Q78">
        <f t="array" ref="Q78">SUM('Multi-start Raw data'!$D$6:$D$2225*('Multi-start Raw data'!$B$6:$B$2225=$A78)*('Multi-start Raw data'!$C$6:$C$2225=Q$6)*('Multi-start Raw data'!$J$6:$J$2225="Fully converged"))</f>
        <v>2.4889999999999999</v>
      </c>
      <c r="R78">
        <f t="array" ref="R78">SUM('Multi-start Raw data'!$D$6:$D$2225*('Multi-start Raw data'!$B$6:$B$2225=$A78)*('Multi-start Raw data'!$C$6:$C$2225=R$6)*('Multi-start Raw data'!$J$6:$J$2225="Fully converged"))</f>
        <v>2.4900000000000002</v>
      </c>
      <c r="S78">
        <f t="array" ref="S78">SUM('Multi-start Raw data'!$D$6:$D$2225*('Multi-start Raw data'!$B$6:$B$2225=$A78)*('Multi-start Raw data'!$C$6:$C$2225=S$6)*('Multi-start Raw data'!$J$6:$J$2225="Fully converged"))</f>
        <v>0</v>
      </c>
      <c r="T78">
        <f t="array" ref="T78">SUM('Multi-start Raw data'!$D$6:$D$2225*('Multi-start Raw data'!$B$6:$B$2225=$A78)*('Multi-start Raw data'!$C$6:$C$2225=T$6)*('Multi-start Raw data'!$J$6:$J$2225="Fully converged"))</f>
        <v>2.4910000000000001</v>
      </c>
      <c r="U78">
        <f t="array" ref="U78">SUM('Multi-start Raw data'!$D$6:$D$2225*('Multi-start Raw data'!$B$6:$B$2225=$A78)*('Multi-start Raw data'!$C$6:$C$2225=U$6)*('Multi-start Raw data'!$J$6:$J$2225="Fully converged"))</f>
        <v>2.4700000000000002</v>
      </c>
      <c r="W78" s="6">
        <f t="shared" si="29"/>
        <v>2.4900000000000002</v>
      </c>
      <c r="X78" s="6">
        <f t="shared" si="30"/>
        <v>2.4929999999999999</v>
      </c>
      <c r="Y78" s="6">
        <f t="shared" si="31"/>
        <v>2.4929999999999999</v>
      </c>
      <c r="Z78" s="6">
        <f t="shared" si="32"/>
        <v>2.4929999999999999</v>
      </c>
      <c r="AA78" s="6">
        <f t="shared" si="33"/>
        <v>2.4929999999999999</v>
      </c>
      <c r="AB78" s="6"/>
      <c r="AC78" s="6">
        <f t="shared" si="34"/>
        <v>2.9999999999996696E-3</v>
      </c>
      <c r="AD78" s="6">
        <f t="shared" si="35"/>
        <v>0</v>
      </c>
      <c r="AE78" s="6">
        <f t="shared" si="36"/>
        <v>0</v>
      </c>
      <c r="AF78" s="6">
        <f t="shared" si="37"/>
        <v>0</v>
      </c>
      <c r="AG78" s="6">
        <f t="shared" si="24"/>
        <v>0.12033694344162334</v>
      </c>
      <c r="AH78" s="6">
        <f t="shared" si="25"/>
        <v>0</v>
      </c>
      <c r="AI78" s="6">
        <f t="shared" si="26"/>
        <v>0</v>
      </c>
      <c r="AJ78" s="6">
        <f t="shared" si="27"/>
        <v>0</v>
      </c>
      <c r="AK78" s="6">
        <f t="shared" si="28"/>
        <v>0</v>
      </c>
      <c r="AM78" s="16">
        <f t="shared" si="38"/>
        <v>0.1</v>
      </c>
    </row>
    <row r="79" spans="1:39" x14ac:dyDescent="0.3">
      <c r="A79" s="1" t="s">
        <v>1792</v>
      </c>
      <c r="B79">
        <f t="array" ref="B79">SUM('Multi-start Raw data'!$D$6:$D$2225*('Multi-start Raw data'!$B$6:$B$2225=$A79)*('Multi-start Raw data'!$C$6:$C$2225=B$6)*('Multi-start Raw data'!$J$6:$J$2225="Fully converged"))</f>
        <v>2.4300000000000002</v>
      </c>
      <c r="C79">
        <f t="array" ref="C79">SUM('Multi-start Raw data'!$D$6:$D$2225*('Multi-start Raw data'!$B$6:$B$2225=$A79)*('Multi-start Raw data'!$C$6:$C$2225=C$6)*('Multi-start Raw data'!$J$6:$J$2225="Fully converged"))</f>
        <v>2.4300000000000002</v>
      </c>
      <c r="D79">
        <f t="array" ref="D79">SUM('Multi-start Raw data'!$D$6:$D$2225*('Multi-start Raw data'!$B$6:$B$2225=$A79)*('Multi-start Raw data'!$C$6:$C$2225=D$6)*('Multi-start Raw data'!$J$6:$J$2225="Fully converged"))</f>
        <v>2.4359999999999999</v>
      </c>
      <c r="E79">
        <f t="array" ref="E79">SUM('Multi-start Raw data'!$D$6:$D$2225*('Multi-start Raw data'!$B$6:$B$2225=$A79)*('Multi-start Raw data'!$C$6:$C$2225=E$6)*('Multi-start Raw data'!$J$6:$J$2225="Fully converged"))</f>
        <v>2.4289999999999998</v>
      </c>
      <c r="F79">
        <f t="array" ref="F79">SUM('Multi-start Raw data'!$D$6:$D$2225*('Multi-start Raw data'!$B$6:$B$2225=$A79)*('Multi-start Raw data'!$C$6:$C$2225=F$6)*('Multi-start Raw data'!$J$6:$J$2225="Fully converged"))</f>
        <v>2.427</v>
      </c>
      <c r="G79">
        <f t="array" ref="G79">SUM('Multi-start Raw data'!$D$6:$D$2225*('Multi-start Raw data'!$B$6:$B$2225=$A79)*('Multi-start Raw data'!$C$6:$C$2225=G$6)*('Multi-start Raw data'!$J$6:$J$2225="Fully converged"))</f>
        <v>2.4289999999999998</v>
      </c>
      <c r="H79">
        <f t="array" ref="H79">SUM('Multi-start Raw data'!$D$6:$D$2225*('Multi-start Raw data'!$B$6:$B$2225=$A79)*('Multi-start Raw data'!$C$6:$C$2225=H$6)*('Multi-start Raw data'!$J$6:$J$2225="Fully converged"))</f>
        <v>2.4359999999999999</v>
      </c>
      <c r="I79">
        <f t="array" ref="I79">SUM('Multi-start Raw data'!$D$6:$D$2225*('Multi-start Raw data'!$B$6:$B$2225=$A79)*('Multi-start Raw data'!$C$6:$C$2225=I$6)*('Multi-start Raw data'!$J$6:$J$2225="Fully converged"))</f>
        <v>2.4300000000000002</v>
      </c>
      <c r="J79">
        <f t="array" ref="J79">SUM('Multi-start Raw data'!$D$6:$D$2225*('Multi-start Raw data'!$B$6:$B$2225=$A79)*('Multi-start Raw data'!$C$6:$C$2225=J$6)*('Multi-start Raw data'!$J$6:$J$2225="Fully converged"))</f>
        <v>2.427</v>
      </c>
      <c r="K79">
        <f t="array" ref="K79">SUM('Multi-start Raw data'!$D$6:$D$2225*('Multi-start Raw data'!$B$6:$B$2225=$A79)*('Multi-start Raw data'!$C$6:$C$2225=K$6)*('Multi-start Raw data'!$J$6:$J$2225="Fully converged"))</f>
        <v>2.4289999999999998</v>
      </c>
      <c r="L79">
        <f t="array" ref="L79">SUM('Multi-start Raw data'!$D$6:$D$2225*('Multi-start Raw data'!$B$6:$B$2225=$A79)*('Multi-start Raw data'!$C$6:$C$2225=L$6)*('Multi-start Raw data'!$J$6:$J$2225="Fully converged"))</f>
        <v>2.4289999999999998</v>
      </c>
      <c r="M79">
        <f t="array" ref="M79">SUM('Multi-start Raw data'!$D$6:$D$2225*('Multi-start Raw data'!$B$6:$B$2225=$A79)*('Multi-start Raw data'!$C$6:$C$2225=M$6)*('Multi-start Raw data'!$J$6:$J$2225="Fully converged"))</f>
        <v>0</v>
      </c>
      <c r="N79">
        <f t="array" ref="N79">SUM('Multi-start Raw data'!$D$6:$D$2225*('Multi-start Raw data'!$B$6:$B$2225=$A79)*('Multi-start Raw data'!$C$6:$C$2225=N$6)*('Multi-start Raw data'!$J$6:$J$2225="Fully converged"))</f>
        <v>2.4300000000000002</v>
      </c>
      <c r="O79">
        <f t="array" ref="O79">SUM('Multi-start Raw data'!$D$6:$D$2225*('Multi-start Raw data'!$B$6:$B$2225=$A79)*('Multi-start Raw data'!$C$6:$C$2225=O$6)*('Multi-start Raw data'!$J$6:$J$2225="Fully converged"))</f>
        <v>2.4289999999999998</v>
      </c>
      <c r="P79">
        <f t="array" ref="P79">SUM('Multi-start Raw data'!$D$6:$D$2225*('Multi-start Raw data'!$B$6:$B$2225=$A79)*('Multi-start Raw data'!$C$6:$C$2225=P$6)*('Multi-start Raw data'!$J$6:$J$2225="Fully converged"))</f>
        <v>2.4359999999999999</v>
      </c>
      <c r="Q79">
        <f t="array" ref="Q79">SUM('Multi-start Raw data'!$D$6:$D$2225*('Multi-start Raw data'!$B$6:$B$2225=$A79)*('Multi-start Raw data'!$C$6:$C$2225=Q$6)*('Multi-start Raw data'!$J$6:$J$2225="Fully converged"))</f>
        <v>0</v>
      </c>
      <c r="R79">
        <f t="array" ref="R79">SUM('Multi-start Raw data'!$D$6:$D$2225*('Multi-start Raw data'!$B$6:$B$2225=$A79)*('Multi-start Raw data'!$C$6:$C$2225=R$6)*('Multi-start Raw data'!$J$6:$J$2225="Fully converged"))</f>
        <v>2.4289999999999998</v>
      </c>
      <c r="S79">
        <f t="array" ref="S79">SUM('Multi-start Raw data'!$D$6:$D$2225*('Multi-start Raw data'!$B$6:$B$2225=$A79)*('Multi-start Raw data'!$C$6:$C$2225=S$6)*('Multi-start Raw data'!$J$6:$J$2225="Fully converged"))</f>
        <v>0</v>
      </c>
      <c r="T79">
        <f t="array" ref="T79">SUM('Multi-start Raw data'!$D$6:$D$2225*('Multi-start Raw data'!$B$6:$B$2225=$A79)*('Multi-start Raw data'!$C$6:$C$2225=T$6)*('Multi-start Raw data'!$J$6:$J$2225="Fully converged"))</f>
        <v>2.4359999999999999</v>
      </c>
      <c r="U79">
        <f t="array" ref="U79">SUM('Multi-start Raw data'!$D$6:$D$2225*('Multi-start Raw data'!$B$6:$B$2225=$A79)*('Multi-start Raw data'!$C$6:$C$2225=U$6)*('Multi-start Raw data'!$J$6:$J$2225="Fully converged"))</f>
        <v>2.427</v>
      </c>
      <c r="W79" s="6">
        <f t="shared" si="29"/>
        <v>2.4359999999999999</v>
      </c>
      <c r="X79" s="6">
        <f t="shared" si="30"/>
        <v>2.4359999999999999</v>
      </c>
      <c r="Y79" s="6">
        <f t="shared" si="31"/>
        <v>2.4359999999999999</v>
      </c>
      <c r="Z79" s="6">
        <f t="shared" si="32"/>
        <v>2.4359999999999999</v>
      </c>
      <c r="AA79" s="6">
        <f t="shared" si="33"/>
        <v>2.4359999999999999</v>
      </c>
      <c r="AB79" s="6"/>
      <c r="AC79" s="6">
        <f t="shared" si="34"/>
        <v>0</v>
      </c>
      <c r="AD79" s="6">
        <f t="shared" si="35"/>
        <v>0</v>
      </c>
      <c r="AE79" s="6">
        <f t="shared" si="36"/>
        <v>0</v>
      </c>
      <c r="AF79" s="6">
        <f t="shared" si="37"/>
        <v>0</v>
      </c>
      <c r="AG79" s="6">
        <f t="shared" si="24"/>
        <v>0</v>
      </c>
      <c r="AH79" s="6">
        <f t="shared" si="25"/>
        <v>0</v>
      </c>
      <c r="AI79" s="6">
        <f t="shared" si="26"/>
        <v>0</v>
      </c>
      <c r="AJ79" s="6">
        <f t="shared" si="27"/>
        <v>0</v>
      </c>
      <c r="AK79" s="6">
        <f t="shared" si="28"/>
        <v>0</v>
      </c>
      <c r="AM79" s="16">
        <f t="shared" si="38"/>
        <v>0.1</v>
      </c>
    </row>
    <row r="80" spans="1:39" x14ac:dyDescent="0.3">
      <c r="A80" s="1" t="s">
        <v>1811</v>
      </c>
      <c r="B80">
        <f t="array" ref="B80">SUM('Multi-start Raw data'!$D$6:$D$2225*('Multi-start Raw data'!$B$6:$B$2225=$A80)*('Multi-start Raw data'!$C$6:$C$2225=B$6)*('Multi-start Raw data'!$J$6:$J$2225="Fully converged"))</f>
        <v>2.5030000000000001</v>
      </c>
      <c r="C80">
        <f t="array" ref="C80">SUM('Multi-start Raw data'!$D$6:$D$2225*('Multi-start Raw data'!$B$6:$B$2225=$A80)*('Multi-start Raw data'!$C$6:$C$2225=C$6)*('Multi-start Raw data'!$J$6:$J$2225="Fully converged"))</f>
        <v>0</v>
      </c>
      <c r="D80">
        <f t="array" ref="D80">SUM('Multi-start Raw data'!$D$6:$D$2225*('Multi-start Raw data'!$B$6:$B$2225=$A80)*('Multi-start Raw data'!$C$6:$C$2225=D$6)*('Multi-start Raw data'!$J$6:$J$2225="Fully converged"))</f>
        <v>0</v>
      </c>
      <c r="E80">
        <f t="array" ref="E80">SUM('Multi-start Raw data'!$D$6:$D$2225*('Multi-start Raw data'!$B$6:$B$2225=$A80)*('Multi-start Raw data'!$C$6:$C$2225=E$6)*('Multi-start Raw data'!$J$6:$J$2225="Fully converged"))</f>
        <v>2.48</v>
      </c>
      <c r="F80">
        <f t="array" ref="F80">SUM('Multi-start Raw data'!$D$6:$D$2225*('Multi-start Raw data'!$B$6:$B$2225=$A80)*('Multi-start Raw data'!$C$6:$C$2225=F$6)*('Multi-start Raw data'!$J$6:$J$2225="Fully converged"))</f>
        <v>2.4750000000000001</v>
      </c>
      <c r="G80">
        <f t="array" ref="G80">SUM('Multi-start Raw data'!$D$6:$D$2225*('Multi-start Raw data'!$B$6:$B$2225=$A80)*('Multi-start Raw data'!$C$6:$C$2225=G$6)*('Multi-start Raw data'!$J$6:$J$2225="Fully converged"))</f>
        <v>2.4990000000000001</v>
      </c>
      <c r="H80">
        <f t="array" ref="H80">SUM('Multi-start Raw data'!$D$6:$D$2225*('Multi-start Raw data'!$B$6:$B$2225=$A80)*('Multi-start Raw data'!$C$6:$C$2225=H$6)*('Multi-start Raw data'!$J$6:$J$2225="Fully converged"))</f>
        <v>2.4809999999999999</v>
      </c>
      <c r="I80">
        <f t="array" ref="I80">SUM('Multi-start Raw data'!$D$6:$D$2225*('Multi-start Raw data'!$B$6:$B$2225=$A80)*('Multi-start Raw data'!$C$6:$C$2225=I$6)*('Multi-start Raw data'!$J$6:$J$2225="Fully converged"))</f>
        <v>2.5</v>
      </c>
      <c r="J80">
        <f t="array" ref="J80">SUM('Multi-start Raw data'!$D$6:$D$2225*('Multi-start Raw data'!$B$6:$B$2225=$A80)*('Multi-start Raw data'!$C$6:$C$2225=J$6)*('Multi-start Raw data'!$J$6:$J$2225="Fully converged"))</f>
        <v>2.5</v>
      </c>
      <c r="K80">
        <f t="array" ref="K80">SUM('Multi-start Raw data'!$D$6:$D$2225*('Multi-start Raw data'!$B$6:$B$2225=$A80)*('Multi-start Raw data'!$C$6:$C$2225=K$6)*('Multi-start Raw data'!$J$6:$J$2225="Fully converged"))</f>
        <v>2.4790000000000001</v>
      </c>
      <c r="L80">
        <f t="array" ref="L80">SUM('Multi-start Raw data'!$D$6:$D$2225*('Multi-start Raw data'!$B$6:$B$2225=$A80)*('Multi-start Raw data'!$C$6:$C$2225=L$6)*('Multi-start Raw data'!$J$6:$J$2225="Fully converged"))</f>
        <v>2.5030000000000001</v>
      </c>
      <c r="M80">
        <f t="array" ref="M80">SUM('Multi-start Raw data'!$D$6:$D$2225*('Multi-start Raw data'!$B$6:$B$2225=$A80)*('Multi-start Raw data'!$C$6:$C$2225=M$6)*('Multi-start Raw data'!$J$6:$J$2225="Fully converged"))</f>
        <v>2.5</v>
      </c>
      <c r="N80">
        <f t="array" ref="N80">SUM('Multi-start Raw data'!$D$6:$D$2225*('Multi-start Raw data'!$B$6:$B$2225=$A80)*('Multi-start Raw data'!$C$6:$C$2225=N$6)*('Multi-start Raw data'!$J$6:$J$2225="Fully converged"))</f>
        <v>2.4830000000000001</v>
      </c>
      <c r="O80">
        <f t="array" ref="O80">SUM('Multi-start Raw data'!$D$6:$D$2225*('Multi-start Raw data'!$B$6:$B$2225=$A80)*('Multi-start Raw data'!$C$6:$C$2225=O$6)*('Multi-start Raw data'!$J$6:$J$2225="Fully converged"))</f>
        <v>0</v>
      </c>
      <c r="P80">
        <f t="array" ref="P80">SUM('Multi-start Raw data'!$D$6:$D$2225*('Multi-start Raw data'!$B$6:$B$2225=$A80)*('Multi-start Raw data'!$C$6:$C$2225=P$6)*('Multi-start Raw data'!$J$6:$J$2225="Fully converged"))</f>
        <v>2.5030000000000001</v>
      </c>
      <c r="Q80">
        <f t="array" ref="Q80">SUM('Multi-start Raw data'!$D$6:$D$2225*('Multi-start Raw data'!$B$6:$B$2225=$A80)*('Multi-start Raw data'!$C$6:$C$2225=Q$6)*('Multi-start Raw data'!$J$6:$J$2225="Fully converged"))</f>
        <v>2.4540000000000002</v>
      </c>
      <c r="R80">
        <f t="array" ref="R80">SUM('Multi-start Raw data'!$D$6:$D$2225*('Multi-start Raw data'!$B$6:$B$2225=$A80)*('Multi-start Raw data'!$C$6:$C$2225=R$6)*('Multi-start Raw data'!$J$6:$J$2225="Fully converged"))</f>
        <v>2.448</v>
      </c>
      <c r="S80">
        <f t="array" ref="S80">SUM('Multi-start Raw data'!$D$6:$D$2225*('Multi-start Raw data'!$B$6:$B$2225=$A80)*('Multi-start Raw data'!$C$6:$C$2225=S$6)*('Multi-start Raw data'!$J$6:$J$2225="Fully converged"))</f>
        <v>2.5030000000000001</v>
      </c>
      <c r="T80">
        <f t="array" ref="T80">SUM('Multi-start Raw data'!$D$6:$D$2225*('Multi-start Raw data'!$B$6:$B$2225=$A80)*('Multi-start Raw data'!$C$6:$C$2225=T$6)*('Multi-start Raw data'!$J$6:$J$2225="Fully converged"))</f>
        <v>2.4870000000000001</v>
      </c>
      <c r="U80">
        <f t="array" ref="U80">SUM('Multi-start Raw data'!$D$6:$D$2225*('Multi-start Raw data'!$B$6:$B$2225=$A80)*('Multi-start Raw data'!$C$6:$C$2225=U$6)*('Multi-start Raw data'!$J$6:$J$2225="Fully converged"))</f>
        <v>2.4809999999999999</v>
      </c>
      <c r="W80" s="6">
        <f t="shared" si="29"/>
        <v>2.5030000000000001</v>
      </c>
      <c r="X80" s="6">
        <f t="shared" si="30"/>
        <v>2.5030000000000001</v>
      </c>
      <c r="Y80" s="6">
        <f t="shared" si="31"/>
        <v>2.5030000000000001</v>
      </c>
      <c r="Z80" s="6">
        <f t="shared" si="32"/>
        <v>2.5030000000000001</v>
      </c>
      <c r="AA80" s="6">
        <f t="shared" si="33"/>
        <v>2.5030000000000001</v>
      </c>
      <c r="AB80" s="6"/>
      <c r="AC80" s="6">
        <f t="shared" si="34"/>
        <v>0</v>
      </c>
      <c r="AD80" s="6">
        <f t="shared" si="35"/>
        <v>0</v>
      </c>
      <c r="AE80" s="6">
        <f t="shared" si="36"/>
        <v>0</v>
      </c>
      <c r="AF80" s="6">
        <f t="shared" si="37"/>
        <v>0</v>
      </c>
      <c r="AG80" s="6">
        <f t="shared" si="24"/>
        <v>0</v>
      </c>
      <c r="AH80" s="6">
        <f t="shared" si="25"/>
        <v>0</v>
      </c>
      <c r="AI80" s="6">
        <f t="shared" si="26"/>
        <v>0</v>
      </c>
      <c r="AJ80" s="6">
        <f t="shared" si="27"/>
        <v>0</v>
      </c>
      <c r="AK80" s="6">
        <f t="shared" si="28"/>
        <v>0</v>
      </c>
      <c r="AM80" s="16">
        <f t="shared" si="38"/>
        <v>0.1</v>
      </c>
    </row>
    <row r="81" spans="1:39" x14ac:dyDescent="0.3">
      <c r="A81" s="1" t="s">
        <v>1833</v>
      </c>
      <c r="B81">
        <f t="array" ref="B81">SUM('Multi-start Raw data'!$D$6:$D$2225*('Multi-start Raw data'!$B$6:$B$2225=$A81)*('Multi-start Raw data'!$C$6:$C$2225=B$6)*('Multi-start Raw data'!$J$6:$J$2225="Fully converged"))</f>
        <v>2.536</v>
      </c>
      <c r="C81">
        <f t="array" ref="C81">SUM('Multi-start Raw data'!$D$6:$D$2225*('Multi-start Raw data'!$B$6:$B$2225=$A81)*('Multi-start Raw data'!$C$6:$C$2225=C$6)*('Multi-start Raw data'!$J$6:$J$2225="Fully converged"))</f>
        <v>2.5139999999999998</v>
      </c>
      <c r="D81">
        <f t="array" ref="D81">SUM('Multi-start Raw data'!$D$6:$D$2225*('Multi-start Raw data'!$B$6:$B$2225=$A81)*('Multi-start Raw data'!$C$6:$C$2225=D$6)*('Multi-start Raw data'!$J$6:$J$2225="Fully converged"))</f>
        <v>0</v>
      </c>
      <c r="E81">
        <f t="array" ref="E81">SUM('Multi-start Raw data'!$D$6:$D$2225*('Multi-start Raw data'!$B$6:$B$2225=$A81)*('Multi-start Raw data'!$C$6:$C$2225=E$6)*('Multi-start Raw data'!$J$6:$J$2225="Fully converged"))</f>
        <v>2.5190000000000001</v>
      </c>
      <c r="F81">
        <f t="array" ref="F81">SUM('Multi-start Raw data'!$D$6:$D$2225*('Multi-start Raw data'!$B$6:$B$2225=$A81)*('Multi-start Raw data'!$C$6:$C$2225=F$6)*('Multi-start Raw data'!$J$6:$J$2225="Fully converged"))</f>
        <v>2.536</v>
      </c>
      <c r="G81">
        <f t="array" ref="G81">SUM('Multi-start Raw data'!$D$6:$D$2225*('Multi-start Raw data'!$B$6:$B$2225=$A81)*('Multi-start Raw data'!$C$6:$C$2225=G$6)*('Multi-start Raw data'!$J$6:$J$2225="Fully converged"))</f>
        <v>2.5219999999999998</v>
      </c>
      <c r="H81">
        <f t="array" ref="H81">SUM('Multi-start Raw data'!$D$6:$D$2225*('Multi-start Raw data'!$B$6:$B$2225=$A81)*('Multi-start Raw data'!$C$6:$C$2225=H$6)*('Multi-start Raw data'!$J$6:$J$2225="Fully converged"))</f>
        <v>2.52</v>
      </c>
      <c r="I81">
        <f t="array" ref="I81">SUM('Multi-start Raw data'!$D$6:$D$2225*('Multi-start Raw data'!$B$6:$B$2225=$A81)*('Multi-start Raw data'!$C$6:$C$2225=I$6)*('Multi-start Raw data'!$J$6:$J$2225="Fully converged"))</f>
        <v>2.536</v>
      </c>
      <c r="J81">
        <f t="array" ref="J81">SUM('Multi-start Raw data'!$D$6:$D$2225*('Multi-start Raw data'!$B$6:$B$2225=$A81)*('Multi-start Raw data'!$C$6:$C$2225=J$6)*('Multi-start Raw data'!$J$6:$J$2225="Fully converged"))</f>
        <v>2.5350000000000001</v>
      </c>
      <c r="K81">
        <f t="array" ref="K81">SUM('Multi-start Raw data'!$D$6:$D$2225*('Multi-start Raw data'!$B$6:$B$2225=$A81)*('Multi-start Raw data'!$C$6:$C$2225=K$6)*('Multi-start Raw data'!$J$6:$J$2225="Fully converged"))</f>
        <v>2.532</v>
      </c>
      <c r="L81">
        <f t="array" ref="L81">SUM('Multi-start Raw data'!$D$6:$D$2225*('Multi-start Raw data'!$B$6:$B$2225=$A81)*('Multi-start Raw data'!$C$6:$C$2225=L$6)*('Multi-start Raw data'!$J$6:$J$2225="Fully converged"))</f>
        <v>2.5379999999999998</v>
      </c>
      <c r="M81">
        <f t="array" ref="M81">SUM('Multi-start Raw data'!$D$6:$D$2225*('Multi-start Raw data'!$B$6:$B$2225=$A81)*('Multi-start Raw data'!$C$6:$C$2225=M$6)*('Multi-start Raw data'!$J$6:$J$2225="Fully converged"))</f>
        <v>2.536</v>
      </c>
      <c r="N81">
        <f t="array" ref="N81">SUM('Multi-start Raw data'!$D$6:$D$2225*('Multi-start Raw data'!$B$6:$B$2225=$A81)*('Multi-start Raw data'!$C$6:$C$2225=N$6)*('Multi-start Raw data'!$J$6:$J$2225="Fully converged"))</f>
        <v>2.5190000000000001</v>
      </c>
      <c r="O81">
        <f t="array" ref="O81">SUM('Multi-start Raw data'!$D$6:$D$2225*('Multi-start Raw data'!$B$6:$B$2225=$A81)*('Multi-start Raw data'!$C$6:$C$2225=O$6)*('Multi-start Raw data'!$J$6:$J$2225="Fully converged"))</f>
        <v>2.5030000000000001</v>
      </c>
      <c r="P81">
        <f t="array" ref="P81">SUM('Multi-start Raw data'!$D$6:$D$2225*('Multi-start Raw data'!$B$6:$B$2225=$A81)*('Multi-start Raw data'!$C$6:$C$2225=P$6)*('Multi-start Raw data'!$J$6:$J$2225="Fully converged"))</f>
        <v>2.5379999999999998</v>
      </c>
      <c r="Q81">
        <f t="array" ref="Q81">SUM('Multi-start Raw data'!$D$6:$D$2225*('Multi-start Raw data'!$B$6:$B$2225=$A81)*('Multi-start Raw data'!$C$6:$C$2225=Q$6)*('Multi-start Raw data'!$J$6:$J$2225="Fully converged"))</f>
        <v>2.5329999999999999</v>
      </c>
      <c r="R81">
        <f t="array" ref="R81">SUM('Multi-start Raw data'!$D$6:$D$2225*('Multi-start Raw data'!$B$6:$B$2225=$A81)*('Multi-start Raw data'!$C$6:$C$2225=R$6)*('Multi-start Raw data'!$J$6:$J$2225="Fully converged"))</f>
        <v>2.536</v>
      </c>
      <c r="S81">
        <f t="array" ref="S81">SUM('Multi-start Raw data'!$D$6:$D$2225*('Multi-start Raw data'!$B$6:$B$2225=$A81)*('Multi-start Raw data'!$C$6:$C$2225=S$6)*('Multi-start Raw data'!$J$6:$J$2225="Fully converged"))</f>
        <v>2.536</v>
      </c>
      <c r="T81">
        <f t="array" ref="T81">SUM('Multi-start Raw data'!$D$6:$D$2225*('Multi-start Raw data'!$B$6:$B$2225=$A81)*('Multi-start Raw data'!$C$6:$C$2225=T$6)*('Multi-start Raw data'!$J$6:$J$2225="Fully converged"))</f>
        <v>2.5379999999999998</v>
      </c>
      <c r="U81">
        <f t="array" ref="U81">SUM('Multi-start Raw data'!$D$6:$D$2225*('Multi-start Raw data'!$B$6:$B$2225=$A81)*('Multi-start Raw data'!$C$6:$C$2225=U$6)*('Multi-start Raw data'!$J$6:$J$2225="Fully converged"))</f>
        <v>2.5350000000000001</v>
      </c>
      <c r="W81" s="6">
        <f t="shared" si="29"/>
        <v>2.536</v>
      </c>
      <c r="X81" s="6">
        <f t="shared" si="30"/>
        <v>2.536</v>
      </c>
      <c r="Y81" s="6">
        <f t="shared" si="31"/>
        <v>2.5379999999999998</v>
      </c>
      <c r="Z81" s="6">
        <f t="shared" si="32"/>
        <v>2.5379999999999998</v>
      </c>
      <c r="AA81" s="6">
        <f t="shared" si="33"/>
        <v>2.5379999999999998</v>
      </c>
      <c r="AB81" s="6"/>
      <c r="AC81" s="6">
        <f t="shared" si="34"/>
        <v>0</v>
      </c>
      <c r="AD81" s="6">
        <f t="shared" si="35"/>
        <v>1.9999999999997797E-3</v>
      </c>
      <c r="AE81" s="6">
        <f t="shared" si="36"/>
        <v>0</v>
      </c>
      <c r="AF81" s="6">
        <f t="shared" si="37"/>
        <v>0</v>
      </c>
      <c r="AG81" s="6">
        <f t="shared" si="24"/>
        <v>7.8802206461772259E-2</v>
      </c>
      <c r="AH81" s="6">
        <f t="shared" si="25"/>
        <v>7.8802206461772259E-2</v>
      </c>
      <c r="AI81" s="6">
        <f t="shared" si="26"/>
        <v>0</v>
      </c>
      <c r="AJ81" s="6">
        <f t="shared" si="27"/>
        <v>0</v>
      </c>
      <c r="AK81" s="6">
        <f t="shared" si="28"/>
        <v>0</v>
      </c>
      <c r="AM81" s="16">
        <f t="shared" si="38"/>
        <v>0.1</v>
      </c>
    </row>
    <row r="82" spans="1:39" x14ac:dyDescent="0.3">
      <c r="A82" s="1" t="s">
        <v>1850</v>
      </c>
      <c r="B82">
        <f t="array" ref="B82">SUM('Multi-start Raw data'!$D$6:$D$2225*('Multi-start Raw data'!$B$6:$B$2225=$A82)*('Multi-start Raw data'!$C$6:$C$2225=B$6)*('Multi-start Raw data'!$J$6:$J$2225="Fully converged"))</f>
        <v>2.504</v>
      </c>
      <c r="C82">
        <f t="array" ref="C82">SUM('Multi-start Raw data'!$D$6:$D$2225*('Multi-start Raw data'!$B$6:$B$2225=$A82)*('Multi-start Raw data'!$C$6:$C$2225=C$6)*('Multi-start Raw data'!$J$6:$J$2225="Fully converged"))</f>
        <v>2.4870000000000001</v>
      </c>
      <c r="D82">
        <f t="array" ref="D82">SUM('Multi-start Raw data'!$D$6:$D$2225*('Multi-start Raw data'!$B$6:$B$2225=$A82)*('Multi-start Raw data'!$C$6:$C$2225=D$6)*('Multi-start Raw data'!$J$6:$J$2225="Fully converged"))</f>
        <v>2.5089999999999999</v>
      </c>
      <c r="E82">
        <f t="array" ref="E82">SUM('Multi-start Raw data'!$D$6:$D$2225*('Multi-start Raw data'!$B$6:$B$2225=$A82)*('Multi-start Raw data'!$C$6:$C$2225=E$6)*('Multi-start Raw data'!$J$6:$J$2225="Fully converged"))</f>
        <v>2.492</v>
      </c>
      <c r="F82">
        <f t="array" ref="F82">SUM('Multi-start Raw data'!$D$6:$D$2225*('Multi-start Raw data'!$B$6:$B$2225=$A82)*('Multi-start Raw data'!$C$6:$C$2225=F$6)*('Multi-start Raw data'!$J$6:$J$2225="Fully converged"))</f>
        <v>2.504</v>
      </c>
      <c r="G82">
        <f t="array" ref="G82">SUM('Multi-start Raw data'!$D$6:$D$2225*('Multi-start Raw data'!$B$6:$B$2225=$A82)*('Multi-start Raw data'!$C$6:$C$2225=G$6)*('Multi-start Raw data'!$J$6:$J$2225="Fully converged"))</f>
        <v>0</v>
      </c>
      <c r="H82">
        <f t="array" ref="H82">SUM('Multi-start Raw data'!$D$6:$D$2225*('Multi-start Raw data'!$B$6:$B$2225=$A82)*('Multi-start Raw data'!$C$6:$C$2225=H$6)*('Multi-start Raw data'!$J$6:$J$2225="Fully converged"))</f>
        <v>2.4929999999999999</v>
      </c>
      <c r="I82">
        <f t="array" ref="I82">SUM('Multi-start Raw data'!$D$6:$D$2225*('Multi-start Raw data'!$B$6:$B$2225=$A82)*('Multi-start Raw data'!$C$6:$C$2225=I$6)*('Multi-start Raw data'!$J$6:$J$2225="Fully converged"))</f>
        <v>2.5089999999999999</v>
      </c>
      <c r="J82">
        <f t="array" ref="J82">SUM('Multi-start Raw data'!$D$6:$D$2225*('Multi-start Raw data'!$B$6:$B$2225=$A82)*('Multi-start Raw data'!$C$6:$C$2225=J$6)*('Multi-start Raw data'!$J$6:$J$2225="Fully converged"))</f>
        <v>0</v>
      </c>
      <c r="K82">
        <f t="array" ref="K82">SUM('Multi-start Raw data'!$D$6:$D$2225*('Multi-start Raw data'!$B$6:$B$2225=$A82)*('Multi-start Raw data'!$C$6:$C$2225=K$6)*('Multi-start Raw data'!$J$6:$J$2225="Fully converged"))</f>
        <v>2.4820000000000002</v>
      </c>
      <c r="L82">
        <f t="array" ref="L82">SUM('Multi-start Raw data'!$D$6:$D$2225*('Multi-start Raw data'!$B$6:$B$2225=$A82)*('Multi-start Raw data'!$C$6:$C$2225=L$6)*('Multi-start Raw data'!$J$6:$J$2225="Fully converged"))</f>
        <v>2.5089999999999999</v>
      </c>
      <c r="M82">
        <f t="array" ref="M82">SUM('Multi-start Raw data'!$D$6:$D$2225*('Multi-start Raw data'!$B$6:$B$2225=$A82)*('Multi-start Raw data'!$C$6:$C$2225=M$6)*('Multi-start Raw data'!$J$6:$J$2225="Fully converged"))</f>
        <v>2.5070000000000001</v>
      </c>
      <c r="N82">
        <f t="array" ref="N82">SUM('Multi-start Raw data'!$D$6:$D$2225*('Multi-start Raw data'!$B$6:$B$2225=$A82)*('Multi-start Raw data'!$C$6:$C$2225=N$6)*('Multi-start Raw data'!$J$6:$J$2225="Fully converged"))</f>
        <v>2.4929999999999999</v>
      </c>
      <c r="O82">
        <f t="array" ref="O82">SUM('Multi-start Raw data'!$D$6:$D$2225*('Multi-start Raw data'!$B$6:$B$2225=$A82)*('Multi-start Raw data'!$C$6:$C$2225=O$6)*('Multi-start Raw data'!$J$6:$J$2225="Fully converged"))</f>
        <v>2.4870000000000001</v>
      </c>
      <c r="P82">
        <f t="array" ref="P82">SUM('Multi-start Raw data'!$D$6:$D$2225*('Multi-start Raw data'!$B$6:$B$2225=$A82)*('Multi-start Raw data'!$C$6:$C$2225=P$6)*('Multi-start Raw data'!$J$6:$J$2225="Fully converged"))</f>
        <v>2.492</v>
      </c>
      <c r="Q82">
        <f t="array" ref="Q82">SUM('Multi-start Raw data'!$D$6:$D$2225*('Multi-start Raw data'!$B$6:$B$2225=$A82)*('Multi-start Raw data'!$C$6:$C$2225=Q$6)*('Multi-start Raw data'!$J$6:$J$2225="Fully converged"))</f>
        <v>0</v>
      </c>
      <c r="R82">
        <f t="array" ref="R82">SUM('Multi-start Raw data'!$D$6:$D$2225*('Multi-start Raw data'!$B$6:$B$2225=$A82)*('Multi-start Raw data'!$C$6:$C$2225=R$6)*('Multi-start Raw data'!$J$6:$J$2225="Fully converged"))</f>
        <v>0</v>
      </c>
      <c r="S82">
        <f t="array" ref="S82">SUM('Multi-start Raw data'!$D$6:$D$2225*('Multi-start Raw data'!$B$6:$B$2225=$A82)*('Multi-start Raw data'!$C$6:$C$2225=S$6)*('Multi-start Raw data'!$J$6:$J$2225="Fully converged"))</f>
        <v>2.5070000000000001</v>
      </c>
      <c r="T82">
        <f t="array" ref="T82">SUM('Multi-start Raw data'!$D$6:$D$2225*('Multi-start Raw data'!$B$6:$B$2225=$A82)*('Multi-start Raw data'!$C$6:$C$2225=T$6)*('Multi-start Raw data'!$J$6:$J$2225="Fully converged"))</f>
        <v>2.5089999999999999</v>
      </c>
      <c r="U82">
        <f t="array" ref="U82">SUM('Multi-start Raw data'!$D$6:$D$2225*('Multi-start Raw data'!$B$6:$B$2225=$A82)*('Multi-start Raw data'!$C$6:$C$2225=U$6)*('Multi-start Raw data'!$J$6:$J$2225="Fully converged"))</f>
        <v>2.5059999999999998</v>
      </c>
      <c r="W82" s="6">
        <f t="shared" si="29"/>
        <v>2.5089999999999999</v>
      </c>
      <c r="X82" s="6">
        <f t="shared" si="30"/>
        <v>2.5089999999999999</v>
      </c>
      <c r="Y82" s="6">
        <f t="shared" si="31"/>
        <v>2.5089999999999999</v>
      </c>
      <c r="Z82" s="6">
        <f t="shared" si="32"/>
        <v>2.5089999999999999</v>
      </c>
      <c r="AA82" s="6">
        <f t="shared" si="33"/>
        <v>2.5089999999999999</v>
      </c>
      <c r="AB82" s="6"/>
      <c r="AC82" s="6">
        <f t="shared" si="34"/>
        <v>0</v>
      </c>
      <c r="AD82" s="6">
        <f t="shared" si="35"/>
        <v>0</v>
      </c>
      <c r="AE82" s="6">
        <f t="shared" si="36"/>
        <v>0</v>
      </c>
      <c r="AF82" s="6">
        <f t="shared" si="37"/>
        <v>0</v>
      </c>
      <c r="AG82" s="6">
        <f t="shared" si="24"/>
        <v>0</v>
      </c>
      <c r="AH82" s="6">
        <f t="shared" si="25"/>
        <v>0</v>
      </c>
      <c r="AI82" s="6">
        <f t="shared" si="26"/>
        <v>0</v>
      </c>
      <c r="AJ82" s="6">
        <f t="shared" si="27"/>
        <v>0</v>
      </c>
      <c r="AK82" s="6">
        <f t="shared" si="28"/>
        <v>0</v>
      </c>
      <c r="AM82" s="16">
        <f t="shared" si="38"/>
        <v>0.1</v>
      </c>
    </row>
    <row r="83" spans="1:39" x14ac:dyDescent="0.3">
      <c r="A83" s="1" t="s">
        <v>1870</v>
      </c>
      <c r="B83">
        <f t="array" ref="B83">SUM('Multi-start Raw data'!$D$6:$D$2225*('Multi-start Raw data'!$B$6:$B$2225=$A83)*('Multi-start Raw data'!$C$6:$C$2225=B$6)*('Multi-start Raw data'!$J$6:$J$2225="Fully converged"))</f>
        <v>2.5310000000000001</v>
      </c>
      <c r="C83">
        <f t="array" ref="C83">SUM('Multi-start Raw data'!$D$6:$D$2225*('Multi-start Raw data'!$B$6:$B$2225=$A83)*('Multi-start Raw data'!$C$6:$C$2225=C$6)*('Multi-start Raw data'!$J$6:$J$2225="Fully converged"))</f>
        <v>0</v>
      </c>
      <c r="D83">
        <f t="array" ref="D83">SUM('Multi-start Raw data'!$D$6:$D$2225*('Multi-start Raw data'!$B$6:$B$2225=$A83)*('Multi-start Raw data'!$C$6:$C$2225=D$6)*('Multi-start Raw data'!$J$6:$J$2225="Fully converged"))</f>
        <v>2.5379999999999998</v>
      </c>
      <c r="E83">
        <f t="array" ref="E83">SUM('Multi-start Raw data'!$D$6:$D$2225*('Multi-start Raw data'!$B$6:$B$2225=$A83)*('Multi-start Raw data'!$C$6:$C$2225=E$6)*('Multi-start Raw data'!$J$6:$J$2225="Fully converged"))</f>
        <v>2.5350000000000001</v>
      </c>
      <c r="F83">
        <f t="array" ref="F83">SUM('Multi-start Raw data'!$D$6:$D$2225*('Multi-start Raw data'!$B$6:$B$2225=$A83)*('Multi-start Raw data'!$C$6:$C$2225=F$6)*('Multi-start Raw data'!$J$6:$J$2225="Fully converged"))</f>
        <v>2.5350000000000001</v>
      </c>
      <c r="G83">
        <f t="array" ref="G83">SUM('Multi-start Raw data'!$D$6:$D$2225*('Multi-start Raw data'!$B$6:$B$2225=$A83)*('Multi-start Raw data'!$C$6:$C$2225=G$6)*('Multi-start Raw data'!$J$6:$J$2225="Fully converged"))</f>
        <v>2.5350000000000001</v>
      </c>
      <c r="H83">
        <f t="array" ref="H83">SUM('Multi-start Raw data'!$D$6:$D$2225*('Multi-start Raw data'!$B$6:$B$2225=$A83)*('Multi-start Raw data'!$C$6:$C$2225=H$6)*('Multi-start Raw data'!$J$6:$J$2225="Fully converged"))</f>
        <v>0</v>
      </c>
      <c r="I83">
        <f t="array" ref="I83">SUM('Multi-start Raw data'!$D$6:$D$2225*('Multi-start Raw data'!$B$6:$B$2225=$A83)*('Multi-start Raw data'!$C$6:$C$2225=I$6)*('Multi-start Raw data'!$J$6:$J$2225="Fully converged"))</f>
        <v>2.5379999999999998</v>
      </c>
      <c r="J83">
        <f t="array" ref="J83">SUM('Multi-start Raw data'!$D$6:$D$2225*('Multi-start Raw data'!$B$6:$B$2225=$A83)*('Multi-start Raw data'!$C$6:$C$2225=J$6)*('Multi-start Raw data'!$J$6:$J$2225="Fully converged"))</f>
        <v>2.5339999999999998</v>
      </c>
      <c r="K83">
        <f t="array" ref="K83">SUM('Multi-start Raw data'!$D$6:$D$2225*('Multi-start Raw data'!$B$6:$B$2225=$A83)*('Multi-start Raw data'!$C$6:$C$2225=K$6)*('Multi-start Raw data'!$J$6:$J$2225="Fully converged"))</f>
        <v>2.5310000000000001</v>
      </c>
      <c r="L83">
        <f t="array" ref="L83">SUM('Multi-start Raw data'!$D$6:$D$2225*('Multi-start Raw data'!$B$6:$B$2225=$A83)*('Multi-start Raw data'!$C$6:$C$2225=L$6)*('Multi-start Raw data'!$J$6:$J$2225="Fully converged"))</f>
        <v>2.5379999999999998</v>
      </c>
      <c r="M83">
        <f t="array" ref="M83">SUM('Multi-start Raw data'!$D$6:$D$2225*('Multi-start Raw data'!$B$6:$B$2225=$A83)*('Multi-start Raw data'!$C$6:$C$2225=M$6)*('Multi-start Raw data'!$J$6:$J$2225="Fully converged"))</f>
        <v>2.5379999999999998</v>
      </c>
      <c r="N83">
        <f t="array" ref="N83">SUM('Multi-start Raw data'!$D$6:$D$2225*('Multi-start Raw data'!$B$6:$B$2225=$A83)*('Multi-start Raw data'!$C$6:$C$2225=N$6)*('Multi-start Raw data'!$J$6:$J$2225="Fully converged"))</f>
        <v>2.5379999999999998</v>
      </c>
      <c r="O83">
        <f t="array" ref="O83">SUM('Multi-start Raw data'!$D$6:$D$2225*('Multi-start Raw data'!$B$6:$B$2225=$A83)*('Multi-start Raw data'!$C$6:$C$2225=O$6)*('Multi-start Raw data'!$J$6:$J$2225="Fully converged"))</f>
        <v>2.5350000000000001</v>
      </c>
      <c r="P83">
        <f t="array" ref="P83">SUM('Multi-start Raw data'!$D$6:$D$2225*('Multi-start Raw data'!$B$6:$B$2225=$A83)*('Multi-start Raw data'!$C$6:$C$2225=P$6)*('Multi-start Raw data'!$J$6:$J$2225="Fully converged"))</f>
        <v>2.5219999999999998</v>
      </c>
      <c r="Q83">
        <f t="array" ref="Q83">SUM('Multi-start Raw data'!$D$6:$D$2225*('Multi-start Raw data'!$B$6:$B$2225=$A83)*('Multi-start Raw data'!$C$6:$C$2225=Q$6)*('Multi-start Raw data'!$J$6:$J$2225="Fully converged"))</f>
        <v>0</v>
      </c>
      <c r="R83">
        <f t="array" ref="R83">SUM('Multi-start Raw data'!$D$6:$D$2225*('Multi-start Raw data'!$B$6:$B$2225=$A83)*('Multi-start Raw data'!$C$6:$C$2225=R$6)*('Multi-start Raw data'!$J$6:$J$2225="Fully converged"))</f>
        <v>2.5209999999999999</v>
      </c>
      <c r="S83">
        <f t="array" ref="S83">SUM('Multi-start Raw data'!$D$6:$D$2225*('Multi-start Raw data'!$B$6:$B$2225=$A83)*('Multi-start Raw data'!$C$6:$C$2225=S$6)*('Multi-start Raw data'!$J$6:$J$2225="Fully converged"))</f>
        <v>2.4860000000000002</v>
      </c>
      <c r="T83">
        <f t="array" ref="T83">SUM('Multi-start Raw data'!$D$6:$D$2225*('Multi-start Raw data'!$B$6:$B$2225=$A83)*('Multi-start Raw data'!$C$6:$C$2225=T$6)*('Multi-start Raw data'!$J$6:$J$2225="Fully converged"))</f>
        <v>2.5379999999999998</v>
      </c>
      <c r="U83">
        <f t="array" ref="U83">SUM('Multi-start Raw data'!$D$6:$D$2225*('Multi-start Raw data'!$B$6:$B$2225=$A83)*('Multi-start Raw data'!$C$6:$C$2225=U$6)*('Multi-start Raw data'!$J$6:$J$2225="Fully converged"))</f>
        <v>2.532</v>
      </c>
      <c r="W83" s="6">
        <f t="shared" si="29"/>
        <v>2.5379999999999998</v>
      </c>
      <c r="X83" s="6">
        <f t="shared" si="30"/>
        <v>2.5379999999999998</v>
      </c>
      <c r="Y83" s="6">
        <f t="shared" si="31"/>
        <v>2.5379999999999998</v>
      </c>
      <c r="Z83" s="6">
        <f t="shared" si="32"/>
        <v>2.5379999999999998</v>
      </c>
      <c r="AA83" s="6">
        <f t="shared" si="33"/>
        <v>2.5379999999999998</v>
      </c>
      <c r="AB83" s="6"/>
      <c r="AC83" s="6">
        <f t="shared" si="34"/>
        <v>0</v>
      </c>
      <c r="AD83" s="6">
        <f t="shared" si="35"/>
        <v>0</v>
      </c>
      <c r="AE83" s="6">
        <f t="shared" si="36"/>
        <v>0</v>
      </c>
      <c r="AF83" s="6">
        <f t="shared" si="37"/>
        <v>0</v>
      </c>
      <c r="AG83" s="6">
        <f t="shared" si="24"/>
        <v>0</v>
      </c>
      <c r="AH83" s="6">
        <f t="shared" si="25"/>
        <v>0</v>
      </c>
      <c r="AI83" s="6">
        <f t="shared" si="26"/>
        <v>0</v>
      </c>
      <c r="AJ83" s="6">
        <f t="shared" si="27"/>
        <v>0</v>
      </c>
      <c r="AK83" s="6">
        <f t="shared" si="28"/>
        <v>0</v>
      </c>
      <c r="AM83" s="16">
        <f t="shared" si="38"/>
        <v>0.1</v>
      </c>
    </row>
    <row r="84" spans="1:39" x14ac:dyDescent="0.3">
      <c r="A84" s="1" t="s">
        <v>1885</v>
      </c>
      <c r="B84">
        <f t="array" ref="B84">SUM('Multi-start Raw data'!$D$6:$D$2225*('Multi-start Raw data'!$B$6:$B$2225=$A84)*('Multi-start Raw data'!$C$6:$C$2225=B$6)*('Multi-start Raw data'!$J$6:$J$2225="Fully converged"))</f>
        <v>2.4780000000000002</v>
      </c>
      <c r="C84">
        <f t="array" ref="C84">SUM('Multi-start Raw data'!$D$6:$D$2225*('Multi-start Raw data'!$B$6:$B$2225=$A84)*('Multi-start Raw data'!$C$6:$C$2225=C$6)*('Multi-start Raw data'!$J$6:$J$2225="Fully converged"))</f>
        <v>2.476</v>
      </c>
      <c r="D84">
        <f t="array" ref="D84">SUM('Multi-start Raw data'!$D$6:$D$2225*('Multi-start Raw data'!$B$6:$B$2225=$A84)*('Multi-start Raw data'!$C$6:$C$2225=D$6)*('Multi-start Raw data'!$J$6:$J$2225="Fully converged"))</f>
        <v>2.46</v>
      </c>
      <c r="E84">
        <f t="array" ref="E84">SUM('Multi-start Raw data'!$D$6:$D$2225*('Multi-start Raw data'!$B$6:$B$2225=$A84)*('Multi-start Raw data'!$C$6:$C$2225=E$6)*('Multi-start Raw data'!$J$6:$J$2225="Fully converged"))</f>
        <v>2.4809999999999999</v>
      </c>
      <c r="F84">
        <f t="array" ref="F84">SUM('Multi-start Raw data'!$D$6:$D$2225*('Multi-start Raw data'!$B$6:$B$2225=$A84)*('Multi-start Raw data'!$C$6:$C$2225=F$6)*('Multi-start Raw data'!$J$6:$J$2225="Fully converged"))</f>
        <v>2.48</v>
      </c>
      <c r="G84">
        <f t="array" ref="G84">SUM('Multi-start Raw data'!$D$6:$D$2225*('Multi-start Raw data'!$B$6:$B$2225=$A84)*('Multi-start Raw data'!$C$6:$C$2225=G$6)*('Multi-start Raw data'!$J$6:$J$2225="Fully converged"))</f>
        <v>2.4830000000000001</v>
      </c>
      <c r="H84">
        <f t="array" ref="H84">SUM('Multi-start Raw data'!$D$6:$D$2225*('Multi-start Raw data'!$B$6:$B$2225=$A84)*('Multi-start Raw data'!$C$6:$C$2225=H$6)*('Multi-start Raw data'!$J$6:$J$2225="Fully converged"))</f>
        <v>2.4630000000000001</v>
      </c>
      <c r="I84">
        <f t="array" ref="I84">SUM('Multi-start Raw data'!$D$6:$D$2225*('Multi-start Raw data'!$B$6:$B$2225=$A84)*('Multi-start Raw data'!$C$6:$C$2225=I$6)*('Multi-start Raw data'!$J$6:$J$2225="Fully converged"))</f>
        <v>2.4830000000000001</v>
      </c>
      <c r="J84">
        <f t="array" ref="J84">SUM('Multi-start Raw data'!$D$6:$D$2225*('Multi-start Raw data'!$B$6:$B$2225=$A84)*('Multi-start Raw data'!$C$6:$C$2225=J$6)*('Multi-start Raw data'!$J$6:$J$2225="Fully converged"))</f>
        <v>2.48</v>
      </c>
      <c r="K84">
        <f t="array" ref="K84">SUM('Multi-start Raw data'!$D$6:$D$2225*('Multi-start Raw data'!$B$6:$B$2225=$A84)*('Multi-start Raw data'!$C$6:$C$2225=K$6)*('Multi-start Raw data'!$J$6:$J$2225="Fully converged"))</f>
        <v>2.4569999999999999</v>
      </c>
      <c r="L84">
        <f t="array" ref="L84">SUM('Multi-start Raw data'!$D$6:$D$2225*('Multi-start Raw data'!$B$6:$B$2225=$A84)*('Multi-start Raw data'!$C$6:$C$2225=L$6)*('Multi-start Raw data'!$J$6:$J$2225="Fully converged"))</f>
        <v>2.4830000000000001</v>
      </c>
      <c r="M84">
        <f t="array" ref="M84">SUM('Multi-start Raw data'!$D$6:$D$2225*('Multi-start Raw data'!$B$6:$B$2225=$A84)*('Multi-start Raw data'!$C$6:$C$2225=M$6)*('Multi-start Raw data'!$J$6:$J$2225="Fully converged"))</f>
        <v>2.472</v>
      </c>
      <c r="N84">
        <f t="array" ref="N84">SUM('Multi-start Raw data'!$D$6:$D$2225*('Multi-start Raw data'!$B$6:$B$2225=$A84)*('Multi-start Raw data'!$C$6:$C$2225=N$6)*('Multi-start Raw data'!$J$6:$J$2225="Fully converged"))</f>
        <v>2.4830000000000001</v>
      </c>
      <c r="O84">
        <f t="array" ref="O84">SUM('Multi-start Raw data'!$D$6:$D$2225*('Multi-start Raw data'!$B$6:$B$2225=$A84)*('Multi-start Raw data'!$C$6:$C$2225=O$6)*('Multi-start Raw data'!$J$6:$J$2225="Fully converged"))</f>
        <v>2.4809999999999999</v>
      </c>
      <c r="P84">
        <f t="array" ref="P84">SUM('Multi-start Raw data'!$D$6:$D$2225*('Multi-start Raw data'!$B$6:$B$2225=$A84)*('Multi-start Raw data'!$C$6:$C$2225=P$6)*('Multi-start Raw data'!$J$6:$J$2225="Fully converged"))</f>
        <v>2.4830000000000001</v>
      </c>
      <c r="Q84">
        <f t="array" ref="Q84">SUM('Multi-start Raw data'!$D$6:$D$2225*('Multi-start Raw data'!$B$6:$B$2225=$A84)*('Multi-start Raw data'!$C$6:$C$2225=Q$6)*('Multi-start Raw data'!$J$6:$J$2225="Fully converged"))</f>
        <v>2.48</v>
      </c>
      <c r="R84">
        <f t="array" ref="R84">SUM('Multi-start Raw data'!$D$6:$D$2225*('Multi-start Raw data'!$B$6:$B$2225=$A84)*('Multi-start Raw data'!$C$6:$C$2225=R$6)*('Multi-start Raw data'!$J$6:$J$2225="Fully converged"))</f>
        <v>2.4809999999999999</v>
      </c>
      <c r="S84">
        <f t="array" ref="S84">SUM('Multi-start Raw data'!$D$6:$D$2225*('Multi-start Raw data'!$B$6:$B$2225=$A84)*('Multi-start Raw data'!$C$6:$C$2225=S$6)*('Multi-start Raw data'!$J$6:$J$2225="Fully converged"))</f>
        <v>2.4830000000000001</v>
      </c>
      <c r="T84">
        <f t="array" ref="T84">SUM('Multi-start Raw data'!$D$6:$D$2225*('Multi-start Raw data'!$B$6:$B$2225=$A84)*('Multi-start Raw data'!$C$6:$C$2225=T$6)*('Multi-start Raw data'!$J$6:$J$2225="Fully converged"))</f>
        <v>2.4660000000000002</v>
      </c>
      <c r="U84">
        <f t="array" ref="U84">SUM('Multi-start Raw data'!$D$6:$D$2225*('Multi-start Raw data'!$B$6:$B$2225=$A84)*('Multi-start Raw data'!$C$6:$C$2225=U$6)*('Multi-start Raw data'!$J$6:$J$2225="Fully converged"))</f>
        <v>2.4830000000000001</v>
      </c>
      <c r="W84" s="6">
        <f t="shared" si="29"/>
        <v>2.4809999999999999</v>
      </c>
      <c r="X84" s="6">
        <f t="shared" si="30"/>
        <v>2.4830000000000001</v>
      </c>
      <c r="Y84" s="6">
        <f t="shared" si="31"/>
        <v>2.4830000000000001</v>
      </c>
      <c r="Z84" s="6">
        <f t="shared" si="32"/>
        <v>2.4830000000000001</v>
      </c>
      <c r="AA84" s="6">
        <f t="shared" si="33"/>
        <v>2.4830000000000001</v>
      </c>
      <c r="AB84" s="6"/>
      <c r="AC84" s="6">
        <f t="shared" si="34"/>
        <v>2.0000000000002238E-3</v>
      </c>
      <c r="AD84" s="6">
        <f t="shared" si="35"/>
        <v>0</v>
      </c>
      <c r="AE84" s="6">
        <f t="shared" si="36"/>
        <v>0</v>
      </c>
      <c r="AF84" s="6">
        <f t="shared" si="37"/>
        <v>0</v>
      </c>
      <c r="AG84" s="6">
        <f t="shared" si="24"/>
        <v>8.0547724526791126E-2</v>
      </c>
      <c r="AH84" s="6">
        <f t="shared" si="25"/>
        <v>0</v>
      </c>
      <c r="AI84" s="6">
        <f t="shared" si="26"/>
        <v>0</v>
      </c>
      <c r="AJ84" s="6">
        <f t="shared" si="27"/>
        <v>0</v>
      </c>
      <c r="AK84" s="6">
        <f t="shared" si="28"/>
        <v>0</v>
      </c>
      <c r="AM84" s="16">
        <f t="shared" si="38"/>
        <v>0.1</v>
      </c>
    </row>
    <row r="85" spans="1:39" x14ac:dyDescent="0.3">
      <c r="A85" s="1" t="s">
        <v>1904</v>
      </c>
      <c r="B85">
        <f t="array" ref="B85">SUM('Multi-start Raw data'!$D$6:$D$2225*('Multi-start Raw data'!$B$6:$B$2225=$A85)*('Multi-start Raw data'!$C$6:$C$2225=B$6)*('Multi-start Raw data'!$J$6:$J$2225="Fully converged"))</f>
        <v>2.4849999999999999</v>
      </c>
      <c r="C85">
        <f t="array" ref="C85">SUM('Multi-start Raw data'!$D$6:$D$2225*('Multi-start Raw data'!$B$6:$B$2225=$A85)*('Multi-start Raw data'!$C$6:$C$2225=C$6)*('Multi-start Raw data'!$J$6:$J$2225="Fully converged"))</f>
        <v>2.4849999999999999</v>
      </c>
      <c r="D85">
        <f t="array" ref="D85">SUM('Multi-start Raw data'!$D$6:$D$2225*('Multi-start Raw data'!$B$6:$B$2225=$A85)*('Multi-start Raw data'!$C$6:$C$2225=D$6)*('Multi-start Raw data'!$J$6:$J$2225="Fully converged"))</f>
        <v>2.4710000000000001</v>
      </c>
      <c r="E85">
        <f t="array" ref="E85">SUM('Multi-start Raw data'!$D$6:$D$2225*('Multi-start Raw data'!$B$6:$B$2225=$A85)*('Multi-start Raw data'!$C$6:$C$2225=E$6)*('Multi-start Raw data'!$J$6:$J$2225="Fully converged"))</f>
        <v>2.4849999999999999</v>
      </c>
      <c r="F85">
        <f t="array" ref="F85">SUM('Multi-start Raw data'!$D$6:$D$2225*('Multi-start Raw data'!$B$6:$B$2225=$A85)*('Multi-start Raw data'!$C$6:$C$2225=F$6)*('Multi-start Raw data'!$J$6:$J$2225="Fully converged"))</f>
        <v>2.4849999999999999</v>
      </c>
      <c r="G85">
        <f t="array" ref="G85">SUM('Multi-start Raw data'!$D$6:$D$2225*('Multi-start Raw data'!$B$6:$B$2225=$A85)*('Multi-start Raw data'!$C$6:$C$2225=G$6)*('Multi-start Raw data'!$J$6:$J$2225="Fully converged"))</f>
        <v>2.4870000000000001</v>
      </c>
      <c r="H85">
        <f t="array" ref="H85">SUM('Multi-start Raw data'!$D$6:$D$2225*('Multi-start Raw data'!$B$6:$B$2225=$A85)*('Multi-start Raw data'!$C$6:$C$2225=H$6)*('Multi-start Raw data'!$J$6:$J$2225="Fully converged"))</f>
        <v>2.4870000000000001</v>
      </c>
      <c r="I85">
        <f t="array" ref="I85">SUM('Multi-start Raw data'!$D$6:$D$2225*('Multi-start Raw data'!$B$6:$B$2225=$A85)*('Multi-start Raw data'!$C$6:$C$2225=I$6)*('Multi-start Raw data'!$J$6:$J$2225="Fully converged"))</f>
        <v>2.4820000000000002</v>
      </c>
      <c r="J85">
        <f t="array" ref="J85">SUM('Multi-start Raw data'!$D$6:$D$2225*('Multi-start Raw data'!$B$6:$B$2225=$A85)*('Multi-start Raw data'!$C$6:$C$2225=J$6)*('Multi-start Raw data'!$J$6:$J$2225="Fully converged"))</f>
        <v>2.4870000000000001</v>
      </c>
      <c r="K85">
        <f t="array" ref="K85">SUM('Multi-start Raw data'!$D$6:$D$2225*('Multi-start Raw data'!$B$6:$B$2225=$A85)*('Multi-start Raw data'!$C$6:$C$2225=K$6)*('Multi-start Raw data'!$J$6:$J$2225="Fully converged"))</f>
        <v>2.4870000000000001</v>
      </c>
      <c r="L85">
        <f t="array" ref="L85">SUM('Multi-start Raw data'!$D$6:$D$2225*('Multi-start Raw data'!$B$6:$B$2225=$A85)*('Multi-start Raw data'!$C$6:$C$2225=L$6)*('Multi-start Raw data'!$J$6:$J$2225="Fully converged"))</f>
        <v>2.4849999999999999</v>
      </c>
      <c r="M85">
        <f t="array" ref="M85">SUM('Multi-start Raw data'!$D$6:$D$2225*('Multi-start Raw data'!$B$6:$B$2225=$A85)*('Multi-start Raw data'!$C$6:$C$2225=M$6)*('Multi-start Raw data'!$J$6:$J$2225="Fully converged"))</f>
        <v>2.4820000000000002</v>
      </c>
      <c r="N85">
        <f t="array" ref="N85">SUM('Multi-start Raw data'!$D$6:$D$2225*('Multi-start Raw data'!$B$6:$B$2225=$A85)*('Multi-start Raw data'!$C$6:$C$2225=N$6)*('Multi-start Raw data'!$J$6:$J$2225="Fully converged"))</f>
        <v>2.4870000000000001</v>
      </c>
      <c r="O85">
        <f t="array" ref="O85">SUM('Multi-start Raw data'!$D$6:$D$2225*('Multi-start Raw data'!$B$6:$B$2225=$A85)*('Multi-start Raw data'!$C$6:$C$2225=O$6)*('Multi-start Raw data'!$J$6:$J$2225="Fully converged"))</f>
        <v>2.4870000000000001</v>
      </c>
      <c r="P85">
        <f t="array" ref="P85">SUM('Multi-start Raw data'!$D$6:$D$2225*('Multi-start Raw data'!$B$6:$B$2225=$A85)*('Multi-start Raw data'!$C$6:$C$2225=P$6)*('Multi-start Raw data'!$J$6:$J$2225="Fully converged"))</f>
        <v>2.4870000000000001</v>
      </c>
      <c r="Q85">
        <f t="array" ref="Q85">SUM('Multi-start Raw data'!$D$6:$D$2225*('Multi-start Raw data'!$B$6:$B$2225=$A85)*('Multi-start Raw data'!$C$6:$C$2225=Q$6)*('Multi-start Raw data'!$J$6:$J$2225="Fully converged"))</f>
        <v>0</v>
      </c>
      <c r="R85">
        <f t="array" ref="R85">SUM('Multi-start Raw data'!$D$6:$D$2225*('Multi-start Raw data'!$B$6:$B$2225=$A85)*('Multi-start Raw data'!$C$6:$C$2225=R$6)*('Multi-start Raw data'!$J$6:$J$2225="Fully converged"))</f>
        <v>0</v>
      </c>
      <c r="S85">
        <f t="array" ref="S85">SUM('Multi-start Raw data'!$D$6:$D$2225*('Multi-start Raw data'!$B$6:$B$2225=$A85)*('Multi-start Raw data'!$C$6:$C$2225=S$6)*('Multi-start Raw data'!$J$6:$J$2225="Fully converged"))</f>
        <v>2.4860000000000002</v>
      </c>
      <c r="T85">
        <f t="array" ref="T85">SUM('Multi-start Raw data'!$D$6:$D$2225*('Multi-start Raw data'!$B$6:$B$2225=$A85)*('Multi-start Raw data'!$C$6:$C$2225=T$6)*('Multi-start Raw data'!$J$6:$J$2225="Fully converged"))</f>
        <v>0</v>
      </c>
      <c r="U85">
        <f t="array" ref="U85">SUM('Multi-start Raw data'!$D$6:$D$2225*('Multi-start Raw data'!$B$6:$B$2225=$A85)*('Multi-start Raw data'!$C$6:$C$2225=U$6)*('Multi-start Raw data'!$J$6:$J$2225="Fully converged"))</f>
        <v>2.4870000000000001</v>
      </c>
      <c r="W85" s="6">
        <f t="shared" si="29"/>
        <v>2.4849999999999999</v>
      </c>
      <c r="X85" s="6">
        <f t="shared" si="30"/>
        <v>2.4870000000000001</v>
      </c>
      <c r="Y85" s="6">
        <f t="shared" si="31"/>
        <v>2.4870000000000001</v>
      </c>
      <c r="Z85" s="6">
        <f t="shared" si="32"/>
        <v>2.4870000000000001</v>
      </c>
      <c r="AA85" s="6">
        <f t="shared" si="33"/>
        <v>2.4870000000000001</v>
      </c>
      <c r="AB85" s="6"/>
      <c r="AC85" s="6">
        <f t="shared" si="34"/>
        <v>2.0000000000002238E-3</v>
      </c>
      <c r="AD85" s="6">
        <f t="shared" si="35"/>
        <v>0</v>
      </c>
      <c r="AE85" s="6">
        <f t="shared" si="36"/>
        <v>0</v>
      </c>
      <c r="AF85" s="6">
        <f t="shared" si="37"/>
        <v>0</v>
      </c>
      <c r="AG85" s="6">
        <f t="shared" si="24"/>
        <v>8.0418174507447676E-2</v>
      </c>
      <c r="AH85" s="6">
        <f t="shared" si="25"/>
        <v>0</v>
      </c>
      <c r="AI85" s="6">
        <f t="shared" si="26"/>
        <v>0</v>
      </c>
      <c r="AJ85" s="6">
        <f t="shared" si="27"/>
        <v>0</v>
      </c>
      <c r="AK85" s="6">
        <f t="shared" si="28"/>
        <v>0</v>
      </c>
      <c r="AM85" s="16">
        <f t="shared" si="38"/>
        <v>0.1</v>
      </c>
    </row>
    <row r="86" spans="1:39" x14ac:dyDescent="0.3">
      <c r="A86" s="1" t="s">
        <v>1922</v>
      </c>
      <c r="B86">
        <f t="array" ref="B86">SUM('Multi-start Raw data'!$D$6:$D$2225*('Multi-start Raw data'!$B$6:$B$2225=$A86)*('Multi-start Raw data'!$C$6:$C$2225=B$6)*('Multi-start Raw data'!$J$6:$J$2225="Fully converged"))</f>
        <v>2.4980000000000002</v>
      </c>
      <c r="C86">
        <f t="array" ref="C86">SUM('Multi-start Raw data'!$D$6:$D$2225*('Multi-start Raw data'!$B$6:$B$2225=$A86)*('Multi-start Raw data'!$C$6:$C$2225=C$6)*('Multi-start Raw data'!$J$6:$J$2225="Fully converged"))</f>
        <v>2.512</v>
      </c>
      <c r="D86">
        <f t="array" ref="D86">SUM('Multi-start Raw data'!$D$6:$D$2225*('Multi-start Raw data'!$B$6:$B$2225=$A86)*('Multi-start Raw data'!$C$6:$C$2225=D$6)*('Multi-start Raw data'!$J$6:$J$2225="Fully converged"))</f>
        <v>2.516</v>
      </c>
      <c r="E86">
        <f t="array" ref="E86">SUM('Multi-start Raw data'!$D$6:$D$2225*('Multi-start Raw data'!$B$6:$B$2225=$A86)*('Multi-start Raw data'!$C$6:$C$2225=E$6)*('Multi-start Raw data'!$J$6:$J$2225="Fully converged"))</f>
        <v>2.4710000000000001</v>
      </c>
      <c r="F86">
        <f t="array" ref="F86">SUM('Multi-start Raw data'!$D$6:$D$2225*('Multi-start Raw data'!$B$6:$B$2225=$A86)*('Multi-start Raw data'!$C$6:$C$2225=F$6)*('Multi-start Raw data'!$J$6:$J$2225="Fully converged"))</f>
        <v>2.4980000000000002</v>
      </c>
      <c r="G86">
        <f t="array" ref="G86">SUM('Multi-start Raw data'!$D$6:$D$2225*('Multi-start Raw data'!$B$6:$B$2225=$A86)*('Multi-start Raw data'!$C$6:$C$2225=G$6)*('Multi-start Raw data'!$J$6:$J$2225="Fully converged"))</f>
        <v>2.5129999999999999</v>
      </c>
      <c r="H86">
        <f t="array" ref="H86">SUM('Multi-start Raw data'!$D$6:$D$2225*('Multi-start Raw data'!$B$6:$B$2225=$A86)*('Multi-start Raw data'!$C$6:$C$2225=H$6)*('Multi-start Raw data'!$J$6:$J$2225="Fully converged"))</f>
        <v>2.492</v>
      </c>
      <c r="I86">
        <f t="array" ref="I86">SUM('Multi-start Raw data'!$D$6:$D$2225*('Multi-start Raw data'!$B$6:$B$2225=$A86)*('Multi-start Raw data'!$C$6:$C$2225=I$6)*('Multi-start Raw data'!$J$6:$J$2225="Fully converged"))</f>
        <v>2.516</v>
      </c>
      <c r="J86">
        <f t="array" ref="J86">SUM('Multi-start Raw data'!$D$6:$D$2225*('Multi-start Raw data'!$B$6:$B$2225=$A86)*('Multi-start Raw data'!$C$6:$C$2225=J$6)*('Multi-start Raw data'!$J$6:$J$2225="Fully converged"))</f>
        <v>2.5129999999999999</v>
      </c>
      <c r="K86">
        <f t="array" ref="K86">SUM('Multi-start Raw data'!$D$6:$D$2225*('Multi-start Raw data'!$B$6:$B$2225=$A86)*('Multi-start Raw data'!$C$6:$C$2225=K$6)*('Multi-start Raw data'!$J$6:$J$2225="Fully converged"))</f>
        <v>2.4940000000000002</v>
      </c>
      <c r="L86">
        <f t="array" ref="L86">SUM('Multi-start Raw data'!$D$6:$D$2225*('Multi-start Raw data'!$B$6:$B$2225=$A86)*('Multi-start Raw data'!$C$6:$C$2225=L$6)*('Multi-start Raw data'!$J$6:$J$2225="Fully converged"))</f>
        <v>2.512</v>
      </c>
      <c r="M86">
        <f t="array" ref="M86">SUM('Multi-start Raw data'!$D$6:$D$2225*('Multi-start Raw data'!$B$6:$B$2225=$A86)*('Multi-start Raw data'!$C$6:$C$2225=M$6)*('Multi-start Raw data'!$J$6:$J$2225="Fully converged"))</f>
        <v>2.5</v>
      </c>
      <c r="N86">
        <f t="array" ref="N86">SUM('Multi-start Raw data'!$D$6:$D$2225*('Multi-start Raw data'!$B$6:$B$2225=$A86)*('Multi-start Raw data'!$C$6:$C$2225=N$6)*('Multi-start Raw data'!$J$6:$J$2225="Fully converged"))</f>
        <v>2.516</v>
      </c>
      <c r="O86">
        <f t="array" ref="O86">SUM('Multi-start Raw data'!$D$6:$D$2225*('Multi-start Raw data'!$B$6:$B$2225=$A86)*('Multi-start Raw data'!$C$6:$C$2225=O$6)*('Multi-start Raw data'!$J$6:$J$2225="Fully converged"))</f>
        <v>0</v>
      </c>
      <c r="P86">
        <f t="array" ref="P86">SUM('Multi-start Raw data'!$D$6:$D$2225*('Multi-start Raw data'!$B$6:$B$2225=$A86)*('Multi-start Raw data'!$C$6:$C$2225=P$6)*('Multi-start Raw data'!$J$6:$J$2225="Fully converged"))</f>
        <v>2.5</v>
      </c>
      <c r="Q86">
        <f t="array" ref="Q86">SUM('Multi-start Raw data'!$D$6:$D$2225*('Multi-start Raw data'!$B$6:$B$2225=$A86)*('Multi-start Raw data'!$C$6:$C$2225=Q$6)*('Multi-start Raw data'!$J$6:$J$2225="Fully converged"))</f>
        <v>2.516</v>
      </c>
      <c r="R86">
        <f t="array" ref="R86">SUM('Multi-start Raw data'!$D$6:$D$2225*('Multi-start Raw data'!$B$6:$B$2225=$A86)*('Multi-start Raw data'!$C$6:$C$2225=R$6)*('Multi-start Raw data'!$J$6:$J$2225="Fully converged"))</f>
        <v>2.5099999999999998</v>
      </c>
      <c r="S86">
        <f t="array" ref="S86">SUM('Multi-start Raw data'!$D$6:$D$2225*('Multi-start Raw data'!$B$6:$B$2225=$A86)*('Multi-start Raw data'!$C$6:$C$2225=S$6)*('Multi-start Raw data'!$J$6:$J$2225="Fully converged"))</f>
        <v>2.516</v>
      </c>
      <c r="T86">
        <f t="array" ref="T86">SUM('Multi-start Raw data'!$D$6:$D$2225*('Multi-start Raw data'!$B$6:$B$2225=$A86)*('Multi-start Raw data'!$C$6:$C$2225=T$6)*('Multi-start Raw data'!$J$6:$J$2225="Fully converged"))</f>
        <v>2.5009999999999999</v>
      </c>
      <c r="U86">
        <f t="array" ref="U86">SUM('Multi-start Raw data'!$D$6:$D$2225*('Multi-start Raw data'!$B$6:$B$2225=$A86)*('Multi-start Raw data'!$C$6:$C$2225=U$6)*('Multi-start Raw data'!$J$6:$J$2225="Fully converged"))</f>
        <v>2.512</v>
      </c>
      <c r="W86" s="6">
        <f t="shared" si="29"/>
        <v>2.516</v>
      </c>
      <c r="X86" s="6">
        <f t="shared" si="30"/>
        <v>2.516</v>
      </c>
      <c r="Y86" s="6">
        <f t="shared" si="31"/>
        <v>2.516</v>
      </c>
      <c r="Z86" s="6">
        <f t="shared" si="32"/>
        <v>2.516</v>
      </c>
      <c r="AA86" s="6">
        <f t="shared" si="33"/>
        <v>2.516</v>
      </c>
      <c r="AB86" s="6"/>
      <c r="AC86" s="6">
        <f t="shared" si="34"/>
        <v>0</v>
      </c>
      <c r="AD86" s="6">
        <f t="shared" si="35"/>
        <v>0</v>
      </c>
      <c r="AE86" s="6">
        <f t="shared" si="36"/>
        <v>0</v>
      </c>
      <c r="AF86" s="6">
        <f t="shared" si="37"/>
        <v>0</v>
      </c>
      <c r="AG86" s="6">
        <f t="shared" si="24"/>
        <v>0</v>
      </c>
      <c r="AH86" s="6">
        <f t="shared" si="25"/>
        <v>0</v>
      </c>
      <c r="AI86" s="6">
        <f t="shared" si="26"/>
        <v>0</v>
      </c>
      <c r="AJ86" s="6">
        <f t="shared" si="27"/>
        <v>0</v>
      </c>
      <c r="AK86" s="6">
        <f t="shared" si="28"/>
        <v>0</v>
      </c>
      <c r="AM86" s="16">
        <f t="shared" si="38"/>
        <v>0.1</v>
      </c>
    </row>
    <row r="87" spans="1:39" x14ac:dyDescent="0.3">
      <c r="A87" s="1" t="s">
        <v>1938</v>
      </c>
      <c r="B87">
        <f t="array" ref="B87">SUM('Multi-start Raw data'!$D$6:$D$2225*('Multi-start Raw data'!$B$6:$B$2225=$A87)*('Multi-start Raw data'!$C$6:$C$2225=B$6)*('Multi-start Raw data'!$J$6:$J$2225="Fully converged"))</f>
        <v>2.5049999999999999</v>
      </c>
      <c r="C87">
        <f t="array" ref="C87">SUM('Multi-start Raw data'!$D$6:$D$2225*('Multi-start Raw data'!$B$6:$B$2225=$A87)*('Multi-start Raw data'!$C$6:$C$2225=C$6)*('Multi-start Raw data'!$J$6:$J$2225="Fully converged"))</f>
        <v>2.496</v>
      </c>
      <c r="D87">
        <f t="array" ref="D87">SUM('Multi-start Raw data'!$D$6:$D$2225*('Multi-start Raw data'!$B$6:$B$2225=$A87)*('Multi-start Raw data'!$C$6:$C$2225=D$6)*('Multi-start Raw data'!$J$6:$J$2225="Fully converged"))</f>
        <v>2.5049999999999999</v>
      </c>
      <c r="E87">
        <f t="array" ref="E87">SUM('Multi-start Raw data'!$D$6:$D$2225*('Multi-start Raw data'!$B$6:$B$2225=$A87)*('Multi-start Raw data'!$C$6:$C$2225=E$6)*('Multi-start Raw data'!$J$6:$J$2225="Fully converged"))</f>
        <v>0</v>
      </c>
      <c r="F87">
        <f t="array" ref="F87">SUM('Multi-start Raw data'!$D$6:$D$2225*('Multi-start Raw data'!$B$6:$B$2225=$A87)*('Multi-start Raw data'!$C$6:$C$2225=F$6)*('Multi-start Raw data'!$J$6:$J$2225="Fully converged"))</f>
        <v>2.5009999999999999</v>
      </c>
      <c r="G87">
        <f t="array" ref="G87">SUM('Multi-start Raw data'!$D$6:$D$2225*('Multi-start Raw data'!$B$6:$B$2225=$A87)*('Multi-start Raw data'!$C$6:$C$2225=G$6)*('Multi-start Raw data'!$J$6:$J$2225="Fully converged"))</f>
        <v>2.5019999999999998</v>
      </c>
      <c r="H87">
        <f t="array" ref="H87">SUM('Multi-start Raw data'!$D$6:$D$2225*('Multi-start Raw data'!$B$6:$B$2225=$A87)*('Multi-start Raw data'!$C$6:$C$2225=H$6)*('Multi-start Raw data'!$J$6:$J$2225="Fully converged"))</f>
        <v>2.484</v>
      </c>
      <c r="I87">
        <f t="array" ref="I87">SUM('Multi-start Raw data'!$D$6:$D$2225*('Multi-start Raw data'!$B$6:$B$2225=$A87)*('Multi-start Raw data'!$C$6:$C$2225=I$6)*('Multi-start Raw data'!$J$6:$J$2225="Fully converged"))</f>
        <v>2.5049999999999999</v>
      </c>
      <c r="J87">
        <f t="array" ref="J87">SUM('Multi-start Raw data'!$D$6:$D$2225*('Multi-start Raw data'!$B$6:$B$2225=$A87)*('Multi-start Raw data'!$C$6:$C$2225=J$6)*('Multi-start Raw data'!$J$6:$J$2225="Fully converged"))</f>
        <v>2.5019999999999998</v>
      </c>
      <c r="K87">
        <f t="array" ref="K87">SUM('Multi-start Raw data'!$D$6:$D$2225*('Multi-start Raw data'!$B$6:$B$2225=$A87)*('Multi-start Raw data'!$C$6:$C$2225=K$6)*('Multi-start Raw data'!$J$6:$J$2225="Fully converged"))</f>
        <v>2.4980000000000002</v>
      </c>
      <c r="L87">
        <f t="array" ref="L87">SUM('Multi-start Raw data'!$D$6:$D$2225*('Multi-start Raw data'!$B$6:$B$2225=$A87)*('Multi-start Raw data'!$C$6:$C$2225=L$6)*('Multi-start Raw data'!$J$6:$J$2225="Fully converged"))</f>
        <v>2.5049999999999999</v>
      </c>
      <c r="M87">
        <f t="array" ref="M87">SUM('Multi-start Raw data'!$D$6:$D$2225*('Multi-start Raw data'!$B$6:$B$2225=$A87)*('Multi-start Raw data'!$C$6:$C$2225=M$6)*('Multi-start Raw data'!$J$6:$J$2225="Fully converged"))</f>
        <v>2.5019999999999998</v>
      </c>
      <c r="N87">
        <f t="array" ref="N87">SUM('Multi-start Raw data'!$D$6:$D$2225*('Multi-start Raw data'!$B$6:$B$2225=$A87)*('Multi-start Raw data'!$C$6:$C$2225=N$6)*('Multi-start Raw data'!$J$6:$J$2225="Fully converged"))</f>
        <v>2.5019999999999998</v>
      </c>
      <c r="O87">
        <f t="array" ref="O87">SUM('Multi-start Raw data'!$D$6:$D$2225*('Multi-start Raw data'!$B$6:$B$2225=$A87)*('Multi-start Raw data'!$C$6:$C$2225=O$6)*('Multi-start Raw data'!$J$6:$J$2225="Fully converged"))</f>
        <v>2.5</v>
      </c>
      <c r="P87">
        <f t="array" ref="P87">SUM('Multi-start Raw data'!$D$6:$D$2225*('Multi-start Raw data'!$B$6:$B$2225=$A87)*('Multi-start Raw data'!$C$6:$C$2225=P$6)*('Multi-start Raw data'!$J$6:$J$2225="Fully converged"))</f>
        <v>0</v>
      </c>
      <c r="Q87">
        <f t="array" ref="Q87">SUM('Multi-start Raw data'!$D$6:$D$2225*('Multi-start Raw data'!$B$6:$B$2225=$A87)*('Multi-start Raw data'!$C$6:$C$2225=Q$6)*('Multi-start Raw data'!$J$6:$J$2225="Fully converged"))</f>
        <v>2.5049999999999999</v>
      </c>
      <c r="R87">
        <f t="array" ref="R87">SUM('Multi-start Raw data'!$D$6:$D$2225*('Multi-start Raw data'!$B$6:$B$2225=$A87)*('Multi-start Raw data'!$C$6:$C$2225=R$6)*('Multi-start Raw data'!$J$6:$J$2225="Fully converged"))</f>
        <v>2.5019999999999998</v>
      </c>
      <c r="S87">
        <f t="array" ref="S87">SUM('Multi-start Raw data'!$D$6:$D$2225*('Multi-start Raw data'!$B$6:$B$2225=$A87)*('Multi-start Raw data'!$C$6:$C$2225=S$6)*('Multi-start Raw data'!$J$6:$J$2225="Fully converged"))</f>
        <v>2.5009999999999999</v>
      </c>
      <c r="T87">
        <f t="array" ref="T87">SUM('Multi-start Raw data'!$D$6:$D$2225*('Multi-start Raw data'!$B$6:$B$2225=$A87)*('Multi-start Raw data'!$C$6:$C$2225=T$6)*('Multi-start Raw data'!$J$6:$J$2225="Fully converged"))</f>
        <v>2.5019999999999998</v>
      </c>
      <c r="U87">
        <f t="array" ref="U87">SUM('Multi-start Raw data'!$D$6:$D$2225*('Multi-start Raw data'!$B$6:$B$2225=$A87)*('Multi-start Raw data'!$C$6:$C$2225=U$6)*('Multi-start Raw data'!$J$6:$J$2225="Fully converged"))</f>
        <v>2.5</v>
      </c>
      <c r="W87" s="6">
        <f t="shared" si="29"/>
        <v>2.5049999999999999</v>
      </c>
      <c r="X87" s="6">
        <f t="shared" si="30"/>
        <v>2.5049999999999999</v>
      </c>
      <c r="Y87" s="6">
        <f t="shared" si="31"/>
        <v>2.5049999999999999</v>
      </c>
      <c r="Z87" s="6">
        <f t="shared" si="32"/>
        <v>2.5049999999999999</v>
      </c>
      <c r="AA87" s="6">
        <f t="shared" si="33"/>
        <v>2.5049999999999999</v>
      </c>
      <c r="AB87" s="6"/>
      <c r="AC87" s="6">
        <f t="shared" si="34"/>
        <v>0</v>
      </c>
      <c r="AD87" s="6">
        <f t="shared" si="35"/>
        <v>0</v>
      </c>
      <c r="AE87" s="6">
        <f t="shared" si="36"/>
        <v>0</v>
      </c>
      <c r="AF87" s="6">
        <f t="shared" si="37"/>
        <v>0</v>
      </c>
      <c r="AG87" s="6">
        <f t="shared" ref="AG87:AG116" si="39">IFERROR(($AA87-W87)/$AA87*100,0)</f>
        <v>0</v>
      </c>
      <c r="AH87" s="6">
        <f t="shared" ref="AH87:AH116" si="40">IFERROR(($AA87-X87)/$AA87*100,0)</f>
        <v>0</v>
      </c>
      <c r="AI87" s="6">
        <f t="shared" ref="AI87:AI116" si="41">IFERROR(($AA87-Y87)/$AA87*100,0)</f>
        <v>0</v>
      </c>
      <c r="AJ87" s="6">
        <f t="shared" ref="AJ87:AJ116" si="42">IFERROR(($AA87-Z87)/$AA87*100,0)</f>
        <v>0</v>
      </c>
      <c r="AK87" s="6">
        <f t="shared" ref="AK87:AK116" si="43">IFERROR(($AA87-AA87)/$AA87*100,0)</f>
        <v>0</v>
      </c>
      <c r="AM87" s="16">
        <f t="shared" si="38"/>
        <v>0.1</v>
      </c>
    </row>
    <row r="88" spans="1:39" x14ac:dyDescent="0.3">
      <c r="A88" s="1" t="s">
        <v>1953</v>
      </c>
      <c r="B88">
        <f t="array" ref="B88">SUM('Multi-start Raw data'!$D$6:$D$2225*('Multi-start Raw data'!$B$6:$B$2225=$A88)*('Multi-start Raw data'!$C$6:$C$2225=B$6)*('Multi-start Raw data'!$J$6:$J$2225="Fully converged"))</f>
        <v>2.4689999999999999</v>
      </c>
      <c r="C88">
        <f t="array" ref="C88">SUM('Multi-start Raw data'!$D$6:$D$2225*('Multi-start Raw data'!$B$6:$B$2225=$A88)*('Multi-start Raw data'!$C$6:$C$2225=C$6)*('Multi-start Raw data'!$J$6:$J$2225="Fully converged"))</f>
        <v>2.472</v>
      </c>
      <c r="D88">
        <f t="array" ref="D88">SUM('Multi-start Raw data'!$D$6:$D$2225*('Multi-start Raw data'!$B$6:$B$2225=$A88)*('Multi-start Raw data'!$C$6:$C$2225=D$6)*('Multi-start Raw data'!$J$6:$J$2225="Fully converged"))</f>
        <v>2.4510000000000001</v>
      </c>
      <c r="E88">
        <f t="array" ref="E88">SUM('Multi-start Raw data'!$D$6:$D$2225*('Multi-start Raw data'!$B$6:$B$2225=$A88)*('Multi-start Raw data'!$C$6:$C$2225=E$6)*('Multi-start Raw data'!$J$6:$J$2225="Fully converged"))</f>
        <v>2.4689999999999999</v>
      </c>
      <c r="F88">
        <f t="array" ref="F88">SUM('Multi-start Raw data'!$D$6:$D$2225*('Multi-start Raw data'!$B$6:$B$2225=$A88)*('Multi-start Raw data'!$C$6:$C$2225=F$6)*('Multi-start Raw data'!$J$6:$J$2225="Fully converged"))</f>
        <v>2.4510000000000001</v>
      </c>
      <c r="G88">
        <f t="array" ref="G88">SUM('Multi-start Raw data'!$D$6:$D$2225*('Multi-start Raw data'!$B$6:$B$2225=$A88)*('Multi-start Raw data'!$C$6:$C$2225=G$6)*('Multi-start Raw data'!$J$6:$J$2225="Fully converged"))</f>
        <v>2.4689999999999999</v>
      </c>
      <c r="H88">
        <f t="array" ref="H88">SUM('Multi-start Raw data'!$D$6:$D$2225*('Multi-start Raw data'!$B$6:$B$2225=$A88)*('Multi-start Raw data'!$C$6:$C$2225=H$6)*('Multi-start Raw data'!$J$6:$J$2225="Fully converged"))</f>
        <v>2.472</v>
      </c>
      <c r="I88">
        <f t="array" ref="I88">SUM('Multi-start Raw data'!$D$6:$D$2225*('Multi-start Raw data'!$B$6:$B$2225=$A88)*('Multi-start Raw data'!$C$6:$C$2225=I$6)*('Multi-start Raw data'!$J$6:$J$2225="Fully converged"))</f>
        <v>2.4689999999999999</v>
      </c>
      <c r="J88">
        <f t="array" ref="J88">SUM('Multi-start Raw data'!$D$6:$D$2225*('Multi-start Raw data'!$B$6:$B$2225=$A88)*('Multi-start Raw data'!$C$6:$C$2225=J$6)*('Multi-start Raw data'!$J$6:$J$2225="Fully converged"))</f>
        <v>2.4689999999999999</v>
      </c>
      <c r="K88">
        <f t="array" ref="K88">SUM('Multi-start Raw data'!$D$6:$D$2225*('Multi-start Raw data'!$B$6:$B$2225=$A88)*('Multi-start Raw data'!$C$6:$C$2225=K$6)*('Multi-start Raw data'!$J$6:$J$2225="Fully converged"))</f>
        <v>2.4209999999999998</v>
      </c>
      <c r="L88">
        <f t="array" ref="L88">SUM('Multi-start Raw data'!$D$6:$D$2225*('Multi-start Raw data'!$B$6:$B$2225=$A88)*('Multi-start Raw data'!$C$6:$C$2225=L$6)*('Multi-start Raw data'!$J$6:$J$2225="Fully converged"))</f>
        <v>2.4689999999999999</v>
      </c>
      <c r="M88">
        <f t="array" ref="M88">SUM('Multi-start Raw data'!$D$6:$D$2225*('Multi-start Raw data'!$B$6:$B$2225=$A88)*('Multi-start Raw data'!$C$6:$C$2225=M$6)*('Multi-start Raw data'!$J$6:$J$2225="Fully converged"))</f>
        <v>2.472</v>
      </c>
      <c r="N88">
        <f t="array" ref="N88">SUM('Multi-start Raw data'!$D$6:$D$2225*('Multi-start Raw data'!$B$6:$B$2225=$A88)*('Multi-start Raw data'!$C$6:$C$2225=N$6)*('Multi-start Raw data'!$J$6:$J$2225="Fully converged"))</f>
        <v>2.456</v>
      </c>
      <c r="O88">
        <f t="array" ref="O88">SUM('Multi-start Raw data'!$D$6:$D$2225*('Multi-start Raw data'!$B$6:$B$2225=$A88)*('Multi-start Raw data'!$C$6:$C$2225=O$6)*('Multi-start Raw data'!$J$6:$J$2225="Fully converged"))</f>
        <v>2.472</v>
      </c>
      <c r="P88">
        <f t="array" ref="P88">SUM('Multi-start Raw data'!$D$6:$D$2225*('Multi-start Raw data'!$B$6:$B$2225=$A88)*('Multi-start Raw data'!$C$6:$C$2225=P$6)*('Multi-start Raw data'!$J$6:$J$2225="Fully converged"))</f>
        <v>2.472</v>
      </c>
      <c r="Q88">
        <f t="array" ref="Q88">SUM('Multi-start Raw data'!$D$6:$D$2225*('Multi-start Raw data'!$B$6:$B$2225=$A88)*('Multi-start Raw data'!$C$6:$C$2225=Q$6)*('Multi-start Raw data'!$J$6:$J$2225="Fully converged"))</f>
        <v>2.472</v>
      </c>
      <c r="R88">
        <f t="array" ref="R88">SUM('Multi-start Raw data'!$D$6:$D$2225*('Multi-start Raw data'!$B$6:$B$2225=$A88)*('Multi-start Raw data'!$C$6:$C$2225=R$6)*('Multi-start Raw data'!$J$6:$J$2225="Fully converged"))</f>
        <v>2.4660000000000002</v>
      </c>
      <c r="S88">
        <f t="array" ref="S88">SUM('Multi-start Raw data'!$D$6:$D$2225*('Multi-start Raw data'!$B$6:$B$2225=$A88)*('Multi-start Raw data'!$C$6:$C$2225=S$6)*('Multi-start Raw data'!$J$6:$J$2225="Fully converged"))</f>
        <v>2.4409999999999998</v>
      </c>
      <c r="T88">
        <f t="array" ref="T88">SUM('Multi-start Raw data'!$D$6:$D$2225*('Multi-start Raw data'!$B$6:$B$2225=$A88)*('Multi-start Raw data'!$C$6:$C$2225=T$6)*('Multi-start Raw data'!$J$6:$J$2225="Fully converged"))</f>
        <v>2.468</v>
      </c>
      <c r="U88">
        <f t="array" ref="U88">SUM('Multi-start Raw data'!$D$6:$D$2225*('Multi-start Raw data'!$B$6:$B$2225=$A88)*('Multi-start Raw data'!$C$6:$C$2225=U$6)*('Multi-start Raw data'!$J$6:$J$2225="Fully converged"))</f>
        <v>2.468</v>
      </c>
      <c r="W88" s="6">
        <f t="shared" si="29"/>
        <v>2.472</v>
      </c>
      <c r="X88" s="6">
        <f t="shared" si="30"/>
        <v>2.472</v>
      </c>
      <c r="Y88" s="6">
        <f t="shared" si="31"/>
        <v>2.472</v>
      </c>
      <c r="Z88" s="6">
        <f t="shared" si="32"/>
        <v>2.472</v>
      </c>
      <c r="AA88" s="6">
        <f t="shared" si="33"/>
        <v>2.472</v>
      </c>
      <c r="AB88" s="6"/>
      <c r="AC88" s="6">
        <f t="shared" si="34"/>
        <v>0</v>
      </c>
      <c r="AD88" s="6">
        <f t="shared" si="35"/>
        <v>0</v>
      </c>
      <c r="AE88" s="6">
        <f t="shared" si="36"/>
        <v>0</v>
      </c>
      <c r="AF88" s="6">
        <f t="shared" si="37"/>
        <v>0</v>
      </c>
      <c r="AG88" s="6">
        <f t="shared" si="39"/>
        <v>0</v>
      </c>
      <c r="AH88" s="6">
        <f t="shared" si="40"/>
        <v>0</v>
      </c>
      <c r="AI88" s="6">
        <f t="shared" si="41"/>
        <v>0</v>
      </c>
      <c r="AJ88" s="6">
        <f t="shared" si="42"/>
        <v>0</v>
      </c>
      <c r="AK88" s="6">
        <f t="shared" si="43"/>
        <v>0</v>
      </c>
      <c r="AM88" s="16">
        <f t="shared" si="38"/>
        <v>0.1</v>
      </c>
    </row>
    <row r="89" spans="1:39" x14ac:dyDescent="0.3">
      <c r="A89" s="1" t="s">
        <v>1971</v>
      </c>
      <c r="B89">
        <f t="array" ref="B89">SUM('Multi-start Raw data'!$D$6:$D$2225*('Multi-start Raw data'!$B$6:$B$2225=$A89)*('Multi-start Raw data'!$C$6:$C$2225=B$6)*('Multi-start Raw data'!$J$6:$J$2225="Fully converged"))</f>
        <v>2.5209999999999999</v>
      </c>
      <c r="C89">
        <f t="array" ref="C89">SUM('Multi-start Raw data'!$D$6:$D$2225*('Multi-start Raw data'!$B$6:$B$2225=$A89)*('Multi-start Raw data'!$C$6:$C$2225=C$6)*('Multi-start Raw data'!$J$6:$J$2225="Fully converged"))</f>
        <v>2.516</v>
      </c>
      <c r="D89">
        <f t="array" ref="D89">SUM('Multi-start Raw data'!$D$6:$D$2225*('Multi-start Raw data'!$B$6:$B$2225=$A89)*('Multi-start Raw data'!$C$6:$C$2225=D$6)*('Multi-start Raw data'!$J$6:$J$2225="Fully converged"))</f>
        <v>2.512</v>
      </c>
      <c r="E89">
        <f t="array" ref="E89">SUM('Multi-start Raw data'!$D$6:$D$2225*('Multi-start Raw data'!$B$6:$B$2225=$A89)*('Multi-start Raw data'!$C$6:$C$2225=E$6)*('Multi-start Raw data'!$J$6:$J$2225="Fully converged"))</f>
        <v>2.5209999999999999</v>
      </c>
      <c r="F89">
        <f t="array" ref="F89">SUM('Multi-start Raw data'!$D$6:$D$2225*('Multi-start Raw data'!$B$6:$B$2225=$A89)*('Multi-start Raw data'!$C$6:$C$2225=F$6)*('Multi-start Raw data'!$J$6:$J$2225="Fully converged"))</f>
        <v>2.52</v>
      </c>
      <c r="G89">
        <f t="array" ref="G89">SUM('Multi-start Raw data'!$D$6:$D$2225*('Multi-start Raw data'!$B$6:$B$2225=$A89)*('Multi-start Raw data'!$C$6:$C$2225=G$6)*('Multi-start Raw data'!$J$6:$J$2225="Fully converged"))</f>
        <v>2.5190000000000001</v>
      </c>
      <c r="H89">
        <f t="array" ref="H89">SUM('Multi-start Raw data'!$D$6:$D$2225*('Multi-start Raw data'!$B$6:$B$2225=$A89)*('Multi-start Raw data'!$C$6:$C$2225=H$6)*('Multi-start Raw data'!$J$6:$J$2225="Fully converged"))</f>
        <v>2.5030000000000001</v>
      </c>
      <c r="I89">
        <f t="array" ref="I89">SUM('Multi-start Raw data'!$D$6:$D$2225*('Multi-start Raw data'!$B$6:$B$2225=$A89)*('Multi-start Raw data'!$C$6:$C$2225=I$6)*('Multi-start Raw data'!$J$6:$J$2225="Fully converged"))</f>
        <v>2.5209999999999999</v>
      </c>
      <c r="J89">
        <f t="array" ref="J89">SUM('Multi-start Raw data'!$D$6:$D$2225*('Multi-start Raw data'!$B$6:$B$2225=$A89)*('Multi-start Raw data'!$C$6:$C$2225=J$6)*('Multi-start Raw data'!$J$6:$J$2225="Fully converged"))</f>
        <v>2.5209999999999999</v>
      </c>
      <c r="K89">
        <f t="array" ref="K89">SUM('Multi-start Raw data'!$D$6:$D$2225*('Multi-start Raw data'!$B$6:$B$2225=$A89)*('Multi-start Raw data'!$C$6:$C$2225=K$6)*('Multi-start Raw data'!$J$6:$J$2225="Fully converged"))</f>
        <v>2.5209999999999999</v>
      </c>
      <c r="L89">
        <f t="array" ref="L89">SUM('Multi-start Raw data'!$D$6:$D$2225*('Multi-start Raw data'!$B$6:$B$2225=$A89)*('Multi-start Raw data'!$C$6:$C$2225=L$6)*('Multi-start Raw data'!$J$6:$J$2225="Fully converged"))</f>
        <v>2.5219999999999998</v>
      </c>
      <c r="M89">
        <f t="array" ref="M89">SUM('Multi-start Raw data'!$D$6:$D$2225*('Multi-start Raw data'!$B$6:$B$2225=$A89)*('Multi-start Raw data'!$C$6:$C$2225=M$6)*('Multi-start Raw data'!$J$6:$J$2225="Fully converged"))</f>
        <v>2.5209999999999999</v>
      </c>
      <c r="N89">
        <f t="array" ref="N89">SUM('Multi-start Raw data'!$D$6:$D$2225*('Multi-start Raw data'!$B$6:$B$2225=$A89)*('Multi-start Raw data'!$C$6:$C$2225=N$6)*('Multi-start Raw data'!$J$6:$J$2225="Fully converged"))</f>
        <v>2.5030000000000001</v>
      </c>
      <c r="O89">
        <f t="array" ref="O89">SUM('Multi-start Raw data'!$D$6:$D$2225*('Multi-start Raw data'!$B$6:$B$2225=$A89)*('Multi-start Raw data'!$C$6:$C$2225=O$6)*('Multi-start Raw data'!$J$6:$J$2225="Fully converged"))</f>
        <v>2.5169999999999999</v>
      </c>
      <c r="P89">
        <f t="array" ref="P89">SUM('Multi-start Raw data'!$D$6:$D$2225*('Multi-start Raw data'!$B$6:$B$2225=$A89)*('Multi-start Raw data'!$C$6:$C$2225=P$6)*('Multi-start Raw data'!$J$6:$J$2225="Fully converged"))</f>
        <v>2.5219999999999998</v>
      </c>
      <c r="Q89">
        <f t="array" ref="Q89">SUM('Multi-start Raw data'!$D$6:$D$2225*('Multi-start Raw data'!$B$6:$B$2225=$A89)*('Multi-start Raw data'!$C$6:$C$2225=Q$6)*('Multi-start Raw data'!$J$6:$J$2225="Fully converged"))</f>
        <v>2.4689999999999999</v>
      </c>
      <c r="R89">
        <f t="array" ref="R89">SUM('Multi-start Raw data'!$D$6:$D$2225*('Multi-start Raw data'!$B$6:$B$2225=$A89)*('Multi-start Raw data'!$C$6:$C$2225=R$6)*('Multi-start Raw data'!$J$6:$J$2225="Fully converged"))</f>
        <v>2.5009999999999999</v>
      </c>
      <c r="S89">
        <f t="array" ref="S89">SUM('Multi-start Raw data'!$D$6:$D$2225*('Multi-start Raw data'!$B$6:$B$2225=$A89)*('Multi-start Raw data'!$C$6:$C$2225=S$6)*('Multi-start Raw data'!$J$6:$J$2225="Fully converged"))</f>
        <v>2.5219999999999998</v>
      </c>
      <c r="T89">
        <f t="array" ref="T89">SUM('Multi-start Raw data'!$D$6:$D$2225*('Multi-start Raw data'!$B$6:$B$2225=$A89)*('Multi-start Raw data'!$C$6:$C$2225=T$6)*('Multi-start Raw data'!$J$6:$J$2225="Fully converged"))</f>
        <v>2.5110000000000001</v>
      </c>
      <c r="U89">
        <f t="array" ref="U89">SUM('Multi-start Raw data'!$D$6:$D$2225*('Multi-start Raw data'!$B$6:$B$2225=$A89)*('Multi-start Raw data'!$C$6:$C$2225=U$6)*('Multi-start Raw data'!$J$6:$J$2225="Fully converged"))</f>
        <v>2.5209999999999999</v>
      </c>
      <c r="W89" s="6">
        <f t="shared" si="29"/>
        <v>2.5209999999999999</v>
      </c>
      <c r="X89" s="6">
        <f t="shared" si="30"/>
        <v>2.5209999999999999</v>
      </c>
      <c r="Y89" s="6">
        <f t="shared" si="31"/>
        <v>2.5219999999999998</v>
      </c>
      <c r="Z89" s="6">
        <f t="shared" si="32"/>
        <v>2.5219999999999998</v>
      </c>
      <c r="AA89" s="6">
        <f t="shared" si="33"/>
        <v>2.5219999999999998</v>
      </c>
      <c r="AB89" s="6"/>
      <c r="AC89" s="6">
        <f t="shared" si="34"/>
        <v>0</v>
      </c>
      <c r="AD89" s="6">
        <f t="shared" si="35"/>
        <v>9.9999999999988987E-4</v>
      </c>
      <c r="AE89" s="6">
        <f t="shared" si="36"/>
        <v>0</v>
      </c>
      <c r="AF89" s="6">
        <f t="shared" si="37"/>
        <v>0</v>
      </c>
      <c r="AG89" s="6">
        <f t="shared" si="39"/>
        <v>3.9651070578901264E-2</v>
      </c>
      <c r="AH89" s="6">
        <f t="shared" si="40"/>
        <v>3.9651070578901264E-2</v>
      </c>
      <c r="AI89" s="6">
        <f t="shared" si="41"/>
        <v>0</v>
      </c>
      <c r="AJ89" s="6">
        <f t="shared" si="42"/>
        <v>0</v>
      </c>
      <c r="AK89" s="6">
        <f t="shared" si="43"/>
        <v>0</v>
      </c>
      <c r="AM89" s="16">
        <f t="shared" si="38"/>
        <v>0.1</v>
      </c>
    </row>
    <row r="90" spans="1:39" x14ac:dyDescent="0.3">
      <c r="A90" s="1" t="s">
        <v>1985</v>
      </c>
      <c r="B90">
        <f t="array" ref="B90">SUM('Multi-start Raw data'!$D$6:$D$2225*('Multi-start Raw data'!$B$6:$B$2225=$A90)*('Multi-start Raw data'!$C$6:$C$2225=B$6)*('Multi-start Raw data'!$J$6:$J$2225="Fully converged"))</f>
        <v>2.46</v>
      </c>
      <c r="C90">
        <f t="array" ref="C90">SUM('Multi-start Raw data'!$D$6:$D$2225*('Multi-start Raw data'!$B$6:$B$2225=$A90)*('Multi-start Raw data'!$C$6:$C$2225=C$6)*('Multi-start Raw data'!$J$6:$J$2225="Fully converged"))</f>
        <v>2.5409999999999999</v>
      </c>
      <c r="D90">
        <f t="array" ref="D90">SUM('Multi-start Raw data'!$D$6:$D$2225*('Multi-start Raw data'!$B$6:$B$2225=$A90)*('Multi-start Raw data'!$C$6:$C$2225=D$6)*('Multi-start Raw data'!$J$6:$J$2225="Fully converged"))</f>
        <v>0</v>
      </c>
      <c r="E90">
        <f t="array" ref="E90">SUM('Multi-start Raw data'!$D$6:$D$2225*('Multi-start Raw data'!$B$6:$B$2225=$A90)*('Multi-start Raw data'!$C$6:$C$2225=E$6)*('Multi-start Raw data'!$J$6:$J$2225="Fully converged"))</f>
        <v>2.5409999999999999</v>
      </c>
      <c r="F90">
        <f t="array" ref="F90">SUM('Multi-start Raw data'!$D$6:$D$2225*('Multi-start Raw data'!$B$6:$B$2225=$A90)*('Multi-start Raw data'!$C$6:$C$2225=F$6)*('Multi-start Raw data'!$J$6:$J$2225="Fully converged"))</f>
        <v>2.544</v>
      </c>
      <c r="G90">
        <f t="array" ref="G90">SUM('Multi-start Raw data'!$D$6:$D$2225*('Multi-start Raw data'!$B$6:$B$2225=$A90)*('Multi-start Raw data'!$C$6:$C$2225=G$6)*('Multi-start Raw data'!$J$6:$J$2225="Fully converged"))</f>
        <v>2.4580000000000002</v>
      </c>
      <c r="H90">
        <f t="array" ref="H90">SUM('Multi-start Raw data'!$D$6:$D$2225*('Multi-start Raw data'!$B$6:$B$2225=$A90)*('Multi-start Raw data'!$C$6:$C$2225=H$6)*('Multi-start Raw data'!$J$6:$J$2225="Fully converged"))</f>
        <v>2.544</v>
      </c>
      <c r="I90">
        <f t="array" ref="I90">SUM('Multi-start Raw data'!$D$6:$D$2225*('Multi-start Raw data'!$B$6:$B$2225=$A90)*('Multi-start Raw data'!$C$6:$C$2225=I$6)*('Multi-start Raw data'!$J$6:$J$2225="Fully converged"))</f>
        <v>2.5409999999999999</v>
      </c>
      <c r="J90">
        <f t="array" ref="J90">SUM('Multi-start Raw data'!$D$6:$D$2225*('Multi-start Raw data'!$B$6:$B$2225=$A90)*('Multi-start Raw data'!$C$6:$C$2225=J$6)*('Multi-start Raw data'!$J$6:$J$2225="Fully converged"))</f>
        <v>2.5409999999999999</v>
      </c>
      <c r="K90">
        <f t="array" ref="K90">SUM('Multi-start Raw data'!$D$6:$D$2225*('Multi-start Raw data'!$B$6:$B$2225=$A90)*('Multi-start Raw data'!$C$6:$C$2225=K$6)*('Multi-start Raw data'!$J$6:$J$2225="Fully converged"))</f>
        <v>2.5409999999999999</v>
      </c>
      <c r="L90">
        <f t="array" ref="L90">SUM('Multi-start Raw data'!$D$6:$D$2225*('Multi-start Raw data'!$B$6:$B$2225=$A90)*('Multi-start Raw data'!$C$6:$C$2225=L$6)*('Multi-start Raw data'!$J$6:$J$2225="Fully converged"))</f>
        <v>2.54</v>
      </c>
      <c r="M90">
        <f t="array" ref="M90">SUM('Multi-start Raw data'!$D$6:$D$2225*('Multi-start Raw data'!$B$6:$B$2225=$A90)*('Multi-start Raw data'!$C$6:$C$2225=M$6)*('Multi-start Raw data'!$J$6:$J$2225="Fully converged"))</f>
        <v>2.512</v>
      </c>
      <c r="N90">
        <f t="array" ref="N90">SUM('Multi-start Raw data'!$D$6:$D$2225*('Multi-start Raw data'!$B$6:$B$2225=$A90)*('Multi-start Raw data'!$C$6:$C$2225=N$6)*('Multi-start Raw data'!$J$6:$J$2225="Fully converged"))</f>
        <v>2.544</v>
      </c>
      <c r="O90">
        <f t="array" ref="O90">SUM('Multi-start Raw data'!$D$6:$D$2225*('Multi-start Raw data'!$B$6:$B$2225=$A90)*('Multi-start Raw data'!$C$6:$C$2225=O$6)*('Multi-start Raw data'!$J$6:$J$2225="Fully converged"))</f>
        <v>2.5409999999999999</v>
      </c>
      <c r="P90">
        <f t="array" ref="P90">SUM('Multi-start Raw data'!$D$6:$D$2225*('Multi-start Raw data'!$B$6:$B$2225=$A90)*('Multi-start Raw data'!$C$6:$C$2225=P$6)*('Multi-start Raw data'!$J$6:$J$2225="Fully converged"))</f>
        <v>2.5390000000000001</v>
      </c>
      <c r="Q90">
        <f t="array" ref="Q90">SUM('Multi-start Raw data'!$D$6:$D$2225*('Multi-start Raw data'!$B$6:$B$2225=$A90)*('Multi-start Raw data'!$C$6:$C$2225=Q$6)*('Multi-start Raw data'!$J$6:$J$2225="Fully converged"))</f>
        <v>2.5369999999999999</v>
      </c>
      <c r="R90">
        <f t="array" ref="R90">SUM('Multi-start Raw data'!$D$6:$D$2225*('Multi-start Raw data'!$B$6:$B$2225=$A90)*('Multi-start Raw data'!$C$6:$C$2225=R$6)*('Multi-start Raw data'!$J$6:$J$2225="Fully converged"))</f>
        <v>2.5409999999999999</v>
      </c>
      <c r="S90">
        <f t="array" ref="S90">SUM('Multi-start Raw data'!$D$6:$D$2225*('Multi-start Raw data'!$B$6:$B$2225=$A90)*('Multi-start Raw data'!$C$6:$C$2225=S$6)*('Multi-start Raw data'!$J$6:$J$2225="Fully converged"))</f>
        <v>2.544</v>
      </c>
      <c r="T90">
        <f t="array" ref="T90">SUM('Multi-start Raw data'!$D$6:$D$2225*('Multi-start Raw data'!$B$6:$B$2225=$A90)*('Multi-start Raw data'!$C$6:$C$2225=T$6)*('Multi-start Raw data'!$J$6:$J$2225="Fully converged"))</f>
        <v>2.5409999999999999</v>
      </c>
      <c r="U90">
        <f t="array" ref="U90">SUM('Multi-start Raw data'!$D$6:$D$2225*('Multi-start Raw data'!$B$6:$B$2225=$A90)*('Multi-start Raw data'!$C$6:$C$2225=U$6)*('Multi-start Raw data'!$J$6:$J$2225="Fully converged"))</f>
        <v>2.5409999999999999</v>
      </c>
      <c r="W90" s="6">
        <f t="shared" si="29"/>
        <v>2.5409999999999999</v>
      </c>
      <c r="X90" s="6">
        <f t="shared" si="30"/>
        <v>2.544</v>
      </c>
      <c r="Y90" s="6">
        <f t="shared" si="31"/>
        <v>2.544</v>
      </c>
      <c r="Z90" s="6">
        <f t="shared" si="32"/>
        <v>2.544</v>
      </c>
      <c r="AA90" s="6">
        <f t="shared" si="33"/>
        <v>2.544</v>
      </c>
      <c r="AB90" s="6"/>
      <c r="AC90" s="6">
        <f t="shared" si="34"/>
        <v>3.0000000000001137E-3</v>
      </c>
      <c r="AD90" s="6">
        <f t="shared" si="35"/>
        <v>0</v>
      </c>
      <c r="AE90" s="6">
        <f t="shared" si="36"/>
        <v>0</v>
      </c>
      <c r="AF90" s="6">
        <f t="shared" si="37"/>
        <v>0</v>
      </c>
      <c r="AG90" s="6">
        <f t="shared" si="39"/>
        <v>0.11792452830189125</v>
      </c>
      <c r="AH90" s="6">
        <f t="shared" si="40"/>
        <v>0</v>
      </c>
      <c r="AI90" s="6">
        <f t="shared" si="41"/>
        <v>0</v>
      </c>
      <c r="AJ90" s="6">
        <f t="shared" si="42"/>
        <v>0</v>
      </c>
      <c r="AK90" s="6">
        <f t="shared" si="43"/>
        <v>0</v>
      </c>
      <c r="AM90" s="16">
        <f t="shared" si="38"/>
        <v>0.1</v>
      </c>
    </row>
    <row r="91" spans="1:39" x14ac:dyDescent="0.3">
      <c r="A91" s="1" t="s">
        <v>1996</v>
      </c>
      <c r="B91">
        <f t="array" ref="B91">SUM('Multi-start Raw data'!$D$6:$D$2225*('Multi-start Raw data'!$B$6:$B$2225=$A91)*('Multi-start Raw data'!$C$6:$C$2225=B$6)*('Multi-start Raw data'!$J$6:$J$2225="Fully converged"))</f>
        <v>2.492</v>
      </c>
      <c r="C91">
        <f t="array" ref="C91">SUM('Multi-start Raw data'!$D$6:$D$2225*('Multi-start Raw data'!$B$6:$B$2225=$A91)*('Multi-start Raw data'!$C$6:$C$2225=C$6)*('Multi-start Raw data'!$J$6:$J$2225="Fully converged"))</f>
        <v>2.4910000000000001</v>
      </c>
      <c r="D91">
        <f t="array" ref="D91">SUM('Multi-start Raw data'!$D$6:$D$2225*('Multi-start Raw data'!$B$6:$B$2225=$A91)*('Multi-start Raw data'!$C$6:$C$2225=D$6)*('Multi-start Raw data'!$J$6:$J$2225="Fully converged"))</f>
        <v>2.488</v>
      </c>
      <c r="E91">
        <f t="array" ref="E91">SUM('Multi-start Raw data'!$D$6:$D$2225*('Multi-start Raw data'!$B$6:$B$2225=$A91)*('Multi-start Raw data'!$C$6:$C$2225=E$6)*('Multi-start Raw data'!$J$6:$J$2225="Fully converged"))</f>
        <v>2.492</v>
      </c>
      <c r="F91">
        <f t="array" ref="F91">SUM('Multi-start Raw data'!$D$6:$D$2225*('Multi-start Raw data'!$B$6:$B$2225=$A91)*('Multi-start Raw data'!$C$6:$C$2225=F$6)*('Multi-start Raw data'!$J$6:$J$2225="Fully converged"))</f>
        <v>2.476</v>
      </c>
      <c r="G91">
        <f t="array" ref="G91">SUM('Multi-start Raw data'!$D$6:$D$2225*('Multi-start Raw data'!$B$6:$B$2225=$A91)*('Multi-start Raw data'!$C$6:$C$2225=G$6)*('Multi-start Raw data'!$J$6:$J$2225="Fully converged"))</f>
        <v>2.476</v>
      </c>
      <c r="H91">
        <f t="array" ref="H91">SUM('Multi-start Raw data'!$D$6:$D$2225*('Multi-start Raw data'!$B$6:$B$2225=$A91)*('Multi-start Raw data'!$C$6:$C$2225=H$6)*('Multi-start Raw data'!$J$6:$J$2225="Fully converged"))</f>
        <v>2.4769999999999999</v>
      </c>
      <c r="I91">
        <f t="array" ref="I91">SUM('Multi-start Raw data'!$D$6:$D$2225*('Multi-start Raw data'!$B$6:$B$2225=$A91)*('Multi-start Raw data'!$C$6:$C$2225=I$6)*('Multi-start Raw data'!$J$6:$J$2225="Fully converged"))</f>
        <v>2.4889999999999999</v>
      </c>
      <c r="J91">
        <f t="array" ref="J91">SUM('Multi-start Raw data'!$D$6:$D$2225*('Multi-start Raw data'!$B$6:$B$2225=$A91)*('Multi-start Raw data'!$C$6:$C$2225=J$6)*('Multi-start Raw data'!$J$6:$J$2225="Fully converged"))</f>
        <v>2.4740000000000002</v>
      </c>
      <c r="K91">
        <f t="array" ref="K91">SUM('Multi-start Raw data'!$D$6:$D$2225*('Multi-start Raw data'!$B$6:$B$2225=$A91)*('Multi-start Raw data'!$C$6:$C$2225=K$6)*('Multi-start Raw data'!$J$6:$J$2225="Fully converged"))</f>
        <v>2.492</v>
      </c>
      <c r="L91">
        <f t="array" ref="L91">SUM('Multi-start Raw data'!$D$6:$D$2225*('Multi-start Raw data'!$B$6:$B$2225=$A91)*('Multi-start Raw data'!$C$6:$C$2225=L$6)*('Multi-start Raw data'!$J$6:$J$2225="Fully converged"))</f>
        <v>2.492</v>
      </c>
      <c r="M91">
        <f t="array" ref="M91">SUM('Multi-start Raw data'!$D$6:$D$2225*('Multi-start Raw data'!$B$6:$B$2225=$A91)*('Multi-start Raw data'!$C$6:$C$2225=M$6)*('Multi-start Raw data'!$J$6:$J$2225="Fully converged"))</f>
        <v>2.476</v>
      </c>
      <c r="N91">
        <f t="array" ref="N91">SUM('Multi-start Raw data'!$D$6:$D$2225*('Multi-start Raw data'!$B$6:$B$2225=$A91)*('Multi-start Raw data'!$C$6:$C$2225=N$6)*('Multi-start Raw data'!$J$6:$J$2225="Fully converged"))</f>
        <v>2.4790000000000001</v>
      </c>
      <c r="O91">
        <f t="array" ref="O91">SUM('Multi-start Raw data'!$D$6:$D$2225*('Multi-start Raw data'!$B$6:$B$2225=$A91)*('Multi-start Raw data'!$C$6:$C$2225=O$6)*('Multi-start Raw data'!$J$6:$J$2225="Fully converged"))</f>
        <v>2.4740000000000002</v>
      </c>
      <c r="P91">
        <f t="array" ref="P91">SUM('Multi-start Raw data'!$D$6:$D$2225*('Multi-start Raw data'!$B$6:$B$2225=$A91)*('Multi-start Raw data'!$C$6:$C$2225=P$6)*('Multi-start Raw data'!$J$6:$J$2225="Fully converged"))</f>
        <v>0</v>
      </c>
      <c r="Q91">
        <f t="array" ref="Q91">SUM('Multi-start Raw data'!$D$6:$D$2225*('Multi-start Raw data'!$B$6:$B$2225=$A91)*('Multi-start Raw data'!$C$6:$C$2225=Q$6)*('Multi-start Raw data'!$J$6:$J$2225="Fully converged"))</f>
        <v>2.4729999999999999</v>
      </c>
      <c r="R91">
        <f t="array" ref="R91">SUM('Multi-start Raw data'!$D$6:$D$2225*('Multi-start Raw data'!$B$6:$B$2225=$A91)*('Multi-start Raw data'!$C$6:$C$2225=R$6)*('Multi-start Raw data'!$J$6:$J$2225="Fully converged"))</f>
        <v>2.492</v>
      </c>
      <c r="S91">
        <f t="array" ref="S91">SUM('Multi-start Raw data'!$D$6:$D$2225*('Multi-start Raw data'!$B$6:$B$2225=$A91)*('Multi-start Raw data'!$C$6:$C$2225=S$6)*('Multi-start Raw data'!$J$6:$J$2225="Fully converged"))</f>
        <v>2.4950000000000001</v>
      </c>
      <c r="T91">
        <f t="array" ref="T91">SUM('Multi-start Raw data'!$D$6:$D$2225*('Multi-start Raw data'!$B$6:$B$2225=$A91)*('Multi-start Raw data'!$C$6:$C$2225=T$6)*('Multi-start Raw data'!$J$6:$J$2225="Fully converged"))</f>
        <v>2.492</v>
      </c>
      <c r="U91">
        <f t="array" ref="U91">SUM('Multi-start Raw data'!$D$6:$D$2225*('Multi-start Raw data'!$B$6:$B$2225=$A91)*('Multi-start Raw data'!$C$6:$C$2225=U$6)*('Multi-start Raw data'!$J$6:$J$2225="Fully converged"))</f>
        <v>2.4740000000000002</v>
      </c>
      <c r="W91" s="6">
        <f t="shared" si="29"/>
        <v>2.492</v>
      </c>
      <c r="X91" s="6">
        <f t="shared" si="30"/>
        <v>2.492</v>
      </c>
      <c r="Y91" s="6">
        <f t="shared" si="31"/>
        <v>2.492</v>
      </c>
      <c r="Z91" s="6">
        <f t="shared" si="32"/>
        <v>2.492</v>
      </c>
      <c r="AA91" s="6">
        <f t="shared" si="33"/>
        <v>2.4950000000000001</v>
      </c>
      <c r="AB91" s="6"/>
      <c r="AC91" s="6">
        <f t="shared" si="34"/>
        <v>0</v>
      </c>
      <c r="AD91" s="6">
        <f t="shared" si="35"/>
        <v>0</v>
      </c>
      <c r="AE91" s="6">
        <f t="shared" si="36"/>
        <v>0</v>
      </c>
      <c r="AF91" s="6">
        <f t="shared" si="37"/>
        <v>3.0000000000001137E-3</v>
      </c>
      <c r="AG91" s="6">
        <f t="shared" si="39"/>
        <v>0.12024048096192839</v>
      </c>
      <c r="AH91" s="6">
        <f t="shared" si="40"/>
        <v>0.12024048096192839</v>
      </c>
      <c r="AI91" s="6">
        <f t="shared" si="41"/>
        <v>0.12024048096192839</v>
      </c>
      <c r="AJ91" s="6">
        <f t="shared" si="42"/>
        <v>0.12024048096192839</v>
      </c>
      <c r="AK91" s="6">
        <f t="shared" si="43"/>
        <v>0</v>
      </c>
      <c r="AM91" s="16">
        <f t="shared" si="38"/>
        <v>0.1</v>
      </c>
    </row>
    <row r="92" spans="1:39" x14ac:dyDescent="0.3">
      <c r="A92" s="1" t="s">
        <v>2012</v>
      </c>
      <c r="B92">
        <f t="array" ref="B92">SUM('Multi-start Raw data'!$D$6:$D$2225*('Multi-start Raw data'!$B$6:$B$2225=$A92)*('Multi-start Raw data'!$C$6:$C$2225=B$6)*('Multi-start Raw data'!$J$6:$J$2225="Fully converged"))</f>
        <v>2.5169999999999999</v>
      </c>
      <c r="C92">
        <f t="array" ref="C92">SUM('Multi-start Raw data'!$D$6:$D$2225*('Multi-start Raw data'!$B$6:$B$2225=$A92)*('Multi-start Raw data'!$C$6:$C$2225=C$6)*('Multi-start Raw data'!$J$6:$J$2225="Fully converged"))</f>
        <v>2.5150000000000001</v>
      </c>
      <c r="D92">
        <f t="array" ref="D92">SUM('Multi-start Raw data'!$D$6:$D$2225*('Multi-start Raw data'!$B$6:$B$2225=$A92)*('Multi-start Raw data'!$C$6:$C$2225=D$6)*('Multi-start Raw data'!$J$6:$J$2225="Fully converged"))</f>
        <v>2.5169999999999999</v>
      </c>
      <c r="E92">
        <f t="array" ref="E92">SUM('Multi-start Raw data'!$D$6:$D$2225*('Multi-start Raw data'!$B$6:$B$2225=$A92)*('Multi-start Raw data'!$C$6:$C$2225=E$6)*('Multi-start Raw data'!$J$6:$J$2225="Fully converged"))</f>
        <v>2.5169999999999999</v>
      </c>
      <c r="F92">
        <f t="array" ref="F92">SUM('Multi-start Raw data'!$D$6:$D$2225*('Multi-start Raw data'!$B$6:$B$2225=$A92)*('Multi-start Raw data'!$C$6:$C$2225=F$6)*('Multi-start Raw data'!$J$6:$J$2225="Fully converged"))</f>
        <v>2.5169999999999999</v>
      </c>
      <c r="G92">
        <f t="array" ref="G92">SUM('Multi-start Raw data'!$D$6:$D$2225*('Multi-start Raw data'!$B$6:$B$2225=$A92)*('Multi-start Raw data'!$C$6:$C$2225=G$6)*('Multi-start Raw data'!$J$6:$J$2225="Fully converged"))</f>
        <v>2.52</v>
      </c>
      <c r="H92">
        <f t="array" ref="H92">SUM('Multi-start Raw data'!$D$6:$D$2225*('Multi-start Raw data'!$B$6:$B$2225=$A92)*('Multi-start Raw data'!$C$6:$C$2225=H$6)*('Multi-start Raw data'!$J$6:$J$2225="Fully converged"))</f>
        <v>2.5009999999999999</v>
      </c>
      <c r="I92">
        <f t="array" ref="I92">SUM('Multi-start Raw data'!$D$6:$D$2225*('Multi-start Raw data'!$B$6:$B$2225=$A92)*('Multi-start Raw data'!$C$6:$C$2225=I$6)*('Multi-start Raw data'!$J$6:$J$2225="Fully converged"))</f>
        <v>2.5150000000000001</v>
      </c>
      <c r="J92">
        <f t="array" ref="J92">SUM('Multi-start Raw data'!$D$6:$D$2225*('Multi-start Raw data'!$B$6:$B$2225=$A92)*('Multi-start Raw data'!$C$6:$C$2225=J$6)*('Multi-start Raw data'!$J$6:$J$2225="Fully converged"))</f>
        <v>2.516</v>
      </c>
      <c r="K92">
        <f t="array" ref="K92">SUM('Multi-start Raw data'!$D$6:$D$2225*('Multi-start Raw data'!$B$6:$B$2225=$A92)*('Multi-start Raw data'!$C$6:$C$2225=K$6)*('Multi-start Raw data'!$J$6:$J$2225="Fully converged"))</f>
        <v>2.4969999999999999</v>
      </c>
      <c r="L92">
        <f t="array" ref="L92">SUM('Multi-start Raw data'!$D$6:$D$2225*('Multi-start Raw data'!$B$6:$B$2225=$A92)*('Multi-start Raw data'!$C$6:$C$2225=L$6)*('Multi-start Raw data'!$J$6:$J$2225="Fully converged"))</f>
        <v>2.52</v>
      </c>
      <c r="M92">
        <f t="array" ref="M92">SUM('Multi-start Raw data'!$D$6:$D$2225*('Multi-start Raw data'!$B$6:$B$2225=$A92)*('Multi-start Raw data'!$C$6:$C$2225=M$6)*('Multi-start Raw data'!$J$6:$J$2225="Fully converged"))</f>
        <v>2.5139999999999998</v>
      </c>
      <c r="N92">
        <f t="array" ref="N92">SUM('Multi-start Raw data'!$D$6:$D$2225*('Multi-start Raw data'!$B$6:$B$2225=$A92)*('Multi-start Raw data'!$C$6:$C$2225=N$6)*('Multi-start Raw data'!$J$6:$J$2225="Fully converged"))</f>
        <v>2.5129999999999999</v>
      </c>
      <c r="O92">
        <f t="array" ref="O92">SUM('Multi-start Raw data'!$D$6:$D$2225*('Multi-start Raw data'!$B$6:$B$2225=$A92)*('Multi-start Raw data'!$C$6:$C$2225=O$6)*('Multi-start Raw data'!$J$6:$J$2225="Fully converged"))</f>
        <v>2.5169999999999999</v>
      </c>
      <c r="P92">
        <f t="array" ref="P92">SUM('Multi-start Raw data'!$D$6:$D$2225*('Multi-start Raw data'!$B$6:$B$2225=$A92)*('Multi-start Raw data'!$C$6:$C$2225=P$6)*('Multi-start Raw data'!$J$6:$J$2225="Fully converged"))</f>
        <v>2.52</v>
      </c>
      <c r="Q92">
        <f t="array" ref="Q92">SUM('Multi-start Raw data'!$D$6:$D$2225*('Multi-start Raw data'!$B$6:$B$2225=$A92)*('Multi-start Raw data'!$C$6:$C$2225=Q$6)*('Multi-start Raw data'!$J$6:$J$2225="Fully converged"))</f>
        <v>2.52</v>
      </c>
      <c r="R92">
        <f t="array" ref="R92">SUM('Multi-start Raw data'!$D$6:$D$2225*('Multi-start Raw data'!$B$6:$B$2225=$A92)*('Multi-start Raw data'!$C$6:$C$2225=R$6)*('Multi-start Raw data'!$J$6:$J$2225="Fully converged"))</f>
        <v>2.516</v>
      </c>
      <c r="S92">
        <f t="array" ref="S92">SUM('Multi-start Raw data'!$D$6:$D$2225*('Multi-start Raw data'!$B$6:$B$2225=$A92)*('Multi-start Raw data'!$C$6:$C$2225=S$6)*('Multi-start Raw data'!$J$6:$J$2225="Fully converged"))</f>
        <v>2.5169999999999999</v>
      </c>
      <c r="T92">
        <f t="array" ref="T92">SUM('Multi-start Raw data'!$D$6:$D$2225*('Multi-start Raw data'!$B$6:$B$2225=$A92)*('Multi-start Raw data'!$C$6:$C$2225=T$6)*('Multi-start Raw data'!$J$6:$J$2225="Fully converged"))</f>
        <v>2.4969999999999999</v>
      </c>
      <c r="U92">
        <f t="array" ref="U92">SUM('Multi-start Raw data'!$D$6:$D$2225*('Multi-start Raw data'!$B$6:$B$2225=$A92)*('Multi-start Raw data'!$C$6:$C$2225=U$6)*('Multi-start Raw data'!$J$6:$J$2225="Fully converged"))</f>
        <v>2.504</v>
      </c>
      <c r="W92" s="6">
        <f t="shared" si="29"/>
        <v>2.5169999999999999</v>
      </c>
      <c r="X92" s="6">
        <f t="shared" si="30"/>
        <v>2.52</v>
      </c>
      <c r="Y92" s="6">
        <f t="shared" si="31"/>
        <v>2.52</v>
      </c>
      <c r="Z92" s="6">
        <f t="shared" si="32"/>
        <v>2.52</v>
      </c>
      <c r="AA92" s="6">
        <f t="shared" si="33"/>
        <v>2.52</v>
      </c>
      <c r="AB92" s="6"/>
      <c r="AC92" s="6">
        <f t="shared" si="34"/>
        <v>3.0000000000001137E-3</v>
      </c>
      <c r="AD92" s="6">
        <f t="shared" si="35"/>
        <v>0</v>
      </c>
      <c r="AE92" s="6">
        <f t="shared" si="36"/>
        <v>0</v>
      </c>
      <c r="AF92" s="6">
        <f t="shared" si="37"/>
        <v>0</v>
      </c>
      <c r="AG92" s="6">
        <f t="shared" si="39"/>
        <v>0.11904761904762357</v>
      </c>
      <c r="AH92" s="6">
        <f t="shared" si="40"/>
        <v>0</v>
      </c>
      <c r="AI92" s="6">
        <f t="shared" si="41"/>
        <v>0</v>
      </c>
      <c r="AJ92" s="6">
        <f t="shared" si="42"/>
        <v>0</v>
      </c>
      <c r="AK92" s="6">
        <f t="shared" si="43"/>
        <v>0</v>
      </c>
      <c r="AM92" s="16">
        <f t="shared" si="38"/>
        <v>0.1</v>
      </c>
    </row>
    <row r="93" spans="1:39" x14ac:dyDescent="0.3">
      <c r="A93" s="1" t="s">
        <v>2028</v>
      </c>
      <c r="B93">
        <f t="array" ref="B93">SUM('Multi-start Raw data'!$D$6:$D$2225*('Multi-start Raw data'!$B$6:$B$2225=$A93)*('Multi-start Raw data'!$C$6:$C$2225=B$6)*('Multi-start Raw data'!$J$6:$J$2225="Fully converged"))</f>
        <v>2.2490000000000001</v>
      </c>
      <c r="C93">
        <f t="array" ref="C93">SUM('Multi-start Raw data'!$D$6:$D$2225*('Multi-start Raw data'!$B$6:$B$2225=$A93)*('Multi-start Raw data'!$C$6:$C$2225=C$6)*('Multi-start Raw data'!$J$6:$J$2225="Fully converged"))</f>
        <v>2.367</v>
      </c>
      <c r="D93">
        <f t="array" ref="D93">SUM('Multi-start Raw data'!$D$6:$D$2225*('Multi-start Raw data'!$B$6:$B$2225=$A93)*('Multi-start Raw data'!$C$6:$C$2225=D$6)*('Multi-start Raw data'!$J$6:$J$2225="Fully converged"))</f>
        <v>2.3769999999999998</v>
      </c>
      <c r="E93">
        <f t="array" ref="E93">SUM('Multi-start Raw data'!$D$6:$D$2225*('Multi-start Raw data'!$B$6:$B$2225=$A93)*('Multi-start Raw data'!$C$6:$C$2225=E$6)*('Multi-start Raw data'!$J$6:$J$2225="Fully converged"))</f>
        <v>2.363</v>
      </c>
      <c r="F93">
        <f t="array" ref="F93">SUM('Multi-start Raw data'!$D$6:$D$2225*('Multi-start Raw data'!$B$6:$B$2225=$A93)*('Multi-start Raw data'!$C$6:$C$2225=F$6)*('Multi-start Raw data'!$J$6:$J$2225="Fully converged"))</f>
        <v>2.3849999999999998</v>
      </c>
      <c r="G93">
        <f t="array" ref="G93">SUM('Multi-start Raw data'!$D$6:$D$2225*('Multi-start Raw data'!$B$6:$B$2225=$A93)*('Multi-start Raw data'!$C$6:$C$2225=G$6)*('Multi-start Raw data'!$J$6:$J$2225="Fully converged"))</f>
        <v>2.3690000000000002</v>
      </c>
      <c r="H93">
        <f t="array" ref="H93">SUM('Multi-start Raw data'!$D$6:$D$2225*('Multi-start Raw data'!$B$6:$B$2225=$A93)*('Multi-start Raw data'!$C$6:$C$2225=H$6)*('Multi-start Raw data'!$J$6:$J$2225="Fully converged"))</f>
        <v>2.3849999999999998</v>
      </c>
      <c r="I93">
        <f t="array" ref="I93">SUM('Multi-start Raw data'!$D$6:$D$2225*('Multi-start Raw data'!$B$6:$B$2225=$A93)*('Multi-start Raw data'!$C$6:$C$2225=I$6)*('Multi-start Raw data'!$J$6:$J$2225="Fully converged"))</f>
        <v>2.3849999999999998</v>
      </c>
      <c r="J93">
        <f t="array" ref="J93">SUM('Multi-start Raw data'!$D$6:$D$2225*('Multi-start Raw data'!$B$6:$B$2225=$A93)*('Multi-start Raw data'!$C$6:$C$2225=J$6)*('Multi-start Raw data'!$J$6:$J$2225="Fully converged"))</f>
        <v>2.3610000000000002</v>
      </c>
      <c r="K93">
        <f t="array" ref="K93">SUM('Multi-start Raw data'!$D$6:$D$2225*('Multi-start Raw data'!$B$6:$B$2225=$A93)*('Multi-start Raw data'!$C$6:$C$2225=K$6)*('Multi-start Raw data'!$J$6:$J$2225="Fully converged"))</f>
        <v>2.2440000000000002</v>
      </c>
      <c r="L93">
        <f t="array" ref="L93">SUM('Multi-start Raw data'!$D$6:$D$2225*('Multi-start Raw data'!$B$6:$B$2225=$A93)*('Multi-start Raw data'!$C$6:$C$2225=L$6)*('Multi-start Raw data'!$J$6:$J$2225="Fully converged"))</f>
        <v>2.3610000000000002</v>
      </c>
      <c r="M93">
        <f t="array" ref="M93">SUM('Multi-start Raw data'!$D$6:$D$2225*('Multi-start Raw data'!$B$6:$B$2225=$A93)*('Multi-start Raw data'!$C$6:$C$2225=M$6)*('Multi-start Raw data'!$J$6:$J$2225="Fully converged"))</f>
        <v>2.3849999999999998</v>
      </c>
      <c r="N93">
        <f t="array" ref="N93">SUM('Multi-start Raw data'!$D$6:$D$2225*('Multi-start Raw data'!$B$6:$B$2225=$A93)*('Multi-start Raw data'!$C$6:$C$2225=N$6)*('Multi-start Raw data'!$J$6:$J$2225="Fully converged"))</f>
        <v>2.367</v>
      </c>
      <c r="O93">
        <f t="array" ref="O93">SUM('Multi-start Raw data'!$D$6:$D$2225*('Multi-start Raw data'!$B$6:$B$2225=$A93)*('Multi-start Raw data'!$C$6:$C$2225=O$6)*('Multi-start Raw data'!$J$6:$J$2225="Fully converged"))</f>
        <v>2.367</v>
      </c>
      <c r="P93">
        <f t="array" ref="P93">SUM('Multi-start Raw data'!$D$6:$D$2225*('Multi-start Raw data'!$B$6:$B$2225=$A93)*('Multi-start Raw data'!$C$6:$C$2225=P$6)*('Multi-start Raw data'!$J$6:$J$2225="Fully converged"))</f>
        <v>2.3889999999999998</v>
      </c>
      <c r="Q93">
        <f t="array" ref="Q93">SUM('Multi-start Raw data'!$D$6:$D$2225*('Multi-start Raw data'!$B$6:$B$2225=$A93)*('Multi-start Raw data'!$C$6:$C$2225=Q$6)*('Multi-start Raw data'!$J$6:$J$2225="Fully converged"))</f>
        <v>2.367</v>
      </c>
      <c r="R93">
        <f t="array" ref="R93">SUM('Multi-start Raw data'!$D$6:$D$2225*('Multi-start Raw data'!$B$6:$B$2225=$A93)*('Multi-start Raw data'!$C$6:$C$2225=R$6)*('Multi-start Raw data'!$J$6:$J$2225="Fully converged"))</f>
        <v>2.3679999999999999</v>
      </c>
      <c r="S93">
        <f t="array" ref="S93">SUM('Multi-start Raw data'!$D$6:$D$2225*('Multi-start Raw data'!$B$6:$B$2225=$A93)*('Multi-start Raw data'!$C$6:$C$2225=S$6)*('Multi-start Raw data'!$J$6:$J$2225="Fully converged"))</f>
        <v>2.3849999999999998</v>
      </c>
      <c r="T93">
        <f t="array" ref="T93">SUM('Multi-start Raw data'!$D$6:$D$2225*('Multi-start Raw data'!$B$6:$B$2225=$A93)*('Multi-start Raw data'!$C$6:$C$2225=T$6)*('Multi-start Raw data'!$J$6:$J$2225="Fully converged"))</f>
        <v>2.3610000000000002</v>
      </c>
      <c r="U93">
        <f t="array" ref="U93">SUM('Multi-start Raw data'!$D$6:$D$2225*('Multi-start Raw data'!$B$6:$B$2225=$A93)*('Multi-start Raw data'!$C$6:$C$2225=U$6)*('Multi-start Raw data'!$J$6:$J$2225="Fully converged"))</f>
        <v>2.3690000000000002</v>
      </c>
      <c r="W93" s="6">
        <f t="shared" si="29"/>
        <v>2.3769999999999998</v>
      </c>
      <c r="X93" s="6">
        <f t="shared" si="30"/>
        <v>2.3849999999999998</v>
      </c>
      <c r="Y93" s="6">
        <f t="shared" si="31"/>
        <v>2.3849999999999998</v>
      </c>
      <c r="Z93" s="6">
        <f t="shared" si="32"/>
        <v>2.3889999999999998</v>
      </c>
      <c r="AA93" s="6">
        <f t="shared" si="33"/>
        <v>2.3889999999999998</v>
      </c>
      <c r="AB93" s="6"/>
      <c r="AC93" s="6">
        <f t="shared" si="34"/>
        <v>8.0000000000000071E-3</v>
      </c>
      <c r="AD93" s="6">
        <f t="shared" si="35"/>
        <v>0</v>
      </c>
      <c r="AE93" s="6">
        <f t="shared" si="36"/>
        <v>4.0000000000000036E-3</v>
      </c>
      <c r="AF93" s="6">
        <f t="shared" si="37"/>
        <v>0</v>
      </c>
      <c r="AG93" s="6">
        <f t="shared" si="39"/>
        <v>0.50230221850146561</v>
      </c>
      <c r="AH93" s="6">
        <f t="shared" si="40"/>
        <v>0.16743407283382183</v>
      </c>
      <c r="AI93" s="6">
        <f t="shared" si="41"/>
        <v>0.16743407283382183</v>
      </c>
      <c r="AJ93" s="6">
        <f t="shared" si="42"/>
        <v>0</v>
      </c>
      <c r="AK93" s="6">
        <f t="shared" si="43"/>
        <v>0</v>
      </c>
      <c r="AM93" s="16">
        <f t="shared" si="38"/>
        <v>0.1</v>
      </c>
    </row>
    <row r="94" spans="1:39" x14ac:dyDescent="0.3">
      <c r="A94" s="1" t="s">
        <v>2052</v>
      </c>
      <c r="B94">
        <f t="array" ref="B94">SUM('Multi-start Raw data'!$D$6:$D$2225*('Multi-start Raw data'!$B$6:$B$2225=$A94)*('Multi-start Raw data'!$C$6:$C$2225=B$6)*('Multi-start Raw data'!$J$6:$J$2225="Fully converged"))</f>
        <v>2.5179999999999998</v>
      </c>
      <c r="C94">
        <f t="array" ref="C94">SUM('Multi-start Raw data'!$D$6:$D$2225*('Multi-start Raw data'!$B$6:$B$2225=$A94)*('Multi-start Raw data'!$C$6:$C$2225=C$6)*('Multi-start Raw data'!$J$6:$J$2225="Fully converged"))</f>
        <v>2.5129999999999999</v>
      </c>
      <c r="D94">
        <f t="array" ref="D94">SUM('Multi-start Raw data'!$D$6:$D$2225*('Multi-start Raw data'!$B$6:$B$2225=$A94)*('Multi-start Raw data'!$C$6:$C$2225=D$6)*('Multi-start Raw data'!$J$6:$J$2225="Fully converged"))</f>
        <v>2.5179999999999998</v>
      </c>
      <c r="E94">
        <f t="array" ref="E94">SUM('Multi-start Raw data'!$D$6:$D$2225*('Multi-start Raw data'!$B$6:$B$2225=$A94)*('Multi-start Raw data'!$C$6:$C$2225=E$6)*('Multi-start Raw data'!$J$6:$J$2225="Fully converged"))</f>
        <v>2.52</v>
      </c>
      <c r="F94">
        <f t="array" ref="F94">SUM('Multi-start Raw data'!$D$6:$D$2225*('Multi-start Raw data'!$B$6:$B$2225=$A94)*('Multi-start Raw data'!$C$6:$C$2225=F$6)*('Multi-start Raw data'!$J$6:$J$2225="Fully converged"))</f>
        <v>2.516</v>
      </c>
      <c r="G94">
        <f t="array" ref="G94">SUM('Multi-start Raw data'!$D$6:$D$2225*('Multi-start Raw data'!$B$6:$B$2225=$A94)*('Multi-start Raw data'!$C$6:$C$2225=G$6)*('Multi-start Raw data'!$J$6:$J$2225="Fully converged"))</f>
        <v>2.4900000000000002</v>
      </c>
      <c r="H94">
        <f t="array" ref="H94">SUM('Multi-start Raw data'!$D$6:$D$2225*('Multi-start Raw data'!$B$6:$B$2225=$A94)*('Multi-start Raw data'!$C$6:$C$2225=H$6)*('Multi-start Raw data'!$J$6:$J$2225="Fully converged"))</f>
        <v>2.4860000000000002</v>
      </c>
      <c r="I94">
        <f t="array" ref="I94">SUM('Multi-start Raw data'!$D$6:$D$2225*('Multi-start Raw data'!$B$6:$B$2225=$A94)*('Multi-start Raw data'!$C$6:$C$2225=I$6)*('Multi-start Raw data'!$J$6:$J$2225="Fully converged"))</f>
        <v>2.52</v>
      </c>
      <c r="J94">
        <f t="array" ref="J94">SUM('Multi-start Raw data'!$D$6:$D$2225*('Multi-start Raw data'!$B$6:$B$2225=$A94)*('Multi-start Raw data'!$C$6:$C$2225=J$6)*('Multi-start Raw data'!$J$6:$J$2225="Fully converged"))</f>
        <v>2.5179999999999998</v>
      </c>
      <c r="K94">
        <f t="array" ref="K94">SUM('Multi-start Raw data'!$D$6:$D$2225*('Multi-start Raw data'!$B$6:$B$2225=$A94)*('Multi-start Raw data'!$C$6:$C$2225=K$6)*('Multi-start Raw data'!$J$6:$J$2225="Fully converged"))</f>
        <v>2.52</v>
      </c>
      <c r="L94">
        <f t="array" ref="L94">SUM('Multi-start Raw data'!$D$6:$D$2225*('Multi-start Raw data'!$B$6:$B$2225=$A94)*('Multi-start Raw data'!$C$6:$C$2225=L$6)*('Multi-start Raw data'!$J$6:$J$2225="Fully converged"))</f>
        <v>2.52</v>
      </c>
      <c r="M94">
        <f t="array" ref="M94">SUM('Multi-start Raw data'!$D$6:$D$2225*('Multi-start Raw data'!$B$6:$B$2225=$A94)*('Multi-start Raw data'!$C$6:$C$2225=M$6)*('Multi-start Raw data'!$J$6:$J$2225="Fully converged"))</f>
        <v>2.5169999999999999</v>
      </c>
      <c r="N94">
        <f t="array" ref="N94">SUM('Multi-start Raw data'!$D$6:$D$2225*('Multi-start Raw data'!$B$6:$B$2225=$A94)*('Multi-start Raw data'!$C$6:$C$2225=N$6)*('Multi-start Raw data'!$J$6:$J$2225="Fully converged"))</f>
        <v>2.52</v>
      </c>
      <c r="O94">
        <f t="array" ref="O94">SUM('Multi-start Raw data'!$D$6:$D$2225*('Multi-start Raw data'!$B$6:$B$2225=$A94)*('Multi-start Raw data'!$C$6:$C$2225=O$6)*('Multi-start Raw data'!$J$6:$J$2225="Fully converged"))</f>
        <v>2.516</v>
      </c>
      <c r="P94">
        <f t="array" ref="P94">SUM('Multi-start Raw data'!$D$6:$D$2225*('Multi-start Raw data'!$B$6:$B$2225=$A94)*('Multi-start Raw data'!$C$6:$C$2225=P$6)*('Multi-start Raw data'!$J$6:$J$2225="Fully converged"))</f>
        <v>2.52</v>
      </c>
      <c r="Q94">
        <f t="array" ref="Q94">SUM('Multi-start Raw data'!$D$6:$D$2225*('Multi-start Raw data'!$B$6:$B$2225=$A94)*('Multi-start Raw data'!$C$6:$C$2225=Q$6)*('Multi-start Raw data'!$J$6:$J$2225="Fully converged"))</f>
        <v>2.52</v>
      </c>
      <c r="R94">
        <f t="array" ref="R94">SUM('Multi-start Raw data'!$D$6:$D$2225*('Multi-start Raw data'!$B$6:$B$2225=$A94)*('Multi-start Raw data'!$C$6:$C$2225=R$6)*('Multi-start Raw data'!$J$6:$J$2225="Fully converged"))</f>
        <v>2.516</v>
      </c>
      <c r="S94">
        <f t="array" ref="S94">SUM('Multi-start Raw data'!$D$6:$D$2225*('Multi-start Raw data'!$B$6:$B$2225=$A94)*('Multi-start Raw data'!$C$6:$C$2225=S$6)*('Multi-start Raw data'!$J$6:$J$2225="Fully converged"))</f>
        <v>2.5179999999999998</v>
      </c>
      <c r="T94">
        <f t="array" ref="T94">SUM('Multi-start Raw data'!$D$6:$D$2225*('Multi-start Raw data'!$B$6:$B$2225=$A94)*('Multi-start Raw data'!$C$6:$C$2225=T$6)*('Multi-start Raw data'!$J$6:$J$2225="Fully converged"))</f>
        <v>2.52</v>
      </c>
      <c r="U94">
        <f t="array" ref="U94">SUM('Multi-start Raw data'!$D$6:$D$2225*('Multi-start Raw data'!$B$6:$B$2225=$A94)*('Multi-start Raw data'!$C$6:$C$2225=U$6)*('Multi-start Raw data'!$J$6:$J$2225="Fully converged"))</f>
        <v>2.5150000000000001</v>
      </c>
      <c r="W94" s="6">
        <f t="shared" si="29"/>
        <v>2.52</v>
      </c>
      <c r="X94" s="6">
        <f t="shared" si="30"/>
        <v>2.52</v>
      </c>
      <c r="Y94" s="6">
        <f t="shared" si="31"/>
        <v>2.52</v>
      </c>
      <c r="Z94" s="6">
        <f t="shared" si="32"/>
        <v>2.52</v>
      </c>
      <c r="AA94" s="6">
        <f t="shared" si="33"/>
        <v>2.52</v>
      </c>
      <c r="AB94" s="6"/>
      <c r="AC94" s="6">
        <f t="shared" si="34"/>
        <v>0</v>
      </c>
      <c r="AD94" s="6">
        <f t="shared" si="35"/>
        <v>0</v>
      </c>
      <c r="AE94" s="6">
        <f t="shared" si="36"/>
        <v>0</v>
      </c>
      <c r="AF94" s="6">
        <f t="shared" si="37"/>
        <v>0</v>
      </c>
      <c r="AG94" s="6">
        <f t="shared" si="39"/>
        <v>0</v>
      </c>
      <c r="AH94" s="6">
        <f t="shared" si="40"/>
        <v>0</v>
      </c>
      <c r="AI94" s="6">
        <f t="shared" si="41"/>
        <v>0</v>
      </c>
      <c r="AJ94" s="6">
        <f t="shared" si="42"/>
        <v>0</v>
      </c>
      <c r="AK94" s="6">
        <f t="shared" si="43"/>
        <v>0</v>
      </c>
      <c r="AM94" s="16">
        <f t="shared" si="38"/>
        <v>0.1</v>
      </c>
    </row>
    <row r="95" spans="1:39" x14ac:dyDescent="0.3">
      <c r="A95" s="1" t="s">
        <v>2067</v>
      </c>
      <c r="B95">
        <f t="array" ref="B95">SUM('Multi-start Raw data'!$D$6:$D$2225*('Multi-start Raw data'!$B$6:$B$2225=$A95)*('Multi-start Raw data'!$C$6:$C$2225=B$6)*('Multi-start Raw data'!$J$6:$J$2225="Fully converged"))</f>
        <v>2.5390000000000001</v>
      </c>
      <c r="C95">
        <f t="array" ref="C95">SUM('Multi-start Raw data'!$D$6:$D$2225*('Multi-start Raw data'!$B$6:$B$2225=$A95)*('Multi-start Raw data'!$C$6:$C$2225=C$6)*('Multi-start Raw data'!$J$6:$J$2225="Fully converged"))</f>
        <v>2.5369999999999999</v>
      </c>
      <c r="D95">
        <f t="array" ref="D95">SUM('Multi-start Raw data'!$D$6:$D$2225*('Multi-start Raw data'!$B$6:$B$2225=$A95)*('Multi-start Raw data'!$C$6:$C$2225=D$6)*('Multi-start Raw data'!$J$6:$J$2225="Fully converged"))</f>
        <v>2.5259999999999998</v>
      </c>
      <c r="E95">
        <f t="array" ref="E95">SUM('Multi-start Raw data'!$D$6:$D$2225*('Multi-start Raw data'!$B$6:$B$2225=$A95)*('Multi-start Raw data'!$C$6:$C$2225=E$6)*('Multi-start Raw data'!$J$6:$J$2225="Fully converged"))</f>
        <v>2.5379999999999998</v>
      </c>
      <c r="F95">
        <f t="array" ref="F95">SUM('Multi-start Raw data'!$D$6:$D$2225*('Multi-start Raw data'!$B$6:$B$2225=$A95)*('Multi-start Raw data'!$C$6:$C$2225=F$6)*('Multi-start Raw data'!$J$6:$J$2225="Fully converged"))</f>
        <v>2.52</v>
      </c>
      <c r="G95">
        <f t="array" ref="G95">SUM('Multi-start Raw data'!$D$6:$D$2225*('Multi-start Raw data'!$B$6:$B$2225=$A95)*('Multi-start Raw data'!$C$6:$C$2225=G$6)*('Multi-start Raw data'!$J$6:$J$2225="Fully converged"))</f>
        <v>2.5390000000000001</v>
      </c>
      <c r="H95">
        <f t="array" ref="H95">SUM('Multi-start Raw data'!$D$6:$D$2225*('Multi-start Raw data'!$B$6:$B$2225=$A95)*('Multi-start Raw data'!$C$6:$C$2225=H$6)*('Multi-start Raw data'!$J$6:$J$2225="Fully converged"))</f>
        <v>2.54</v>
      </c>
      <c r="I95">
        <f t="array" ref="I95">SUM('Multi-start Raw data'!$D$6:$D$2225*('Multi-start Raw data'!$B$6:$B$2225=$A95)*('Multi-start Raw data'!$C$6:$C$2225=I$6)*('Multi-start Raw data'!$J$6:$J$2225="Fully converged"))</f>
        <v>2.54</v>
      </c>
      <c r="J95">
        <f t="array" ref="J95">SUM('Multi-start Raw data'!$D$6:$D$2225*('Multi-start Raw data'!$B$6:$B$2225=$A95)*('Multi-start Raw data'!$C$6:$C$2225=J$6)*('Multi-start Raw data'!$J$6:$J$2225="Fully converged"))</f>
        <v>2.516</v>
      </c>
      <c r="K95">
        <f t="array" ref="K95">SUM('Multi-start Raw data'!$D$6:$D$2225*('Multi-start Raw data'!$B$6:$B$2225=$A95)*('Multi-start Raw data'!$C$6:$C$2225=K$6)*('Multi-start Raw data'!$J$6:$J$2225="Fully converged"))</f>
        <v>0</v>
      </c>
      <c r="L95">
        <f t="array" ref="L95">SUM('Multi-start Raw data'!$D$6:$D$2225*('Multi-start Raw data'!$B$6:$B$2225=$A95)*('Multi-start Raw data'!$C$6:$C$2225=L$6)*('Multi-start Raw data'!$J$6:$J$2225="Fully converged"))</f>
        <v>2.536</v>
      </c>
      <c r="M95">
        <f t="array" ref="M95">SUM('Multi-start Raw data'!$D$6:$D$2225*('Multi-start Raw data'!$B$6:$B$2225=$A95)*('Multi-start Raw data'!$C$6:$C$2225=M$6)*('Multi-start Raw data'!$J$6:$J$2225="Fully converged"))</f>
        <v>2.54</v>
      </c>
      <c r="N95">
        <f t="array" ref="N95">SUM('Multi-start Raw data'!$D$6:$D$2225*('Multi-start Raw data'!$B$6:$B$2225=$A95)*('Multi-start Raw data'!$C$6:$C$2225=N$6)*('Multi-start Raw data'!$J$6:$J$2225="Fully converged"))</f>
        <v>2.54</v>
      </c>
      <c r="O95">
        <f t="array" ref="O95">SUM('Multi-start Raw data'!$D$6:$D$2225*('Multi-start Raw data'!$B$6:$B$2225=$A95)*('Multi-start Raw data'!$C$6:$C$2225=O$6)*('Multi-start Raw data'!$J$6:$J$2225="Fully converged"))</f>
        <v>2.5259999999999998</v>
      </c>
      <c r="P95">
        <f t="array" ref="P95">SUM('Multi-start Raw data'!$D$6:$D$2225*('Multi-start Raw data'!$B$6:$B$2225=$A95)*('Multi-start Raw data'!$C$6:$C$2225=P$6)*('Multi-start Raw data'!$J$6:$J$2225="Fully converged"))</f>
        <v>0</v>
      </c>
      <c r="Q95">
        <f t="array" ref="Q95">SUM('Multi-start Raw data'!$D$6:$D$2225*('Multi-start Raw data'!$B$6:$B$2225=$A95)*('Multi-start Raw data'!$C$6:$C$2225=Q$6)*('Multi-start Raw data'!$J$6:$J$2225="Fully converged"))</f>
        <v>2.5259999999999998</v>
      </c>
      <c r="R95">
        <f t="array" ref="R95">SUM('Multi-start Raw data'!$D$6:$D$2225*('Multi-start Raw data'!$B$6:$B$2225=$A95)*('Multi-start Raw data'!$C$6:$C$2225=R$6)*('Multi-start Raw data'!$J$6:$J$2225="Fully converged"))</f>
        <v>2.5369999999999999</v>
      </c>
      <c r="S95">
        <f t="array" ref="S95">SUM('Multi-start Raw data'!$D$6:$D$2225*('Multi-start Raw data'!$B$6:$B$2225=$A95)*('Multi-start Raw data'!$C$6:$C$2225=S$6)*('Multi-start Raw data'!$J$6:$J$2225="Fully converged"))</f>
        <v>2.5169999999999999</v>
      </c>
      <c r="T95">
        <f t="array" ref="T95">SUM('Multi-start Raw data'!$D$6:$D$2225*('Multi-start Raw data'!$B$6:$B$2225=$A95)*('Multi-start Raw data'!$C$6:$C$2225=T$6)*('Multi-start Raw data'!$J$6:$J$2225="Fully converged"))</f>
        <v>2.5390000000000001</v>
      </c>
      <c r="U95">
        <f t="array" ref="U95">SUM('Multi-start Raw data'!$D$6:$D$2225*('Multi-start Raw data'!$B$6:$B$2225=$A95)*('Multi-start Raw data'!$C$6:$C$2225=U$6)*('Multi-start Raw data'!$J$6:$J$2225="Fully converged"))</f>
        <v>2.52</v>
      </c>
      <c r="W95" s="6">
        <f t="shared" si="29"/>
        <v>2.5390000000000001</v>
      </c>
      <c r="X95" s="6">
        <f t="shared" si="30"/>
        <v>2.54</v>
      </c>
      <c r="Y95" s="6">
        <f t="shared" si="31"/>
        <v>2.54</v>
      </c>
      <c r="Z95" s="6">
        <f t="shared" si="32"/>
        <v>2.54</v>
      </c>
      <c r="AA95" s="6">
        <f t="shared" si="33"/>
        <v>2.54</v>
      </c>
      <c r="AB95" s="6"/>
      <c r="AC95" s="6">
        <f t="shared" si="34"/>
        <v>9.9999999999988987E-4</v>
      </c>
      <c r="AD95" s="6">
        <f t="shared" si="35"/>
        <v>0</v>
      </c>
      <c r="AE95" s="6">
        <f t="shared" si="36"/>
        <v>0</v>
      </c>
      <c r="AF95" s="6">
        <f t="shared" si="37"/>
        <v>0</v>
      </c>
      <c r="AG95" s="6">
        <f t="shared" si="39"/>
        <v>3.9370078740153143E-2</v>
      </c>
      <c r="AH95" s="6">
        <f t="shared" si="40"/>
        <v>0</v>
      </c>
      <c r="AI95" s="6">
        <f t="shared" si="41"/>
        <v>0</v>
      </c>
      <c r="AJ95" s="6">
        <f t="shared" si="42"/>
        <v>0</v>
      </c>
      <c r="AK95" s="6">
        <f t="shared" si="43"/>
        <v>0</v>
      </c>
      <c r="AM95" s="16">
        <f t="shared" si="38"/>
        <v>0.1</v>
      </c>
    </row>
    <row r="96" spans="1:39" x14ac:dyDescent="0.3">
      <c r="A96" s="1" t="s">
        <v>2087</v>
      </c>
      <c r="B96">
        <f t="array" ref="B96">SUM('Multi-start Raw data'!$D$6:$D$2225*('Multi-start Raw data'!$B$6:$B$2225=$A96)*('Multi-start Raw data'!$C$6:$C$2225=B$6)*('Multi-start Raw data'!$J$6:$J$2225="Fully converged"))</f>
        <v>2.4929999999999999</v>
      </c>
      <c r="C96">
        <f t="array" ref="C96">SUM('Multi-start Raw data'!$D$6:$D$2225*('Multi-start Raw data'!$B$6:$B$2225=$A96)*('Multi-start Raw data'!$C$6:$C$2225=C$6)*('Multi-start Raw data'!$J$6:$J$2225="Fully converged"))</f>
        <v>2.4910000000000001</v>
      </c>
      <c r="D96">
        <f t="array" ref="D96">SUM('Multi-start Raw data'!$D$6:$D$2225*('Multi-start Raw data'!$B$6:$B$2225=$A96)*('Multi-start Raw data'!$C$6:$C$2225=D$6)*('Multi-start Raw data'!$J$6:$J$2225="Fully converged"))</f>
        <v>2.4950000000000001</v>
      </c>
      <c r="E96">
        <f t="array" ref="E96">SUM('Multi-start Raw data'!$D$6:$D$2225*('Multi-start Raw data'!$B$6:$B$2225=$A96)*('Multi-start Raw data'!$C$6:$C$2225=E$6)*('Multi-start Raw data'!$J$6:$J$2225="Fully converged"))</f>
        <v>2.4950000000000001</v>
      </c>
      <c r="F96">
        <f t="array" ref="F96">SUM('Multi-start Raw data'!$D$6:$D$2225*('Multi-start Raw data'!$B$6:$B$2225=$A96)*('Multi-start Raw data'!$C$6:$C$2225=F$6)*('Multi-start Raw data'!$J$6:$J$2225="Fully converged"))</f>
        <v>2.4790000000000001</v>
      </c>
      <c r="G96">
        <f t="array" ref="G96">SUM('Multi-start Raw data'!$D$6:$D$2225*('Multi-start Raw data'!$B$6:$B$2225=$A96)*('Multi-start Raw data'!$C$6:$C$2225=G$6)*('Multi-start Raw data'!$J$6:$J$2225="Fully converged"))</f>
        <v>2.4900000000000002</v>
      </c>
      <c r="H96">
        <f t="array" ref="H96">SUM('Multi-start Raw data'!$D$6:$D$2225*('Multi-start Raw data'!$B$6:$B$2225=$A96)*('Multi-start Raw data'!$C$6:$C$2225=H$6)*('Multi-start Raw data'!$J$6:$J$2225="Fully converged"))</f>
        <v>2.4790000000000001</v>
      </c>
      <c r="I96">
        <f t="array" ref="I96">SUM('Multi-start Raw data'!$D$6:$D$2225*('Multi-start Raw data'!$B$6:$B$2225=$A96)*('Multi-start Raw data'!$C$6:$C$2225=I$6)*('Multi-start Raw data'!$J$6:$J$2225="Fully converged"))</f>
        <v>2.4900000000000002</v>
      </c>
      <c r="J96">
        <f t="array" ref="J96">SUM('Multi-start Raw data'!$D$6:$D$2225*('Multi-start Raw data'!$B$6:$B$2225=$A96)*('Multi-start Raw data'!$C$6:$C$2225=J$6)*('Multi-start Raw data'!$J$6:$J$2225="Fully converged"))</f>
        <v>2.4940000000000002</v>
      </c>
      <c r="K96">
        <f t="array" ref="K96">SUM('Multi-start Raw data'!$D$6:$D$2225*('Multi-start Raw data'!$B$6:$B$2225=$A96)*('Multi-start Raw data'!$C$6:$C$2225=K$6)*('Multi-start Raw data'!$J$6:$J$2225="Fully converged"))</f>
        <v>2.4940000000000002</v>
      </c>
      <c r="L96">
        <f t="array" ref="L96">SUM('Multi-start Raw data'!$D$6:$D$2225*('Multi-start Raw data'!$B$6:$B$2225=$A96)*('Multi-start Raw data'!$C$6:$C$2225=L$6)*('Multi-start Raw data'!$J$6:$J$2225="Fully converged"))</f>
        <v>2.4980000000000002</v>
      </c>
      <c r="M96">
        <f t="array" ref="M96">SUM('Multi-start Raw data'!$D$6:$D$2225*('Multi-start Raw data'!$B$6:$B$2225=$A96)*('Multi-start Raw data'!$C$6:$C$2225=M$6)*('Multi-start Raw data'!$J$6:$J$2225="Fully converged"))</f>
        <v>2.4790000000000001</v>
      </c>
      <c r="N96">
        <f t="array" ref="N96">SUM('Multi-start Raw data'!$D$6:$D$2225*('Multi-start Raw data'!$B$6:$B$2225=$A96)*('Multi-start Raw data'!$C$6:$C$2225=N$6)*('Multi-start Raw data'!$J$6:$J$2225="Fully converged"))</f>
        <v>2.4750000000000001</v>
      </c>
      <c r="O96">
        <f t="array" ref="O96">SUM('Multi-start Raw data'!$D$6:$D$2225*('Multi-start Raw data'!$B$6:$B$2225=$A96)*('Multi-start Raw data'!$C$6:$C$2225=O$6)*('Multi-start Raw data'!$J$6:$J$2225="Fully converged"))</f>
        <v>0</v>
      </c>
      <c r="P96">
        <f t="array" ref="P96">SUM('Multi-start Raw data'!$D$6:$D$2225*('Multi-start Raw data'!$B$6:$B$2225=$A96)*('Multi-start Raw data'!$C$6:$C$2225=P$6)*('Multi-start Raw data'!$J$6:$J$2225="Fully converged"))</f>
        <v>2.4449999999999998</v>
      </c>
      <c r="Q96">
        <f t="array" ref="Q96">SUM('Multi-start Raw data'!$D$6:$D$2225*('Multi-start Raw data'!$B$6:$B$2225=$A96)*('Multi-start Raw data'!$C$6:$C$2225=Q$6)*('Multi-start Raw data'!$J$6:$J$2225="Fully converged"))</f>
        <v>2.4769999999999999</v>
      </c>
      <c r="R96">
        <f t="array" ref="R96">SUM('Multi-start Raw data'!$D$6:$D$2225*('Multi-start Raw data'!$B$6:$B$2225=$A96)*('Multi-start Raw data'!$C$6:$C$2225=R$6)*('Multi-start Raw data'!$J$6:$J$2225="Fully converged"))</f>
        <v>2.4950000000000001</v>
      </c>
      <c r="S96">
        <f t="array" ref="S96">SUM('Multi-start Raw data'!$D$6:$D$2225*('Multi-start Raw data'!$B$6:$B$2225=$A96)*('Multi-start Raw data'!$C$6:$C$2225=S$6)*('Multi-start Raw data'!$J$6:$J$2225="Fully converged"))</f>
        <v>2.4980000000000002</v>
      </c>
      <c r="T96">
        <f t="array" ref="T96">SUM('Multi-start Raw data'!$D$6:$D$2225*('Multi-start Raw data'!$B$6:$B$2225=$A96)*('Multi-start Raw data'!$C$6:$C$2225=T$6)*('Multi-start Raw data'!$J$6:$J$2225="Fully converged"))</f>
        <v>2.4620000000000002</v>
      </c>
      <c r="U96">
        <f t="array" ref="U96">SUM('Multi-start Raw data'!$D$6:$D$2225*('Multi-start Raw data'!$B$6:$B$2225=$A96)*('Multi-start Raw data'!$C$6:$C$2225=U$6)*('Multi-start Raw data'!$J$6:$J$2225="Fully converged"))</f>
        <v>2.4950000000000001</v>
      </c>
      <c r="W96" s="6">
        <f t="shared" si="29"/>
        <v>2.4950000000000001</v>
      </c>
      <c r="X96" s="6">
        <f t="shared" si="30"/>
        <v>2.4950000000000001</v>
      </c>
      <c r="Y96" s="6">
        <f t="shared" si="31"/>
        <v>2.4980000000000002</v>
      </c>
      <c r="Z96" s="6">
        <f t="shared" si="32"/>
        <v>2.4980000000000002</v>
      </c>
      <c r="AA96" s="6">
        <f t="shared" si="33"/>
        <v>2.4980000000000002</v>
      </c>
      <c r="AB96" s="6"/>
      <c r="AC96" s="6">
        <f t="shared" si="34"/>
        <v>0</v>
      </c>
      <c r="AD96" s="6">
        <f t="shared" si="35"/>
        <v>3.0000000000001137E-3</v>
      </c>
      <c r="AE96" s="6">
        <f t="shared" si="36"/>
        <v>0</v>
      </c>
      <c r="AF96" s="6">
        <f t="shared" si="37"/>
        <v>0</v>
      </c>
      <c r="AG96" s="6">
        <f t="shared" si="39"/>
        <v>0.12009607686149373</v>
      </c>
      <c r="AH96" s="6">
        <f t="shared" si="40"/>
        <v>0.12009607686149373</v>
      </c>
      <c r="AI96" s="6">
        <f t="shared" si="41"/>
        <v>0</v>
      </c>
      <c r="AJ96" s="6">
        <f t="shared" si="42"/>
        <v>0</v>
      </c>
      <c r="AK96" s="6">
        <f t="shared" si="43"/>
        <v>0</v>
      </c>
      <c r="AM96" s="16">
        <f t="shared" si="38"/>
        <v>0.1</v>
      </c>
    </row>
    <row r="97" spans="1:39" x14ac:dyDescent="0.3">
      <c r="A97" s="1" t="s">
        <v>2099</v>
      </c>
      <c r="B97">
        <f t="array" ref="B97">SUM('Multi-start Raw data'!$D$6:$D$2225*('Multi-start Raw data'!$B$6:$B$2225=$A97)*('Multi-start Raw data'!$C$6:$C$2225=B$6)*('Multi-start Raw data'!$J$6:$J$2225="Fully converged"))</f>
        <v>2.5089999999999999</v>
      </c>
      <c r="C97">
        <f t="array" ref="C97">SUM('Multi-start Raw data'!$D$6:$D$2225*('Multi-start Raw data'!$B$6:$B$2225=$A97)*('Multi-start Raw data'!$C$6:$C$2225=C$6)*('Multi-start Raw data'!$J$6:$J$2225="Fully converged"))</f>
        <v>2.5150000000000001</v>
      </c>
      <c r="D97">
        <f t="array" ref="D97">SUM('Multi-start Raw data'!$D$6:$D$2225*('Multi-start Raw data'!$B$6:$B$2225=$A97)*('Multi-start Raw data'!$C$6:$C$2225=D$6)*('Multi-start Raw data'!$J$6:$J$2225="Fully converged"))</f>
        <v>2.4950000000000001</v>
      </c>
      <c r="E97">
        <f t="array" ref="E97">SUM('Multi-start Raw data'!$D$6:$D$2225*('Multi-start Raw data'!$B$6:$B$2225=$A97)*('Multi-start Raw data'!$C$6:$C$2225=E$6)*('Multi-start Raw data'!$J$6:$J$2225="Fully converged"))</f>
        <v>2.5139999999999998</v>
      </c>
      <c r="F97">
        <f t="array" ref="F97">SUM('Multi-start Raw data'!$D$6:$D$2225*('Multi-start Raw data'!$B$6:$B$2225=$A97)*('Multi-start Raw data'!$C$6:$C$2225=F$6)*('Multi-start Raw data'!$J$6:$J$2225="Fully converged"))</f>
        <v>0</v>
      </c>
      <c r="G97">
        <f t="array" ref="G97">SUM('Multi-start Raw data'!$D$6:$D$2225*('Multi-start Raw data'!$B$6:$B$2225=$A97)*('Multi-start Raw data'!$C$6:$C$2225=G$6)*('Multi-start Raw data'!$J$6:$J$2225="Fully converged"))</f>
        <v>2.5169999999999999</v>
      </c>
      <c r="H97">
        <f t="array" ref="H97">SUM('Multi-start Raw data'!$D$6:$D$2225*('Multi-start Raw data'!$B$6:$B$2225=$A97)*('Multi-start Raw data'!$C$6:$C$2225=H$6)*('Multi-start Raw data'!$J$6:$J$2225="Fully converged"))</f>
        <v>2.5129999999999999</v>
      </c>
      <c r="I97">
        <f t="array" ref="I97">SUM('Multi-start Raw data'!$D$6:$D$2225*('Multi-start Raw data'!$B$6:$B$2225=$A97)*('Multi-start Raw data'!$C$6:$C$2225=I$6)*('Multi-start Raw data'!$J$6:$J$2225="Fully converged"))</f>
        <v>2.5169999999999999</v>
      </c>
      <c r="J97">
        <f t="array" ref="J97">SUM('Multi-start Raw data'!$D$6:$D$2225*('Multi-start Raw data'!$B$6:$B$2225=$A97)*('Multi-start Raw data'!$C$6:$C$2225=J$6)*('Multi-start Raw data'!$J$6:$J$2225="Fully converged"))</f>
        <v>2.5150000000000001</v>
      </c>
      <c r="K97">
        <f t="array" ref="K97">SUM('Multi-start Raw data'!$D$6:$D$2225*('Multi-start Raw data'!$B$6:$B$2225=$A97)*('Multi-start Raw data'!$C$6:$C$2225=K$6)*('Multi-start Raw data'!$J$6:$J$2225="Fully converged"))</f>
        <v>2.5099999999999998</v>
      </c>
      <c r="L97">
        <f t="array" ref="L97">SUM('Multi-start Raw data'!$D$6:$D$2225*('Multi-start Raw data'!$B$6:$B$2225=$A97)*('Multi-start Raw data'!$C$6:$C$2225=L$6)*('Multi-start Raw data'!$J$6:$J$2225="Fully converged"))</f>
        <v>2.5139999999999998</v>
      </c>
      <c r="M97">
        <f t="array" ref="M97">SUM('Multi-start Raw data'!$D$6:$D$2225*('Multi-start Raw data'!$B$6:$B$2225=$A97)*('Multi-start Raw data'!$C$6:$C$2225=M$6)*('Multi-start Raw data'!$J$6:$J$2225="Fully converged"))</f>
        <v>2.508</v>
      </c>
      <c r="N97">
        <f t="array" ref="N97">SUM('Multi-start Raw data'!$D$6:$D$2225*('Multi-start Raw data'!$B$6:$B$2225=$A97)*('Multi-start Raw data'!$C$6:$C$2225=N$6)*('Multi-start Raw data'!$J$6:$J$2225="Fully converged"))</f>
        <v>2.5019999999999998</v>
      </c>
      <c r="O97">
        <f t="array" ref="O97">SUM('Multi-start Raw data'!$D$6:$D$2225*('Multi-start Raw data'!$B$6:$B$2225=$A97)*('Multi-start Raw data'!$C$6:$C$2225=O$6)*('Multi-start Raw data'!$J$6:$J$2225="Fully converged"))</f>
        <v>2.5139999999999998</v>
      </c>
      <c r="P97">
        <f t="array" ref="P97">SUM('Multi-start Raw data'!$D$6:$D$2225*('Multi-start Raw data'!$B$6:$B$2225=$A97)*('Multi-start Raw data'!$C$6:$C$2225=P$6)*('Multi-start Raw data'!$J$6:$J$2225="Fully converged"))</f>
        <v>2.5070000000000001</v>
      </c>
      <c r="Q97">
        <f t="array" ref="Q97">SUM('Multi-start Raw data'!$D$6:$D$2225*('Multi-start Raw data'!$B$6:$B$2225=$A97)*('Multi-start Raw data'!$C$6:$C$2225=Q$6)*('Multi-start Raw data'!$J$6:$J$2225="Fully converged"))</f>
        <v>2.5150000000000001</v>
      </c>
      <c r="R97">
        <f t="array" ref="R97">SUM('Multi-start Raw data'!$D$6:$D$2225*('Multi-start Raw data'!$B$6:$B$2225=$A97)*('Multi-start Raw data'!$C$6:$C$2225=R$6)*('Multi-start Raw data'!$J$6:$J$2225="Fully converged"))</f>
        <v>2.5139999999999998</v>
      </c>
      <c r="S97">
        <f t="array" ref="S97">SUM('Multi-start Raw data'!$D$6:$D$2225*('Multi-start Raw data'!$B$6:$B$2225=$A97)*('Multi-start Raw data'!$C$6:$C$2225=S$6)*('Multi-start Raw data'!$J$6:$J$2225="Fully converged"))</f>
        <v>2.5139999999999998</v>
      </c>
      <c r="T97">
        <f t="array" ref="T97">SUM('Multi-start Raw data'!$D$6:$D$2225*('Multi-start Raw data'!$B$6:$B$2225=$A97)*('Multi-start Raw data'!$C$6:$C$2225=T$6)*('Multi-start Raw data'!$J$6:$J$2225="Fully converged"))</f>
        <v>0</v>
      </c>
      <c r="U97">
        <f t="array" ref="U97">SUM('Multi-start Raw data'!$D$6:$D$2225*('Multi-start Raw data'!$B$6:$B$2225=$A97)*('Multi-start Raw data'!$C$6:$C$2225=U$6)*('Multi-start Raw data'!$J$6:$J$2225="Fully converged"))</f>
        <v>2.492</v>
      </c>
      <c r="W97" s="6">
        <f t="shared" si="29"/>
        <v>2.5150000000000001</v>
      </c>
      <c r="X97" s="6">
        <f t="shared" si="30"/>
        <v>2.5169999999999999</v>
      </c>
      <c r="Y97" s="6">
        <f t="shared" si="31"/>
        <v>2.5169999999999999</v>
      </c>
      <c r="Z97" s="6">
        <f t="shared" si="32"/>
        <v>2.5169999999999999</v>
      </c>
      <c r="AA97" s="6">
        <f t="shared" si="33"/>
        <v>2.5169999999999999</v>
      </c>
      <c r="AB97" s="6"/>
      <c r="AC97" s="6">
        <f t="shared" si="34"/>
        <v>1.9999999999997797E-3</v>
      </c>
      <c r="AD97" s="6">
        <f t="shared" si="35"/>
        <v>0</v>
      </c>
      <c r="AE97" s="6">
        <f t="shared" si="36"/>
        <v>0</v>
      </c>
      <c r="AF97" s="6">
        <f t="shared" si="37"/>
        <v>0</v>
      </c>
      <c r="AG97" s="6">
        <f t="shared" si="39"/>
        <v>7.9459674215326973E-2</v>
      </c>
      <c r="AH97" s="6">
        <f t="shared" si="40"/>
        <v>0</v>
      </c>
      <c r="AI97" s="6">
        <f t="shared" si="41"/>
        <v>0</v>
      </c>
      <c r="AJ97" s="6">
        <f t="shared" si="42"/>
        <v>0</v>
      </c>
      <c r="AK97" s="6">
        <f t="shared" si="43"/>
        <v>0</v>
      </c>
      <c r="AM97" s="16">
        <f t="shared" si="38"/>
        <v>0.1</v>
      </c>
    </row>
    <row r="98" spans="1:39" x14ac:dyDescent="0.3">
      <c r="A98" s="1" t="s">
        <v>2120</v>
      </c>
      <c r="B98">
        <f t="array" ref="B98">SUM('Multi-start Raw data'!$D$6:$D$2225*('Multi-start Raw data'!$B$6:$B$2225=$A98)*('Multi-start Raw data'!$C$6:$C$2225=B$6)*('Multi-start Raw data'!$J$6:$J$2225="Fully converged"))</f>
        <v>0</v>
      </c>
      <c r="C98">
        <f t="array" ref="C98">SUM('Multi-start Raw data'!$D$6:$D$2225*('Multi-start Raw data'!$B$6:$B$2225=$A98)*('Multi-start Raw data'!$C$6:$C$2225=C$6)*('Multi-start Raw data'!$J$6:$J$2225="Fully converged"))</f>
        <v>2.4729999999999999</v>
      </c>
      <c r="D98">
        <f t="array" ref="D98">SUM('Multi-start Raw data'!$D$6:$D$2225*('Multi-start Raw data'!$B$6:$B$2225=$A98)*('Multi-start Raw data'!$C$6:$C$2225=D$6)*('Multi-start Raw data'!$J$6:$J$2225="Fully converged"))</f>
        <v>2.5</v>
      </c>
      <c r="E98">
        <f t="array" ref="E98">SUM('Multi-start Raw data'!$D$6:$D$2225*('Multi-start Raw data'!$B$6:$B$2225=$A98)*('Multi-start Raw data'!$C$6:$C$2225=E$6)*('Multi-start Raw data'!$J$6:$J$2225="Fully converged"))</f>
        <v>2.5</v>
      </c>
      <c r="F98">
        <f t="array" ref="F98">SUM('Multi-start Raw data'!$D$6:$D$2225*('Multi-start Raw data'!$B$6:$B$2225=$A98)*('Multi-start Raw data'!$C$6:$C$2225=F$6)*('Multi-start Raw data'!$J$6:$J$2225="Fully converged"))</f>
        <v>2.4820000000000002</v>
      </c>
      <c r="G98">
        <f t="array" ref="G98">SUM('Multi-start Raw data'!$D$6:$D$2225*('Multi-start Raw data'!$B$6:$B$2225=$A98)*('Multi-start Raw data'!$C$6:$C$2225=G$6)*('Multi-start Raw data'!$J$6:$J$2225="Fully converged"))</f>
        <v>2.4969999999999999</v>
      </c>
      <c r="H98">
        <f t="array" ref="H98">SUM('Multi-start Raw data'!$D$6:$D$2225*('Multi-start Raw data'!$B$6:$B$2225=$A98)*('Multi-start Raw data'!$C$6:$C$2225=H$6)*('Multi-start Raw data'!$J$6:$J$2225="Fully converged"))</f>
        <v>2.4790000000000001</v>
      </c>
      <c r="I98">
        <f t="array" ref="I98">SUM('Multi-start Raw data'!$D$6:$D$2225*('Multi-start Raw data'!$B$6:$B$2225=$A98)*('Multi-start Raw data'!$C$6:$C$2225=I$6)*('Multi-start Raw data'!$J$6:$J$2225="Fully converged"))</f>
        <v>2.5</v>
      </c>
      <c r="J98">
        <f t="array" ref="J98">SUM('Multi-start Raw data'!$D$6:$D$2225*('Multi-start Raw data'!$B$6:$B$2225=$A98)*('Multi-start Raw data'!$C$6:$C$2225=J$6)*('Multi-start Raw data'!$J$6:$J$2225="Fully converged"))</f>
        <v>2.4980000000000002</v>
      </c>
      <c r="K98">
        <f t="array" ref="K98">SUM('Multi-start Raw data'!$D$6:$D$2225*('Multi-start Raw data'!$B$6:$B$2225=$A98)*('Multi-start Raw data'!$C$6:$C$2225=K$6)*('Multi-start Raw data'!$J$6:$J$2225="Fully converged"))</f>
        <v>2.4940000000000002</v>
      </c>
      <c r="L98">
        <f t="array" ref="L98">SUM('Multi-start Raw data'!$D$6:$D$2225*('Multi-start Raw data'!$B$6:$B$2225=$A98)*('Multi-start Raw data'!$C$6:$C$2225=L$6)*('Multi-start Raw data'!$J$6:$J$2225="Fully converged"))</f>
        <v>2.4980000000000002</v>
      </c>
      <c r="M98">
        <f t="array" ref="M98">SUM('Multi-start Raw data'!$D$6:$D$2225*('Multi-start Raw data'!$B$6:$B$2225=$A98)*('Multi-start Raw data'!$C$6:$C$2225=M$6)*('Multi-start Raw data'!$J$6:$J$2225="Fully converged"))</f>
        <v>2.4969999999999999</v>
      </c>
      <c r="N98">
        <f t="array" ref="N98">SUM('Multi-start Raw data'!$D$6:$D$2225*('Multi-start Raw data'!$B$6:$B$2225=$A98)*('Multi-start Raw data'!$C$6:$C$2225=N$6)*('Multi-start Raw data'!$J$6:$J$2225="Fully converged"))</f>
        <v>2.5</v>
      </c>
      <c r="O98">
        <f t="array" ref="O98">SUM('Multi-start Raw data'!$D$6:$D$2225*('Multi-start Raw data'!$B$6:$B$2225=$A98)*('Multi-start Raw data'!$C$6:$C$2225=O$6)*('Multi-start Raw data'!$J$6:$J$2225="Fully converged"))</f>
        <v>2.4980000000000002</v>
      </c>
      <c r="P98">
        <f t="array" ref="P98">SUM('Multi-start Raw data'!$D$6:$D$2225*('Multi-start Raw data'!$B$6:$B$2225=$A98)*('Multi-start Raw data'!$C$6:$C$2225=P$6)*('Multi-start Raw data'!$J$6:$J$2225="Fully converged"))</f>
        <v>2.4809999999999999</v>
      </c>
      <c r="Q98">
        <f t="array" ref="Q98">SUM('Multi-start Raw data'!$D$6:$D$2225*('Multi-start Raw data'!$B$6:$B$2225=$A98)*('Multi-start Raw data'!$C$6:$C$2225=Q$6)*('Multi-start Raw data'!$J$6:$J$2225="Fully converged"))</f>
        <v>2.4980000000000002</v>
      </c>
      <c r="R98">
        <f t="array" ref="R98">SUM('Multi-start Raw data'!$D$6:$D$2225*('Multi-start Raw data'!$B$6:$B$2225=$A98)*('Multi-start Raw data'!$C$6:$C$2225=R$6)*('Multi-start Raw data'!$J$6:$J$2225="Fully converged"))</f>
        <v>2.4980000000000002</v>
      </c>
      <c r="S98">
        <f t="array" ref="S98">SUM('Multi-start Raw data'!$D$6:$D$2225*('Multi-start Raw data'!$B$6:$B$2225=$A98)*('Multi-start Raw data'!$C$6:$C$2225=S$6)*('Multi-start Raw data'!$J$6:$J$2225="Fully converged"))</f>
        <v>0</v>
      </c>
      <c r="T98">
        <f t="array" ref="T98">SUM('Multi-start Raw data'!$D$6:$D$2225*('Multi-start Raw data'!$B$6:$B$2225=$A98)*('Multi-start Raw data'!$C$6:$C$2225=T$6)*('Multi-start Raw data'!$J$6:$J$2225="Fully converged"))</f>
        <v>2.5</v>
      </c>
      <c r="U98">
        <f t="array" ref="U98">SUM('Multi-start Raw data'!$D$6:$D$2225*('Multi-start Raw data'!$B$6:$B$2225=$A98)*('Multi-start Raw data'!$C$6:$C$2225=U$6)*('Multi-start Raw data'!$J$6:$J$2225="Fully converged"))</f>
        <v>2.4950000000000001</v>
      </c>
      <c r="W98" s="6">
        <f t="shared" si="29"/>
        <v>2.5</v>
      </c>
      <c r="X98" s="6">
        <f t="shared" si="30"/>
        <v>2.5</v>
      </c>
      <c r="Y98" s="6">
        <f t="shared" si="31"/>
        <v>2.5</v>
      </c>
      <c r="Z98" s="6">
        <f t="shared" si="32"/>
        <v>2.5</v>
      </c>
      <c r="AA98" s="6">
        <f t="shared" si="33"/>
        <v>2.5</v>
      </c>
      <c r="AB98" s="6"/>
      <c r="AC98" s="6">
        <f t="shared" si="34"/>
        <v>0</v>
      </c>
      <c r="AD98" s="6">
        <f t="shared" si="35"/>
        <v>0</v>
      </c>
      <c r="AE98" s="6">
        <f t="shared" si="36"/>
        <v>0</v>
      </c>
      <c r="AF98" s="6">
        <f t="shared" si="37"/>
        <v>0</v>
      </c>
      <c r="AG98" s="6">
        <f t="shared" si="39"/>
        <v>0</v>
      </c>
      <c r="AH98" s="6">
        <f t="shared" si="40"/>
        <v>0</v>
      </c>
      <c r="AI98" s="6">
        <f t="shared" si="41"/>
        <v>0</v>
      </c>
      <c r="AJ98" s="6">
        <f t="shared" si="42"/>
        <v>0</v>
      </c>
      <c r="AK98" s="6">
        <f t="shared" si="43"/>
        <v>0</v>
      </c>
      <c r="AM98" s="16">
        <f t="shared" si="38"/>
        <v>0.1</v>
      </c>
    </row>
    <row r="99" spans="1:39" x14ac:dyDescent="0.3">
      <c r="A99" s="1" t="s">
        <v>2138</v>
      </c>
      <c r="B99">
        <f t="array" ref="B99">SUM('Multi-start Raw data'!$D$6:$D$2225*('Multi-start Raw data'!$B$6:$B$2225=$A99)*('Multi-start Raw data'!$C$6:$C$2225=B$6)*('Multi-start Raw data'!$J$6:$J$2225="Fully converged"))</f>
        <v>2.5630000000000002</v>
      </c>
      <c r="C99">
        <f t="array" ref="C99">SUM('Multi-start Raw data'!$D$6:$D$2225*('Multi-start Raw data'!$B$6:$B$2225=$A99)*('Multi-start Raw data'!$C$6:$C$2225=C$6)*('Multi-start Raw data'!$J$6:$J$2225="Fully converged"))</f>
        <v>2.5630000000000002</v>
      </c>
      <c r="D99">
        <f t="array" ref="D99">SUM('Multi-start Raw data'!$D$6:$D$2225*('Multi-start Raw data'!$B$6:$B$2225=$A99)*('Multi-start Raw data'!$C$6:$C$2225=D$6)*('Multi-start Raw data'!$J$6:$J$2225="Fully converged"))</f>
        <v>2.5680000000000001</v>
      </c>
      <c r="E99">
        <f t="array" ref="E99">SUM('Multi-start Raw data'!$D$6:$D$2225*('Multi-start Raw data'!$B$6:$B$2225=$A99)*('Multi-start Raw data'!$C$6:$C$2225=E$6)*('Multi-start Raw data'!$J$6:$J$2225="Fully converged"))</f>
        <v>2.5619999999999998</v>
      </c>
      <c r="F99">
        <f t="array" ref="F99">SUM('Multi-start Raw data'!$D$6:$D$2225*('Multi-start Raw data'!$B$6:$B$2225=$A99)*('Multi-start Raw data'!$C$6:$C$2225=F$6)*('Multi-start Raw data'!$J$6:$J$2225="Fully converged"))</f>
        <v>2.5630000000000002</v>
      </c>
      <c r="G99">
        <f t="array" ref="G99">SUM('Multi-start Raw data'!$D$6:$D$2225*('Multi-start Raw data'!$B$6:$B$2225=$A99)*('Multi-start Raw data'!$C$6:$C$2225=G$6)*('Multi-start Raw data'!$J$6:$J$2225="Fully converged"))</f>
        <v>2.5630000000000002</v>
      </c>
      <c r="H99">
        <f t="array" ref="H99">SUM('Multi-start Raw data'!$D$6:$D$2225*('Multi-start Raw data'!$B$6:$B$2225=$A99)*('Multi-start Raw data'!$C$6:$C$2225=H$6)*('Multi-start Raw data'!$J$6:$J$2225="Fully converged"))</f>
        <v>2.5680000000000001</v>
      </c>
      <c r="I99">
        <f t="array" ref="I99">SUM('Multi-start Raw data'!$D$6:$D$2225*('Multi-start Raw data'!$B$6:$B$2225=$A99)*('Multi-start Raw data'!$C$6:$C$2225=I$6)*('Multi-start Raw data'!$J$6:$J$2225="Fully converged"))</f>
        <v>2.5619999999999998</v>
      </c>
      <c r="J99">
        <f t="array" ref="J99">SUM('Multi-start Raw data'!$D$6:$D$2225*('Multi-start Raw data'!$B$6:$B$2225=$A99)*('Multi-start Raw data'!$C$6:$C$2225=J$6)*('Multi-start Raw data'!$J$6:$J$2225="Fully converged"))</f>
        <v>2.5619999999999998</v>
      </c>
      <c r="K99">
        <f t="array" ref="K99">SUM('Multi-start Raw data'!$D$6:$D$2225*('Multi-start Raw data'!$B$6:$B$2225=$A99)*('Multi-start Raw data'!$C$6:$C$2225=K$6)*('Multi-start Raw data'!$J$6:$J$2225="Fully converged"))</f>
        <v>0</v>
      </c>
      <c r="L99">
        <f t="array" ref="L99">SUM('Multi-start Raw data'!$D$6:$D$2225*('Multi-start Raw data'!$B$6:$B$2225=$A99)*('Multi-start Raw data'!$C$6:$C$2225=L$6)*('Multi-start Raw data'!$J$6:$J$2225="Fully converged"))</f>
        <v>2.5680000000000001</v>
      </c>
      <c r="M99">
        <f t="array" ref="M99">SUM('Multi-start Raw data'!$D$6:$D$2225*('Multi-start Raw data'!$B$6:$B$2225=$A99)*('Multi-start Raw data'!$C$6:$C$2225=M$6)*('Multi-start Raw data'!$J$6:$J$2225="Fully converged"))</f>
        <v>2.56</v>
      </c>
      <c r="N99">
        <f t="array" ref="N99">SUM('Multi-start Raw data'!$D$6:$D$2225*('Multi-start Raw data'!$B$6:$B$2225=$A99)*('Multi-start Raw data'!$C$6:$C$2225=N$6)*('Multi-start Raw data'!$J$6:$J$2225="Fully converged"))</f>
        <v>2.5680000000000001</v>
      </c>
      <c r="O99">
        <f t="array" ref="O99">SUM('Multi-start Raw data'!$D$6:$D$2225*('Multi-start Raw data'!$B$6:$B$2225=$A99)*('Multi-start Raw data'!$C$6:$C$2225=O$6)*('Multi-start Raw data'!$J$6:$J$2225="Fully converged"))</f>
        <v>2.5619999999999998</v>
      </c>
      <c r="P99">
        <f t="array" ref="P99">SUM('Multi-start Raw data'!$D$6:$D$2225*('Multi-start Raw data'!$B$6:$B$2225=$A99)*('Multi-start Raw data'!$C$6:$C$2225=P$6)*('Multi-start Raw data'!$J$6:$J$2225="Fully converged"))</f>
        <v>2.5680000000000001</v>
      </c>
      <c r="Q99">
        <f t="array" ref="Q99">SUM('Multi-start Raw data'!$D$6:$D$2225*('Multi-start Raw data'!$B$6:$B$2225=$A99)*('Multi-start Raw data'!$C$6:$C$2225=Q$6)*('Multi-start Raw data'!$J$6:$J$2225="Fully converged"))</f>
        <v>2.5680000000000001</v>
      </c>
      <c r="R99">
        <f t="array" ref="R99">SUM('Multi-start Raw data'!$D$6:$D$2225*('Multi-start Raw data'!$B$6:$B$2225=$A99)*('Multi-start Raw data'!$C$6:$C$2225=R$6)*('Multi-start Raw data'!$J$6:$J$2225="Fully converged"))</f>
        <v>2.5630000000000002</v>
      </c>
      <c r="S99">
        <f t="array" ref="S99">SUM('Multi-start Raw data'!$D$6:$D$2225*('Multi-start Raw data'!$B$6:$B$2225=$A99)*('Multi-start Raw data'!$C$6:$C$2225=S$6)*('Multi-start Raw data'!$J$6:$J$2225="Fully converged"))</f>
        <v>2.5630000000000002</v>
      </c>
      <c r="T99">
        <f t="array" ref="T99">SUM('Multi-start Raw data'!$D$6:$D$2225*('Multi-start Raw data'!$B$6:$B$2225=$A99)*('Multi-start Raw data'!$C$6:$C$2225=T$6)*('Multi-start Raw data'!$J$6:$J$2225="Fully converged"))</f>
        <v>2.5680000000000001</v>
      </c>
      <c r="U99">
        <f t="array" ref="U99">SUM('Multi-start Raw data'!$D$6:$D$2225*('Multi-start Raw data'!$B$6:$B$2225=$A99)*('Multi-start Raw data'!$C$6:$C$2225=U$6)*('Multi-start Raw data'!$J$6:$J$2225="Fully converged"))</f>
        <v>2.5630000000000002</v>
      </c>
      <c r="W99" s="6">
        <f t="shared" si="29"/>
        <v>2.5680000000000001</v>
      </c>
      <c r="X99" s="6">
        <f t="shared" si="30"/>
        <v>2.5680000000000001</v>
      </c>
      <c r="Y99" s="6">
        <f t="shared" si="31"/>
        <v>2.5680000000000001</v>
      </c>
      <c r="Z99" s="6">
        <f t="shared" si="32"/>
        <v>2.5680000000000001</v>
      </c>
      <c r="AA99" s="6">
        <f t="shared" si="33"/>
        <v>2.5680000000000001</v>
      </c>
      <c r="AB99" s="6"/>
      <c r="AC99" s="6">
        <f t="shared" si="34"/>
        <v>0</v>
      </c>
      <c r="AD99" s="6">
        <f t="shared" si="35"/>
        <v>0</v>
      </c>
      <c r="AE99" s="6">
        <f t="shared" si="36"/>
        <v>0</v>
      </c>
      <c r="AF99" s="6">
        <f t="shared" si="37"/>
        <v>0</v>
      </c>
      <c r="AG99" s="6">
        <f t="shared" si="39"/>
        <v>0</v>
      </c>
      <c r="AH99" s="6">
        <f t="shared" si="40"/>
        <v>0</v>
      </c>
      <c r="AI99" s="6">
        <f t="shared" si="41"/>
        <v>0</v>
      </c>
      <c r="AJ99" s="6">
        <f t="shared" si="42"/>
        <v>0</v>
      </c>
      <c r="AK99" s="6">
        <f t="shared" si="43"/>
        <v>0</v>
      </c>
      <c r="AM99" s="16">
        <f t="shared" si="38"/>
        <v>0.1</v>
      </c>
    </row>
    <row r="100" spans="1:39" x14ac:dyDescent="0.3">
      <c r="A100" s="1" t="s">
        <v>2154</v>
      </c>
      <c r="B100">
        <f t="array" ref="B100">SUM('Multi-start Raw data'!$D$6:$D$2225*('Multi-start Raw data'!$B$6:$B$2225=$A100)*('Multi-start Raw data'!$C$6:$C$2225=B$6)*('Multi-start Raw data'!$J$6:$J$2225="Fully converged"))</f>
        <v>2.5169999999999999</v>
      </c>
      <c r="C100">
        <f t="array" ref="C100">SUM('Multi-start Raw data'!$D$6:$D$2225*('Multi-start Raw data'!$B$6:$B$2225=$A100)*('Multi-start Raw data'!$C$6:$C$2225=C$6)*('Multi-start Raw data'!$J$6:$J$2225="Fully converged"))</f>
        <v>2.504</v>
      </c>
      <c r="D100">
        <f t="array" ref="D100">SUM('Multi-start Raw data'!$D$6:$D$2225*('Multi-start Raw data'!$B$6:$B$2225=$A100)*('Multi-start Raw data'!$C$6:$C$2225=D$6)*('Multi-start Raw data'!$J$6:$J$2225="Fully converged"))</f>
        <v>2.528</v>
      </c>
      <c r="E100">
        <f t="array" ref="E100">SUM('Multi-start Raw data'!$D$6:$D$2225*('Multi-start Raw data'!$B$6:$B$2225=$A100)*('Multi-start Raw data'!$C$6:$C$2225=E$6)*('Multi-start Raw data'!$J$6:$J$2225="Fully converged"))</f>
        <v>2.4849999999999999</v>
      </c>
      <c r="F100">
        <f t="array" ref="F100">SUM('Multi-start Raw data'!$D$6:$D$2225*('Multi-start Raw data'!$B$6:$B$2225=$A100)*('Multi-start Raw data'!$C$6:$C$2225=F$6)*('Multi-start Raw data'!$J$6:$J$2225="Fully converged"))</f>
        <v>2.512</v>
      </c>
      <c r="G100">
        <f t="array" ref="G100">SUM('Multi-start Raw data'!$D$6:$D$2225*('Multi-start Raw data'!$B$6:$B$2225=$A100)*('Multi-start Raw data'!$C$6:$C$2225=G$6)*('Multi-start Raw data'!$J$6:$J$2225="Fully converged"))</f>
        <v>2.5019999999999998</v>
      </c>
      <c r="H100">
        <f t="array" ref="H100">SUM('Multi-start Raw data'!$D$6:$D$2225*('Multi-start Raw data'!$B$6:$B$2225=$A100)*('Multi-start Raw data'!$C$6:$C$2225=H$6)*('Multi-start Raw data'!$J$6:$J$2225="Fully converged"))</f>
        <v>2.5129999999999999</v>
      </c>
      <c r="I100">
        <f t="array" ref="I100">SUM('Multi-start Raw data'!$D$6:$D$2225*('Multi-start Raw data'!$B$6:$B$2225=$A100)*('Multi-start Raw data'!$C$6:$C$2225=I$6)*('Multi-start Raw data'!$J$6:$J$2225="Fully converged"))</f>
        <v>2.524</v>
      </c>
      <c r="J100">
        <f t="array" ref="J100">SUM('Multi-start Raw data'!$D$6:$D$2225*('Multi-start Raw data'!$B$6:$B$2225=$A100)*('Multi-start Raw data'!$C$6:$C$2225=J$6)*('Multi-start Raw data'!$J$6:$J$2225="Fully converged"))</f>
        <v>2.5249999999999999</v>
      </c>
      <c r="K100">
        <f t="array" ref="K100">SUM('Multi-start Raw data'!$D$6:$D$2225*('Multi-start Raw data'!$B$6:$B$2225=$A100)*('Multi-start Raw data'!$C$6:$C$2225=K$6)*('Multi-start Raw data'!$J$6:$J$2225="Fully converged"))</f>
        <v>2.5249999999999999</v>
      </c>
      <c r="L100">
        <f t="array" ref="L100">SUM('Multi-start Raw data'!$D$6:$D$2225*('Multi-start Raw data'!$B$6:$B$2225=$A100)*('Multi-start Raw data'!$C$6:$C$2225=L$6)*('Multi-start Raw data'!$J$6:$J$2225="Fully converged"))</f>
        <v>2.528</v>
      </c>
      <c r="M100">
        <f t="array" ref="M100">SUM('Multi-start Raw data'!$D$6:$D$2225*('Multi-start Raw data'!$B$6:$B$2225=$A100)*('Multi-start Raw data'!$C$6:$C$2225=M$6)*('Multi-start Raw data'!$J$6:$J$2225="Fully converged"))</f>
        <v>2.5169999999999999</v>
      </c>
      <c r="N100">
        <f t="array" ref="N100">SUM('Multi-start Raw data'!$D$6:$D$2225*('Multi-start Raw data'!$B$6:$B$2225=$A100)*('Multi-start Raw data'!$C$6:$C$2225=N$6)*('Multi-start Raw data'!$J$6:$J$2225="Fully converged"))</f>
        <v>2.5129999999999999</v>
      </c>
      <c r="O100">
        <f t="array" ref="O100">SUM('Multi-start Raw data'!$D$6:$D$2225*('Multi-start Raw data'!$B$6:$B$2225=$A100)*('Multi-start Raw data'!$C$6:$C$2225=O$6)*('Multi-start Raw data'!$J$6:$J$2225="Fully converged"))</f>
        <v>2.5230000000000001</v>
      </c>
      <c r="P100">
        <f t="array" ref="P100">SUM('Multi-start Raw data'!$D$6:$D$2225*('Multi-start Raw data'!$B$6:$B$2225=$A100)*('Multi-start Raw data'!$C$6:$C$2225=P$6)*('Multi-start Raw data'!$J$6:$J$2225="Fully converged"))</f>
        <v>2.528</v>
      </c>
      <c r="Q100">
        <f t="array" ref="Q100">SUM('Multi-start Raw data'!$D$6:$D$2225*('Multi-start Raw data'!$B$6:$B$2225=$A100)*('Multi-start Raw data'!$C$6:$C$2225=Q$6)*('Multi-start Raw data'!$J$6:$J$2225="Fully converged"))</f>
        <v>2.5169999999999999</v>
      </c>
      <c r="R100">
        <f t="array" ref="R100">SUM('Multi-start Raw data'!$D$6:$D$2225*('Multi-start Raw data'!$B$6:$B$2225=$A100)*('Multi-start Raw data'!$C$6:$C$2225=R$6)*('Multi-start Raw data'!$J$6:$J$2225="Fully converged"))</f>
        <v>2.5249999999999999</v>
      </c>
      <c r="S100">
        <f t="array" ref="S100">SUM('Multi-start Raw data'!$D$6:$D$2225*('Multi-start Raw data'!$B$6:$B$2225=$A100)*('Multi-start Raw data'!$C$6:$C$2225=S$6)*('Multi-start Raw data'!$J$6:$J$2225="Fully converged"))</f>
        <v>2.528</v>
      </c>
      <c r="T100">
        <f t="array" ref="T100">SUM('Multi-start Raw data'!$D$6:$D$2225*('Multi-start Raw data'!$B$6:$B$2225=$A100)*('Multi-start Raw data'!$C$6:$C$2225=T$6)*('Multi-start Raw data'!$J$6:$J$2225="Fully converged"))</f>
        <v>2.524</v>
      </c>
      <c r="U100">
        <f t="array" ref="U100">SUM('Multi-start Raw data'!$D$6:$D$2225*('Multi-start Raw data'!$B$6:$B$2225=$A100)*('Multi-start Raw data'!$C$6:$C$2225=U$6)*('Multi-start Raw data'!$J$6:$J$2225="Fully converged"))</f>
        <v>2.528</v>
      </c>
      <c r="W100" s="6">
        <f t="shared" si="29"/>
        <v>2.528</v>
      </c>
      <c r="X100" s="6">
        <f t="shared" si="30"/>
        <v>2.528</v>
      </c>
      <c r="Y100" s="6">
        <f t="shared" si="31"/>
        <v>2.528</v>
      </c>
      <c r="Z100" s="6">
        <f t="shared" si="32"/>
        <v>2.528</v>
      </c>
      <c r="AA100" s="6">
        <f t="shared" si="33"/>
        <v>2.528</v>
      </c>
      <c r="AB100" s="6"/>
      <c r="AC100" s="6">
        <f t="shared" si="34"/>
        <v>0</v>
      </c>
      <c r="AD100" s="6">
        <f t="shared" si="35"/>
        <v>0</v>
      </c>
      <c r="AE100" s="6">
        <f t="shared" si="36"/>
        <v>0</v>
      </c>
      <c r="AF100" s="6">
        <f t="shared" si="37"/>
        <v>0</v>
      </c>
      <c r="AG100" s="6">
        <f t="shared" si="39"/>
        <v>0</v>
      </c>
      <c r="AH100" s="6">
        <f t="shared" si="40"/>
        <v>0</v>
      </c>
      <c r="AI100" s="6">
        <f t="shared" si="41"/>
        <v>0</v>
      </c>
      <c r="AJ100" s="6">
        <f t="shared" si="42"/>
        <v>0</v>
      </c>
      <c r="AK100" s="6">
        <f t="shared" si="43"/>
        <v>0</v>
      </c>
      <c r="AM100" s="16">
        <f t="shared" si="38"/>
        <v>0.1</v>
      </c>
    </row>
    <row r="101" spans="1:39" x14ac:dyDescent="0.3">
      <c r="A101" s="1" t="s">
        <v>2167</v>
      </c>
      <c r="B101">
        <f t="array" ref="B101">SUM('Multi-start Raw data'!$D$6:$D$2225*('Multi-start Raw data'!$B$6:$B$2225=$A101)*('Multi-start Raw data'!$C$6:$C$2225=B$6)*('Multi-start Raw data'!$J$6:$J$2225="Fully converged"))</f>
        <v>2.5219999999999998</v>
      </c>
      <c r="C101">
        <f t="array" ref="C101">SUM('Multi-start Raw data'!$D$6:$D$2225*('Multi-start Raw data'!$B$6:$B$2225=$A101)*('Multi-start Raw data'!$C$6:$C$2225=C$6)*('Multi-start Raw data'!$J$6:$J$2225="Fully converged"))</f>
        <v>2.548</v>
      </c>
      <c r="D101">
        <f t="array" ref="D101">SUM('Multi-start Raw data'!$D$6:$D$2225*('Multi-start Raw data'!$B$6:$B$2225=$A101)*('Multi-start Raw data'!$C$6:$C$2225=D$6)*('Multi-start Raw data'!$J$6:$J$2225="Fully converged"))</f>
        <v>2.5510000000000002</v>
      </c>
      <c r="E101">
        <f t="array" ref="E101">SUM('Multi-start Raw data'!$D$6:$D$2225*('Multi-start Raw data'!$B$6:$B$2225=$A101)*('Multi-start Raw data'!$C$6:$C$2225=E$6)*('Multi-start Raw data'!$J$6:$J$2225="Fully converged"))</f>
        <v>2.5230000000000001</v>
      </c>
      <c r="F101">
        <f t="array" ref="F101">SUM('Multi-start Raw data'!$D$6:$D$2225*('Multi-start Raw data'!$B$6:$B$2225=$A101)*('Multi-start Raw data'!$C$6:$C$2225=F$6)*('Multi-start Raw data'!$J$6:$J$2225="Fully converged"))</f>
        <v>2.544</v>
      </c>
      <c r="G101">
        <f t="array" ref="G101">SUM('Multi-start Raw data'!$D$6:$D$2225*('Multi-start Raw data'!$B$6:$B$2225=$A101)*('Multi-start Raw data'!$C$6:$C$2225=G$6)*('Multi-start Raw data'!$J$6:$J$2225="Fully converged"))</f>
        <v>2.5510000000000002</v>
      </c>
      <c r="H101">
        <f t="array" ref="H101">SUM('Multi-start Raw data'!$D$6:$D$2225*('Multi-start Raw data'!$B$6:$B$2225=$A101)*('Multi-start Raw data'!$C$6:$C$2225=H$6)*('Multi-start Raw data'!$J$6:$J$2225="Fully converged"))</f>
        <v>2.5470000000000002</v>
      </c>
      <c r="I101">
        <f t="array" ref="I101">SUM('Multi-start Raw data'!$D$6:$D$2225*('Multi-start Raw data'!$B$6:$B$2225=$A101)*('Multi-start Raw data'!$C$6:$C$2225=I$6)*('Multi-start Raw data'!$J$6:$J$2225="Fully converged"))</f>
        <v>2.5430000000000001</v>
      </c>
      <c r="J101">
        <f t="array" ref="J101">SUM('Multi-start Raw data'!$D$6:$D$2225*('Multi-start Raw data'!$B$6:$B$2225=$A101)*('Multi-start Raw data'!$C$6:$C$2225=J$6)*('Multi-start Raw data'!$J$6:$J$2225="Fully converged"))</f>
        <v>2.548</v>
      </c>
      <c r="K101">
        <f t="array" ref="K101">SUM('Multi-start Raw data'!$D$6:$D$2225*('Multi-start Raw data'!$B$6:$B$2225=$A101)*('Multi-start Raw data'!$C$6:$C$2225=K$6)*('Multi-start Raw data'!$J$6:$J$2225="Fully converged"))</f>
        <v>2.548</v>
      </c>
      <c r="L101">
        <f t="array" ref="L101">SUM('Multi-start Raw data'!$D$6:$D$2225*('Multi-start Raw data'!$B$6:$B$2225=$A101)*('Multi-start Raw data'!$C$6:$C$2225=L$6)*('Multi-start Raw data'!$J$6:$J$2225="Fully converged"))</f>
        <v>2.5510000000000002</v>
      </c>
      <c r="M101">
        <f t="array" ref="M101">SUM('Multi-start Raw data'!$D$6:$D$2225*('Multi-start Raw data'!$B$6:$B$2225=$A101)*('Multi-start Raw data'!$C$6:$C$2225=M$6)*('Multi-start Raw data'!$J$6:$J$2225="Fully converged"))</f>
        <v>2.5430000000000001</v>
      </c>
      <c r="N101">
        <f t="array" ref="N101">SUM('Multi-start Raw data'!$D$6:$D$2225*('Multi-start Raw data'!$B$6:$B$2225=$A101)*('Multi-start Raw data'!$C$6:$C$2225=N$6)*('Multi-start Raw data'!$J$6:$J$2225="Fully converged"))</f>
        <v>2.5230000000000001</v>
      </c>
      <c r="O101">
        <f t="array" ref="O101">SUM('Multi-start Raw data'!$D$6:$D$2225*('Multi-start Raw data'!$B$6:$B$2225=$A101)*('Multi-start Raw data'!$C$6:$C$2225=O$6)*('Multi-start Raw data'!$J$6:$J$2225="Fully converged"))</f>
        <v>2.5449999999999999</v>
      </c>
      <c r="P101">
        <f t="array" ref="P101">SUM('Multi-start Raw data'!$D$6:$D$2225*('Multi-start Raw data'!$B$6:$B$2225=$A101)*('Multi-start Raw data'!$C$6:$C$2225=P$6)*('Multi-start Raw data'!$J$6:$J$2225="Fully converged"))</f>
        <v>2.5510000000000002</v>
      </c>
      <c r="Q101">
        <f t="array" ref="Q101">SUM('Multi-start Raw data'!$D$6:$D$2225*('Multi-start Raw data'!$B$6:$B$2225=$A101)*('Multi-start Raw data'!$C$6:$C$2225=Q$6)*('Multi-start Raw data'!$J$6:$J$2225="Fully converged"))</f>
        <v>0</v>
      </c>
      <c r="R101">
        <f t="array" ref="R101">SUM('Multi-start Raw data'!$D$6:$D$2225*('Multi-start Raw data'!$B$6:$B$2225=$A101)*('Multi-start Raw data'!$C$6:$C$2225=R$6)*('Multi-start Raw data'!$J$6:$J$2225="Fully converged"))</f>
        <v>2.5470000000000002</v>
      </c>
      <c r="S101">
        <f t="array" ref="S101">SUM('Multi-start Raw data'!$D$6:$D$2225*('Multi-start Raw data'!$B$6:$B$2225=$A101)*('Multi-start Raw data'!$C$6:$C$2225=S$6)*('Multi-start Raw data'!$J$6:$J$2225="Fully converged"))</f>
        <v>2.548</v>
      </c>
      <c r="T101">
        <f t="array" ref="T101">SUM('Multi-start Raw data'!$D$6:$D$2225*('Multi-start Raw data'!$B$6:$B$2225=$A101)*('Multi-start Raw data'!$C$6:$C$2225=T$6)*('Multi-start Raw data'!$J$6:$J$2225="Fully converged"))</f>
        <v>2.5510000000000002</v>
      </c>
      <c r="U101">
        <f t="array" ref="U101">SUM('Multi-start Raw data'!$D$6:$D$2225*('Multi-start Raw data'!$B$6:$B$2225=$A101)*('Multi-start Raw data'!$C$6:$C$2225=U$6)*('Multi-start Raw data'!$J$6:$J$2225="Fully converged"))</f>
        <v>2.548</v>
      </c>
      <c r="W101" s="6">
        <f t="shared" si="29"/>
        <v>2.5510000000000002</v>
      </c>
      <c r="X101" s="6">
        <f t="shared" si="30"/>
        <v>2.5510000000000002</v>
      </c>
      <c r="Y101" s="6">
        <f t="shared" si="31"/>
        <v>2.5510000000000002</v>
      </c>
      <c r="Z101" s="6">
        <f t="shared" si="32"/>
        <v>2.5510000000000002</v>
      </c>
      <c r="AA101" s="6">
        <f t="shared" si="33"/>
        <v>2.5510000000000002</v>
      </c>
      <c r="AB101" s="6"/>
      <c r="AC101" s="6">
        <f t="shared" si="34"/>
        <v>0</v>
      </c>
      <c r="AD101" s="6">
        <f t="shared" si="35"/>
        <v>0</v>
      </c>
      <c r="AE101" s="6">
        <f t="shared" si="36"/>
        <v>0</v>
      </c>
      <c r="AF101" s="6">
        <f t="shared" si="37"/>
        <v>0</v>
      </c>
      <c r="AG101" s="6">
        <f t="shared" si="39"/>
        <v>0</v>
      </c>
      <c r="AH101" s="6">
        <f t="shared" si="40"/>
        <v>0</v>
      </c>
      <c r="AI101" s="6">
        <f t="shared" si="41"/>
        <v>0</v>
      </c>
      <c r="AJ101" s="6">
        <f t="shared" si="42"/>
        <v>0</v>
      </c>
      <c r="AK101" s="6">
        <f t="shared" si="43"/>
        <v>0</v>
      </c>
      <c r="AM101" s="16">
        <f t="shared" si="38"/>
        <v>0.1</v>
      </c>
    </row>
    <row r="102" spans="1:39" x14ac:dyDescent="0.3">
      <c r="A102" s="1" t="s">
        <v>2180</v>
      </c>
      <c r="B102">
        <f t="array" ref="B102">SUM('Multi-start Raw data'!$D$6:$D$2225*('Multi-start Raw data'!$B$6:$B$2225=$A102)*('Multi-start Raw data'!$C$6:$C$2225=B$6)*('Multi-start Raw data'!$J$6:$J$2225="Fully converged"))</f>
        <v>2.4340000000000002</v>
      </c>
      <c r="C102">
        <f t="array" ref="C102">SUM('Multi-start Raw data'!$D$6:$D$2225*('Multi-start Raw data'!$B$6:$B$2225=$A102)*('Multi-start Raw data'!$C$6:$C$2225=C$6)*('Multi-start Raw data'!$J$6:$J$2225="Fully converged"))</f>
        <v>2.4329999999999998</v>
      </c>
      <c r="D102">
        <f t="array" ref="D102">SUM('Multi-start Raw data'!$D$6:$D$2225*('Multi-start Raw data'!$B$6:$B$2225=$A102)*('Multi-start Raw data'!$C$6:$C$2225=D$6)*('Multi-start Raw data'!$J$6:$J$2225="Fully converged"))</f>
        <v>0</v>
      </c>
      <c r="E102">
        <f t="array" ref="E102">SUM('Multi-start Raw data'!$D$6:$D$2225*('Multi-start Raw data'!$B$6:$B$2225=$A102)*('Multi-start Raw data'!$C$6:$C$2225=E$6)*('Multi-start Raw data'!$J$6:$J$2225="Fully converged"))</f>
        <v>2.4319999999999999</v>
      </c>
      <c r="F102">
        <f t="array" ref="F102">SUM('Multi-start Raw data'!$D$6:$D$2225*('Multi-start Raw data'!$B$6:$B$2225=$A102)*('Multi-start Raw data'!$C$6:$C$2225=F$6)*('Multi-start Raw data'!$J$6:$J$2225="Fully converged"))</f>
        <v>2.4340000000000002</v>
      </c>
      <c r="G102">
        <f t="array" ref="G102">SUM('Multi-start Raw data'!$D$6:$D$2225*('Multi-start Raw data'!$B$6:$B$2225=$A102)*('Multi-start Raw data'!$C$6:$C$2225=G$6)*('Multi-start Raw data'!$J$6:$J$2225="Fully converged"))</f>
        <v>0</v>
      </c>
      <c r="H102">
        <f t="array" ref="H102">SUM('Multi-start Raw data'!$D$6:$D$2225*('Multi-start Raw data'!$B$6:$B$2225=$A102)*('Multi-start Raw data'!$C$6:$C$2225=H$6)*('Multi-start Raw data'!$J$6:$J$2225="Fully converged"))</f>
        <v>2.4409999999999998</v>
      </c>
      <c r="I102">
        <f t="array" ref="I102">SUM('Multi-start Raw data'!$D$6:$D$2225*('Multi-start Raw data'!$B$6:$B$2225=$A102)*('Multi-start Raw data'!$C$6:$C$2225=I$6)*('Multi-start Raw data'!$J$6:$J$2225="Fully converged"))</f>
        <v>2.4409999999999998</v>
      </c>
      <c r="J102">
        <f t="array" ref="J102">SUM('Multi-start Raw data'!$D$6:$D$2225*('Multi-start Raw data'!$B$6:$B$2225=$A102)*('Multi-start Raw data'!$C$6:$C$2225=J$6)*('Multi-start Raw data'!$J$6:$J$2225="Fully converged"))</f>
        <v>2.4340000000000002</v>
      </c>
      <c r="K102">
        <f t="array" ref="K102">SUM('Multi-start Raw data'!$D$6:$D$2225*('Multi-start Raw data'!$B$6:$B$2225=$A102)*('Multi-start Raw data'!$C$6:$C$2225=K$6)*('Multi-start Raw data'!$J$6:$J$2225="Fully converged"))</f>
        <v>2.4319999999999999</v>
      </c>
      <c r="L102">
        <f t="array" ref="L102">SUM('Multi-start Raw data'!$D$6:$D$2225*('Multi-start Raw data'!$B$6:$B$2225=$A102)*('Multi-start Raw data'!$C$6:$C$2225=L$6)*('Multi-start Raw data'!$J$6:$J$2225="Fully converged"))</f>
        <v>2.4319999999999999</v>
      </c>
      <c r="M102">
        <f t="array" ref="M102">SUM('Multi-start Raw data'!$D$6:$D$2225*('Multi-start Raw data'!$B$6:$B$2225=$A102)*('Multi-start Raw data'!$C$6:$C$2225=M$6)*('Multi-start Raw data'!$J$6:$J$2225="Fully converged"))</f>
        <v>2.4289999999999998</v>
      </c>
      <c r="N102">
        <f t="array" ref="N102">SUM('Multi-start Raw data'!$D$6:$D$2225*('Multi-start Raw data'!$B$6:$B$2225=$A102)*('Multi-start Raw data'!$C$6:$C$2225=N$6)*('Multi-start Raw data'!$J$6:$J$2225="Fully converged"))</f>
        <v>2.4340000000000002</v>
      </c>
      <c r="O102">
        <f t="array" ref="O102">SUM('Multi-start Raw data'!$D$6:$D$2225*('Multi-start Raw data'!$B$6:$B$2225=$A102)*('Multi-start Raw data'!$C$6:$C$2225=O$6)*('Multi-start Raw data'!$J$6:$J$2225="Fully converged"))</f>
        <v>2.4340000000000002</v>
      </c>
      <c r="P102">
        <f t="array" ref="P102">SUM('Multi-start Raw data'!$D$6:$D$2225*('Multi-start Raw data'!$B$6:$B$2225=$A102)*('Multi-start Raw data'!$C$6:$C$2225=P$6)*('Multi-start Raw data'!$J$6:$J$2225="Fully converged"))</f>
        <v>2.4340000000000002</v>
      </c>
      <c r="Q102">
        <f t="array" ref="Q102">SUM('Multi-start Raw data'!$D$6:$D$2225*('Multi-start Raw data'!$B$6:$B$2225=$A102)*('Multi-start Raw data'!$C$6:$C$2225=Q$6)*('Multi-start Raw data'!$J$6:$J$2225="Fully converged"))</f>
        <v>2.4390000000000001</v>
      </c>
      <c r="R102">
        <f t="array" ref="R102">SUM('Multi-start Raw data'!$D$6:$D$2225*('Multi-start Raw data'!$B$6:$B$2225=$A102)*('Multi-start Raw data'!$C$6:$C$2225=R$6)*('Multi-start Raw data'!$J$6:$J$2225="Fully converged"))</f>
        <v>2.4340000000000002</v>
      </c>
      <c r="S102">
        <f t="array" ref="S102">SUM('Multi-start Raw data'!$D$6:$D$2225*('Multi-start Raw data'!$B$6:$B$2225=$A102)*('Multi-start Raw data'!$C$6:$C$2225=S$6)*('Multi-start Raw data'!$J$6:$J$2225="Fully converged"))</f>
        <v>2.4319999999999999</v>
      </c>
      <c r="T102">
        <f t="array" ref="T102">SUM('Multi-start Raw data'!$D$6:$D$2225*('Multi-start Raw data'!$B$6:$B$2225=$A102)*('Multi-start Raw data'!$C$6:$C$2225=T$6)*('Multi-start Raw data'!$J$6:$J$2225="Fully converged"))</f>
        <v>2.4159999999999999</v>
      </c>
      <c r="U102">
        <f t="array" ref="U102">SUM('Multi-start Raw data'!$D$6:$D$2225*('Multi-start Raw data'!$B$6:$B$2225=$A102)*('Multi-start Raw data'!$C$6:$C$2225=U$6)*('Multi-start Raw data'!$J$6:$J$2225="Fully converged"))</f>
        <v>2.4340000000000002</v>
      </c>
      <c r="W102" s="6">
        <f t="shared" si="29"/>
        <v>2.4340000000000002</v>
      </c>
      <c r="X102" s="6">
        <f t="shared" si="30"/>
        <v>2.4409999999999998</v>
      </c>
      <c r="Y102" s="6">
        <f t="shared" si="31"/>
        <v>2.4409999999999998</v>
      </c>
      <c r="Z102" s="6">
        <f t="shared" si="32"/>
        <v>2.4409999999999998</v>
      </c>
      <c r="AA102" s="6">
        <f t="shared" si="33"/>
        <v>2.4409999999999998</v>
      </c>
      <c r="AB102" s="6"/>
      <c r="AC102" s="6">
        <f t="shared" si="34"/>
        <v>6.9999999999996732E-3</v>
      </c>
      <c r="AD102" s="6">
        <f t="shared" si="35"/>
        <v>0</v>
      </c>
      <c r="AE102" s="6">
        <f t="shared" si="36"/>
        <v>0</v>
      </c>
      <c r="AF102" s="6">
        <f t="shared" si="37"/>
        <v>0</v>
      </c>
      <c r="AG102" s="6">
        <f t="shared" si="39"/>
        <v>0.2867677181482865</v>
      </c>
      <c r="AH102" s="6">
        <f t="shared" si="40"/>
        <v>0</v>
      </c>
      <c r="AI102" s="6">
        <f t="shared" si="41"/>
        <v>0</v>
      </c>
      <c r="AJ102" s="6">
        <f t="shared" si="42"/>
        <v>0</v>
      </c>
      <c r="AK102" s="6">
        <f t="shared" si="43"/>
        <v>0</v>
      </c>
      <c r="AM102" s="16">
        <f t="shared" si="38"/>
        <v>0.1</v>
      </c>
    </row>
    <row r="103" spans="1:39" x14ac:dyDescent="0.3">
      <c r="A103" s="1" t="s">
        <v>2197</v>
      </c>
      <c r="B103">
        <f t="array" ref="B103">SUM('Multi-start Raw data'!$D$6:$D$2225*('Multi-start Raw data'!$B$6:$B$2225=$A103)*('Multi-start Raw data'!$C$6:$C$2225=B$6)*('Multi-start Raw data'!$J$6:$J$2225="Fully converged"))</f>
        <v>2.532</v>
      </c>
      <c r="C103">
        <f t="array" ref="C103">SUM('Multi-start Raw data'!$D$6:$D$2225*('Multi-start Raw data'!$B$6:$B$2225=$A103)*('Multi-start Raw data'!$C$6:$C$2225=C$6)*('Multi-start Raw data'!$J$6:$J$2225="Fully converged"))</f>
        <v>2.528</v>
      </c>
      <c r="D103">
        <f t="array" ref="D103">SUM('Multi-start Raw data'!$D$6:$D$2225*('Multi-start Raw data'!$B$6:$B$2225=$A103)*('Multi-start Raw data'!$C$6:$C$2225=D$6)*('Multi-start Raw data'!$J$6:$J$2225="Fully converged"))</f>
        <v>2.5369999999999999</v>
      </c>
      <c r="E103">
        <f t="array" ref="E103">SUM('Multi-start Raw data'!$D$6:$D$2225*('Multi-start Raw data'!$B$6:$B$2225=$A103)*('Multi-start Raw data'!$C$6:$C$2225=E$6)*('Multi-start Raw data'!$J$6:$J$2225="Fully converged"))</f>
        <v>0</v>
      </c>
      <c r="F103">
        <f t="array" ref="F103">SUM('Multi-start Raw data'!$D$6:$D$2225*('Multi-start Raw data'!$B$6:$B$2225=$A103)*('Multi-start Raw data'!$C$6:$C$2225=F$6)*('Multi-start Raw data'!$J$6:$J$2225="Fully converged"))</f>
        <v>2.5369999999999999</v>
      </c>
      <c r="G103">
        <f t="array" ref="G103">SUM('Multi-start Raw data'!$D$6:$D$2225*('Multi-start Raw data'!$B$6:$B$2225=$A103)*('Multi-start Raw data'!$C$6:$C$2225=G$6)*('Multi-start Raw data'!$J$6:$J$2225="Fully converged"))</f>
        <v>2.52</v>
      </c>
      <c r="H103">
        <f t="array" ref="H103">SUM('Multi-start Raw data'!$D$6:$D$2225*('Multi-start Raw data'!$B$6:$B$2225=$A103)*('Multi-start Raw data'!$C$6:$C$2225=H$6)*('Multi-start Raw data'!$J$6:$J$2225="Fully converged"))</f>
        <v>2.5169999999999999</v>
      </c>
      <c r="I103">
        <f t="array" ref="I103">SUM('Multi-start Raw data'!$D$6:$D$2225*('Multi-start Raw data'!$B$6:$B$2225=$A103)*('Multi-start Raw data'!$C$6:$C$2225=I$6)*('Multi-start Raw data'!$J$6:$J$2225="Fully converged"))</f>
        <v>2.52</v>
      </c>
      <c r="J103">
        <f t="array" ref="J103">SUM('Multi-start Raw data'!$D$6:$D$2225*('Multi-start Raw data'!$B$6:$B$2225=$A103)*('Multi-start Raw data'!$C$6:$C$2225=J$6)*('Multi-start Raw data'!$J$6:$J$2225="Fully converged"))</f>
        <v>2.5329999999999999</v>
      </c>
      <c r="K103">
        <f t="array" ref="K103">SUM('Multi-start Raw data'!$D$6:$D$2225*('Multi-start Raw data'!$B$6:$B$2225=$A103)*('Multi-start Raw data'!$C$6:$C$2225=K$6)*('Multi-start Raw data'!$J$6:$J$2225="Fully converged"))</f>
        <v>2.5329999999999999</v>
      </c>
      <c r="L103">
        <f t="array" ref="L103">SUM('Multi-start Raw data'!$D$6:$D$2225*('Multi-start Raw data'!$B$6:$B$2225=$A103)*('Multi-start Raw data'!$C$6:$C$2225=L$6)*('Multi-start Raw data'!$J$6:$J$2225="Fully converged"))</f>
        <v>2.5329999999999999</v>
      </c>
      <c r="M103">
        <f t="array" ref="M103">SUM('Multi-start Raw data'!$D$6:$D$2225*('Multi-start Raw data'!$B$6:$B$2225=$A103)*('Multi-start Raw data'!$C$6:$C$2225=M$6)*('Multi-start Raw data'!$J$6:$J$2225="Fully converged"))</f>
        <v>2.5190000000000001</v>
      </c>
      <c r="N103">
        <f t="array" ref="N103">SUM('Multi-start Raw data'!$D$6:$D$2225*('Multi-start Raw data'!$B$6:$B$2225=$A103)*('Multi-start Raw data'!$C$6:$C$2225=N$6)*('Multi-start Raw data'!$J$6:$J$2225="Fully converged"))</f>
        <v>2.5139999999999998</v>
      </c>
      <c r="O103">
        <f t="array" ref="O103">SUM('Multi-start Raw data'!$D$6:$D$2225*('Multi-start Raw data'!$B$6:$B$2225=$A103)*('Multi-start Raw data'!$C$6:$C$2225=O$6)*('Multi-start Raw data'!$J$6:$J$2225="Fully converged"))</f>
        <v>2.5129999999999999</v>
      </c>
      <c r="P103">
        <f t="array" ref="P103">SUM('Multi-start Raw data'!$D$6:$D$2225*('Multi-start Raw data'!$B$6:$B$2225=$A103)*('Multi-start Raw data'!$C$6:$C$2225=P$6)*('Multi-start Raw data'!$J$6:$J$2225="Fully converged"))</f>
        <v>2.5190000000000001</v>
      </c>
      <c r="Q103">
        <f t="array" ref="Q103">SUM('Multi-start Raw data'!$D$6:$D$2225*('Multi-start Raw data'!$B$6:$B$2225=$A103)*('Multi-start Raw data'!$C$6:$C$2225=Q$6)*('Multi-start Raw data'!$J$6:$J$2225="Fully converged"))</f>
        <v>2.5289999999999999</v>
      </c>
      <c r="R103">
        <f t="array" ref="R103">SUM('Multi-start Raw data'!$D$6:$D$2225*('Multi-start Raw data'!$B$6:$B$2225=$A103)*('Multi-start Raw data'!$C$6:$C$2225=R$6)*('Multi-start Raw data'!$J$6:$J$2225="Fully converged"))</f>
        <v>2.5329999999999999</v>
      </c>
      <c r="S103">
        <f t="array" ref="S103">SUM('Multi-start Raw data'!$D$6:$D$2225*('Multi-start Raw data'!$B$6:$B$2225=$A103)*('Multi-start Raw data'!$C$6:$C$2225=S$6)*('Multi-start Raw data'!$J$6:$J$2225="Fully converged"))</f>
        <v>2.532</v>
      </c>
      <c r="T103">
        <f t="array" ref="T103">SUM('Multi-start Raw data'!$D$6:$D$2225*('Multi-start Raw data'!$B$6:$B$2225=$A103)*('Multi-start Raw data'!$C$6:$C$2225=T$6)*('Multi-start Raw data'!$J$6:$J$2225="Fully converged"))</f>
        <v>2.536</v>
      </c>
      <c r="U103">
        <f t="array" ref="U103">SUM('Multi-start Raw data'!$D$6:$D$2225*('Multi-start Raw data'!$B$6:$B$2225=$A103)*('Multi-start Raw data'!$C$6:$C$2225=U$6)*('Multi-start Raw data'!$J$6:$J$2225="Fully converged"))</f>
        <v>2.5289999999999999</v>
      </c>
      <c r="W103" s="6">
        <f t="shared" si="29"/>
        <v>2.5369999999999999</v>
      </c>
      <c r="X103" s="6">
        <f t="shared" si="30"/>
        <v>2.5369999999999999</v>
      </c>
      <c r="Y103" s="6">
        <f t="shared" si="31"/>
        <v>2.5369999999999999</v>
      </c>
      <c r="Z103" s="6">
        <f t="shared" si="32"/>
        <v>2.5369999999999999</v>
      </c>
      <c r="AA103" s="6">
        <f t="shared" si="33"/>
        <v>2.5369999999999999</v>
      </c>
      <c r="AB103" s="6"/>
      <c r="AC103" s="6">
        <f t="shared" si="34"/>
        <v>0</v>
      </c>
      <c r="AD103" s="6">
        <f t="shared" si="35"/>
        <v>0</v>
      </c>
      <c r="AE103" s="6">
        <f t="shared" si="36"/>
        <v>0</v>
      </c>
      <c r="AF103" s="6">
        <f t="shared" si="37"/>
        <v>0</v>
      </c>
      <c r="AG103" s="6">
        <f t="shared" si="39"/>
        <v>0</v>
      </c>
      <c r="AH103" s="6">
        <f t="shared" si="40"/>
        <v>0</v>
      </c>
      <c r="AI103" s="6">
        <f t="shared" si="41"/>
        <v>0</v>
      </c>
      <c r="AJ103" s="6">
        <f t="shared" si="42"/>
        <v>0</v>
      </c>
      <c r="AK103" s="6">
        <f t="shared" si="43"/>
        <v>0</v>
      </c>
      <c r="AM103" s="16">
        <f t="shared" si="38"/>
        <v>0.1</v>
      </c>
    </row>
    <row r="104" spans="1:39" x14ac:dyDescent="0.3">
      <c r="A104" s="1" t="s">
        <v>2213</v>
      </c>
      <c r="B104">
        <f t="array" ref="B104">SUM('Multi-start Raw data'!$D$6:$D$2225*('Multi-start Raw data'!$B$6:$B$2225=$A104)*('Multi-start Raw data'!$C$6:$C$2225=B$6)*('Multi-start Raw data'!$J$6:$J$2225="Fully converged"))</f>
        <v>2.52</v>
      </c>
      <c r="C104">
        <f t="array" ref="C104">SUM('Multi-start Raw data'!$D$6:$D$2225*('Multi-start Raw data'!$B$6:$B$2225=$A104)*('Multi-start Raw data'!$C$6:$C$2225=C$6)*('Multi-start Raw data'!$J$6:$J$2225="Fully converged"))</f>
        <v>2.5150000000000001</v>
      </c>
      <c r="D104">
        <f t="array" ref="D104">SUM('Multi-start Raw data'!$D$6:$D$2225*('Multi-start Raw data'!$B$6:$B$2225=$A104)*('Multi-start Raw data'!$C$6:$C$2225=D$6)*('Multi-start Raw data'!$J$6:$J$2225="Fully converged"))</f>
        <v>2.5219999999999998</v>
      </c>
      <c r="E104">
        <f t="array" ref="E104">SUM('Multi-start Raw data'!$D$6:$D$2225*('Multi-start Raw data'!$B$6:$B$2225=$A104)*('Multi-start Raw data'!$C$6:$C$2225=E$6)*('Multi-start Raw data'!$J$6:$J$2225="Fully converged"))</f>
        <v>2.516</v>
      </c>
      <c r="F104">
        <f t="array" ref="F104">SUM('Multi-start Raw data'!$D$6:$D$2225*('Multi-start Raw data'!$B$6:$B$2225=$A104)*('Multi-start Raw data'!$C$6:$C$2225=F$6)*('Multi-start Raw data'!$J$6:$J$2225="Fully converged"))</f>
        <v>2.52</v>
      </c>
      <c r="G104">
        <f t="array" ref="G104">SUM('Multi-start Raw data'!$D$6:$D$2225*('Multi-start Raw data'!$B$6:$B$2225=$A104)*('Multi-start Raw data'!$C$6:$C$2225=G$6)*('Multi-start Raw data'!$J$6:$J$2225="Fully converged"))</f>
        <v>2.5219999999999998</v>
      </c>
      <c r="H104">
        <f t="array" ref="H104">SUM('Multi-start Raw data'!$D$6:$D$2225*('Multi-start Raw data'!$B$6:$B$2225=$A104)*('Multi-start Raw data'!$C$6:$C$2225=H$6)*('Multi-start Raw data'!$J$6:$J$2225="Fully converged"))</f>
        <v>2.5179999999999998</v>
      </c>
      <c r="I104">
        <f t="array" ref="I104">SUM('Multi-start Raw data'!$D$6:$D$2225*('Multi-start Raw data'!$B$6:$B$2225=$A104)*('Multi-start Raw data'!$C$6:$C$2225=I$6)*('Multi-start Raw data'!$J$6:$J$2225="Fully converged"))</f>
        <v>2.5030000000000001</v>
      </c>
      <c r="J104">
        <f t="array" ref="J104">SUM('Multi-start Raw data'!$D$6:$D$2225*('Multi-start Raw data'!$B$6:$B$2225=$A104)*('Multi-start Raw data'!$C$6:$C$2225=J$6)*('Multi-start Raw data'!$J$6:$J$2225="Fully converged"))</f>
        <v>2.52</v>
      </c>
      <c r="K104">
        <f t="array" ref="K104">SUM('Multi-start Raw data'!$D$6:$D$2225*('Multi-start Raw data'!$B$6:$B$2225=$A104)*('Multi-start Raw data'!$C$6:$C$2225=K$6)*('Multi-start Raw data'!$J$6:$J$2225="Fully converged"))</f>
        <v>2.4990000000000001</v>
      </c>
      <c r="L104">
        <f t="array" ref="L104">SUM('Multi-start Raw data'!$D$6:$D$2225*('Multi-start Raw data'!$B$6:$B$2225=$A104)*('Multi-start Raw data'!$C$6:$C$2225=L$6)*('Multi-start Raw data'!$J$6:$J$2225="Fully converged"))</f>
        <v>2.52</v>
      </c>
      <c r="M104">
        <f t="array" ref="M104">SUM('Multi-start Raw data'!$D$6:$D$2225*('Multi-start Raw data'!$B$6:$B$2225=$A104)*('Multi-start Raw data'!$C$6:$C$2225=M$6)*('Multi-start Raw data'!$J$6:$J$2225="Fully converged"))</f>
        <v>2.512</v>
      </c>
      <c r="N104">
        <f t="array" ref="N104">SUM('Multi-start Raw data'!$D$6:$D$2225*('Multi-start Raw data'!$B$6:$B$2225=$A104)*('Multi-start Raw data'!$C$6:$C$2225=N$6)*('Multi-start Raw data'!$J$6:$J$2225="Fully converged"))</f>
        <v>2.5219999999999998</v>
      </c>
      <c r="O104">
        <f t="array" ref="O104">SUM('Multi-start Raw data'!$D$6:$D$2225*('Multi-start Raw data'!$B$6:$B$2225=$A104)*('Multi-start Raw data'!$C$6:$C$2225=O$6)*('Multi-start Raw data'!$J$6:$J$2225="Fully converged"))</f>
        <v>2.52</v>
      </c>
      <c r="P104">
        <f t="array" ref="P104">SUM('Multi-start Raw data'!$D$6:$D$2225*('Multi-start Raw data'!$B$6:$B$2225=$A104)*('Multi-start Raw data'!$C$6:$C$2225=P$6)*('Multi-start Raw data'!$J$6:$J$2225="Fully converged"))</f>
        <v>2.5219999999999998</v>
      </c>
      <c r="Q104">
        <f t="array" ref="Q104">SUM('Multi-start Raw data'!$D$6:$D$2225*('Multi-start Raw data'!$B$6:$B$2225=$A104)*('Multi-start Raw data'!$C$6:$C$2225=Q$6)*('Multi-start Raw data'!$J$6:$J$2225="Fully converged"))</f>
        <v>2.52</v>
      </c>
      <c r="R104">
        <f t="array" ref="R104">SUM('Multi-start Raw data'!$D$6:$D$2225*('Multi-start Raw data'!$B$6:$B$2225=$A104)*('Multi-start Raw data'!$C$6:$C$2225=R$6)*('Multi-start Raw data'!$J$6:$J$2225="Fully converged"))</f>
        <v>2.5150000000000001</v>
      </c>
      <c r="S104">
        <f t="array" ref="S104">SUM('Multi-start Raw data'!$D$6:$D$2225*('Multi-start Raw data'!$B$6:$B$2225=$A104)*('Multi-start Raw data'!$C$6:$C$2225=S$6)*('Multi-start Raw data'!$J$6:$J$2225="Fully converged"))</f>
        <v>2.5219999999999998</v>
      </c>
      <c r="T104">
        <f t="array" ref="T104">SUM('Multi-start Raw data'!$D$6:$D$2225*('Multi-start Raw data'!$B$6:$B$2225=$A104)*('Multi-start Raw data'!$C$6:$C$2225=T$6)*('Multi-start Raw data'!$J$6:$J$2225="Fully converged"))</f>
        <v>2.5219999999999998</v>
      </c>
      <c r="U104">
        <f t="array" ref="U104">SUM('Multi-start Raw data'!$D$6:$D$2225*('Multi-start Raw data'!$B$6:$B$2225=$A104)*('Multi-start Raw data'!$C$6:$C$2225=U$6)*('Multi-start Raw data'!$J$6:$J$2225="Fully converged"))</f>
        <v>2.5070000000000001</v>
      </c>
      <c r="W104" s="6">
        <f t="shared" si="29"/>
        <v>2.5219999999999998</v>
      </c>
      <c r="X104" s="6">
        <f t="shared" si="30"/>
        <v>2.5219999999999998</v>
      </c>
      <c r="Y104" s="6">
        <f t="shared" si="31"/>
        <v>2.5219999999999998</v>
      </c>
      <c r="Z104" s="6">
        <f t="shared" si="32"/>
        <v>2.5219999999999998</v>
      </c>
      <c r="AA104" s="6">
        <f t="shared" si="33"/>
        <v>2.5219999999999998</v>
      </c>
      <c r="AB104" s="6"/>
      <c r="AC104" s="6">
        <f t="shared" si="34"/>
        <v>0</v>
      </c>
      <c r="AD104" s="6">
        <f t="shared" si="35"/>
        <v>0</v>
      </c>
      <c r="AE104" s="6">
        <f t="shared" si="36"/>
        <v>0</v>
      </c>
      <c r="AF104" s="6">
        <f t="shared" si="37"/>
        <v>0</v>
      </c>
      <c r="AG104" s="6">
        <f t="shared" si="39"/>
        <v>0</v>
      </c>
      <c r="AH104" s="6">
        <f t="shared" si="40"/>
        <v>0</v>
      </c>
      <c r="AI104" s="6">
        <f t="shared" si="41"/>
        <v>0</v>
      </c>
      <c r="AJ104" s="6">
        <f t="shared" si="42"/>
        <v>0</v>
      </c>
      <c r="AK104" s="6">
        <f t="shared" si="43"/>
        <v>0</v>
      </c>
      <c r="AM104" s="16">
        <f t="shared" si="38"/>
        <v>0.1</v>
      </c>
    </row>
    <row r="105" spans="1:39" x14ac:dyDescent="0.3">
      <c r="A105" s="1" t="s">
        <v>2226</v>
      </c>
      <c r="B105">
        <f t="array" ref="B105">SUM('Multi-start Raw data'!$D$6:$D$2225*('Multi-start Raw data'!$B$6:$B$2225=$A105)*('Multi-start Raw data'!$C$6:$C$2225=B$6)*('Multi-start Raw data'!$J$6:$J$2225="Fully converged"))</f>
        <v>2.476</v>
      </c>
      <c r="C105">
        <f t="array" ref="C105">SUM('Multi-start Raw data'!$D$6:$D$2225*('Multi-start Raw data'!$B$6:$B$2225=$A105)*('Multi-start Raw data'!$C$6:$C$2225=C$6)*('Multi-start Raw data'!$J$6:$J$2225="Fully converged"))</f>
        <v>2.4990000000000001</v>
      </c>
      <c r="D105">
        <f t="array" ref="D105">SUM('Multi-start Raw data'!$D$6:$D$2225*('Multi-start Raw data'!$B$6:$B$2225=$A105)*('Multi-start Raw data'!$C$6:$C$2225=D$6)*('Multi-start Raw data'!$J$6:$J$2225="Fully converged"))</f>
        <v>2.5019999999999998</v>
      </c>
      <c r="E105">
        <f t="array" ref="E105">SUM('Multi-start Raw data'!$D$6:$D$2225*('Multi-start Raw data'!$B$6:$B$2225=$A105)*('Multi-start Raw data'!$C$6:$C$2225=E$6)*('Multi-start Raw data'!$J$6:$J$2225="Fully converged"))</f>
        <v>2.4990000000000001</v>
      </c>
      <c r="F105">
        <f t="array" ref="F105">SUM('Multi-start Raw data'!$D$6:$D$2225*('Multi-start Raw data'!$B$6:$B$2225=$A105)*('Multi-start Raw data'!$C$6:$C$2225=F$6)*('Multi-start Raw data'!$J$6:$J$2225="Fully converged"))</f>
        <v>2.5019999999999998</v>
      </c>
      <c r="G105">
        <f t="array" ref="G105">SUM('Multi-start Raw data'!$D$6:$D$2225*('Multi-start Raw data'!$B$6:$B$2225=$A105)*('Multi-start Raw data'!$C$6:$C$2225=G$6)*('Multi-start Raw data'!$J$6:$J$2225="Fully converged"))</f>
        <v>2.4990000000000001</v>
      </c>
      <c r="H105">
        <f t="array" ref="H105">SUM('Multi-start Raw data'!$D$6:$D$2225*('Multi-start Raw data'!$B$6:$B$2225=$A105)*('Multi-start Raw data'!$C$6:$C$2225=H$6)*('Multi-start Raw data'!$J$6:$J$2225="Fully converged"))</f>
        <v>2.5019999999999998</v>
      </c>
      <c r="I105">
        <f t="array" ref="I105">SUM('Multi-start Raw data'!$D$6:$D$2225*('Multi-start Raw data'!$B$6:$B$2225=$A105)*('Multi-start Raw data'!$C$6:$C$2225=I$6)*('Multi-start Raw data'!$J$6:$J$2225="Fully converged"))</f>
        <v>2.5019999999999998</v>
      </c>
      <c r="J105">
        <f t="array" ref="J105">SUM('Multi-start Raw data'!$D$6:$D$2225*('Multi-start Raw data'!$B$6:$B$2225=$A105)*('Multi-start Raw data'!$C$6:$C$2225=J$6)*('Multi-start Raw data'!$J$6:$J$2225="Fully converged"))</f>
        <v>2.4990000000000001</v>
      </c>
      <c r="K105">
        <f t="array" ref="K105">SUM('Multi-start Raw data'!$D$6:$D$2225*('Multi-start Raw data'!$B$6:$B$2225=$A105)*('Multi-start Raw data'!$C$6:$C$2225=K$6)*('Multi-start Raw data'!$J$6:$J$2225="Fully converged"))</f>
        <v>2.4729999999999999</v>
      </c>
      <c r="L105">
        <f t="array" ref="L105">SUM('Multi-start Raw data'!$D$6:$D$2225*('Multi-start Raw data'!$B$6:$B$2225=$A105)*('Multi-start Raw data'!$C$6:$C$2225=L$6)*('Multi-start Raw data'!$J$6:$J$2225="Fully converged"))</f>
        <v>2.4990000000000001</v>
      </c>
      <c r="M105">
        <f t="array" ref="M105">SUM('Multi-start Raw data'!$D$6:$D$2225*('Multi-start Raw data'!$B$6:$B$2225=$A105)*('Multi-start Raw data'!$C$6:$C$2225=M$6)*('Multi-start Raw data'!$J$6:$J$2225="Fully converged"))</f>
        <v>2.492</v>
      </c>
      <c r="N105">
        <f t="array" ref="N105">SUM('Multi-start Raw data'!$D$6:$D$2225*('Multi-start Raw data'!$B$6:$B$2225=$A105)*('Multi-start Raw data'!$C$6:$C$2225=N$6)*('Multi-start Raw data'!$J$6:$J$2225="Fully converged"))</f>
        <v>2.5019999999999998</v>
      </c>
      <c r="O105">
        <f t="array" ref="O105">SUM('Multi-start Raw data'!$D$6:$D$2225*('Multi-start Raw data'!$B$6:$B$2225=$A105)*('Multi-start Raw data'!$C$6:$C$2225=O$6)*('Multi-start Raw data'!$J$6:$J$2225="Fully converged"))</f>
        <v>2.496</v>
      </c>
      <c r="P105">
        <f t="array" ref="P105">SUM('Multi-start Raw data'!$D$6:$D$2225*('Multi-start Raw data'!$B$6:$B$2225=$A105)*('Multi-start Raw data'!$C$6:$C$2225=P$6)*('Multi-start Raw data'!$J$6:$J$2225="Fully converged"))</f>
        <v>2.4990000000000001</v>
      </c>
      <c r="Q105">
        <f t="array" ref="Q105">SUM('Multi-start Raw data'!$D$6:$D$2225*('Multi-start Raw data'!$B$6:$B$2225=$A105)*('Multi-start Raw data'!$C$6:$C$2225=Q$6)*('Multi-start Raw data'!$J$6:$J$2225="Fully converged"))</f>
        <v>2.4489999999999998</v>
      </c>
      <c r="R105">
        <f t="array" ref="R105">SUM('Multi-start Raw data'!$D$6:$D$2225*('Multi-start Raw data'!$B$6:$B$2225=$A105)*('Multi-start Raw data'!$C$6:$C$2225=R$6)*('Multi-start Raw data'!$J$6:$J$2225="Fully converged"))</f>
        <v>0</v>
      </c>
      <c r="S105">
        <f t="array" ref="S105">SUM('Multi-start Raw data'!$D$6:$D$2225*('Multi-start Raw data'!$B$6:$B$2225=$A105)*('Multi-start Raw data'!$C$6:$C$2225=S$6)*('Multi-start Raw data'!$J$6:$J$2225="Fully converged"))</f>
        <v>2.4990000000000001</v>
      </c>
      <c r="T105">
        <f t="array" ref="T105">SUM('Multi-start Raw data'!$D$6:$D$2225*('Multi-start Raw data'!$B$6:$B$2225=$A105)*('Multi-start Raw data'!$C$6:$C$2225=T$6)*('Multi-start Raw data'!$J$6:$J$2225="Fully converged"))</f>
        <v>0</v>
      </c>
      <c r="U105">
        <f t="array" ref="U105">SUM('Multi-start Raw data'!$D$6:$D$2225*('Multi-start Raw data'!$B$6:$B$2225=$A105)*('Multi-start Raw data'!$C$6:$C$2225=U$6)*('Multi-start Raw data'!$J$6:$J$2225="Fully converged"))</f>
        <v>2.484</v>
      </c>
      <c r="W105" s="6">
        <f t="shared" si="29"/>
        <v>2.5019999999999998</v>
      </c>
      <c r="X105" s="6">
        <f t="shared" si="30"/>
        <v>2.5019999999999998</v>
      </c>
      <c r="Y105" s="6">
        <f t="shared" si="31"/>
        <v>2.5019999999999998</v>
      </c>
      <c r="Z105" s="6">
        <f t="shared" si="32"/>
        <v>2.5019999999999998</v>
      </c>
      <c r="AA105" s="6">
        <f t="shared" si="33"/>
        <v>2.5019999999999998</v>
      </c>
      <c r="AB105" s="6"/>
      <c r="AC105" s="6">
        <f t="shared" si="34"/>
        <v>0</v>
      </c>
      <c r="AD105" s="6">
        <f t="shared" si="35"/>
        <v>0</v>
      </c>
      <c r="AE105" s="6">
        <f t="shared" si="36"/>
        <v>0</v>
      </c>
      <c r="AF105" s="6">
        <f t="shared" si="37"/>
        <v>0</v>
      </c>
      <c r="AG105" s="6">
        <f t="shared" si="39"/>
        <v>0</v>
      </c>
      <c r="AH105" s="6">
        <f t="shared" si="40"/>
        <v>0</v>
      </c>
      <c r="AI105" s="6">
        <f t="shared" si="41"/>
        <v>0</v>
      </c>
      <c r="AJ105" s="6">
        <f t="shared" si="42"/>
        <v>0</v>
      </c>
      <c r="AK105" s="6">
        <f t="shared" si="43"/>
        <v>0</v>
      </c>
      <c r="AM105" s="16">
        <f t="shared" si="38"/>
        <v>0.1</v>
      </c>
    </row>
    <row r="106" spans="1:39" x14ac:dyDescent="0.3">
      <c r="A106" s="1" t="s">
        <v>2243</v>
      </c>
      <c r="B106">
        <f t="array" ref="B106">SUM('Multi-start Raw data'!$D$6:$D$2225*('Multi-start Raw data'!$B$6:$B$2225=$A106)*('Multi-start Raw data'!$C$6:$C$2225=B$6)*('Multi-start Raw data'!$J$6:$J$2225="Fully converged"))</f>
        <v>2.5089999999999999</v>
      </c>
      <c r="C106">
        <f t="array" ref="C106">SUM('Multi-start Raw data'!$D$6:$D$2225*('Multi-start Raw data'!$B$6:$B$2225=$A106)*('Multi-start Raw data'!$C$6:$C$2225=C$6)*('Multi-start Raw data'!$J$6:$J$2225="Fully converged"))</f>
        <v>2.5099999999999998</v>
      </c>
      <c r="D106">
        <f t="array" ref="D106">SUM('Multi-start Raw data'!$D$6:$D$2225*('Multi-start Raw data'!$B$6:$B$2225=$A106)*('Multi-start Raw data'!$C$6:$C$2225=D$6)*('Multi-start Raw data'!$J$6:$J$2225="Fully converged"))</f>
        <v>2.5110000000000001</v>
      </c>
      <c r="E106">
        <f t="array" ref="E106">SUM('Multi-start Raw data'!$D$6:$D$2225*('Multi-start Raw data'!$B$6:$B$2225=$A106)*('Multi-start Raw data'!$C$6:$C$2225=E$6)*('Multi-start Raw data'!$J$6:$J$2225="Fully converged"))</f>
        <v>2.4980000000000002</v>
      </c>
      <c r="F106">
        <f t="array" ref="F106">SUM('Multi-start Raw data'!$D$6:$D$2225*('Multi-start Raw data'!$B$6:$B$2225=$A106)*('Multi-start Raw data'!$C$6:$C$2225=F$6)*('Multi-start Raw data'!$J$6:$J$2225="Fully converged"))</f>
        <v>2.5110000000000001</v>
      </c>
      <c r="G106">
        <f t="array" ref="G106">SUM('Multi-start Raw data'!$D$6:$D$2225*('Multi-start Raw data'!$B$6:$B$2225=$A106)*('Multi-start Raw data'!$C$6:$C$2225=G$6)*('Multi-start Raw data'!$J$6:$J$2225="Fully converged"))</f>
        <v>2.4380000000000002</v>
      </c>
      <c r="H106">
        <f t="array" ref="H106">SUM('Multi-start Raw data'!$D$6:$D$2225*('Multi-start Raw data'!$B$6:$B$2225=$A106)*('Multi-start Raw data'!$C$6:$C$2225=H$6)*('Multi-start Raw data'!$J$6:$J$2225="Fully converged"))</f>
        <v>2.4900000000000002</v>
      </c>
      <c r="I106">
        <f t="array" ref="I106">SUM('Multi-start Raw data'!$D$6:$D$2225*('Multi-start Raw data'!$B$6:$B$2225=$A106)*('Multi-start Raw data'!$C$6:$C$2225=I$6)*('Multi-start Raw data'!$J$6:$J$2225="Fully converged"))</f>
        <v>2.5110000000000001</v>
      </c>
      <c r="J106">
        <f t="array" ref="J106">SUM('Multi-start Raw data'!$D$6:$D$2225*('Multi-start Raw data'!$B$6:$B$2225=$A106)*('Multi-start Raw data'!$C$6:$C$2225=J$6)*('Multi-start Raw data'!$J$6:$J$2225="Fully converged"))</f>
        <v>2.5099999999999998</v>
      </c>
      <c r="K106">
        <f t="array" ref="K106">SUM('Multi-start Raw data'!$D$6:$D$2225*('Multi-start Raw data'!$B$6:$B$2225=$A106)*('Multi-start Raw data'!$C$6:$C$2225=K$6)*('Multi-start Raw data'!$J$6:$J$2225="Fully converged"))</f>
        <v>2.5099999999999998</v>
      </c>
      <c r="L106">
        <f t="array" ref="L106">SUM('Multi-start Raw data'!$D$6:$D$2225*('Multi-start Raw data'!$B$6:$B$2225=$A106)*('Multi-start Raw data'!$C$6:$C$2225=L$6)*('Multi-start Raw data'!$J$6:$J$2225="Fully converged"))</f>
        <v>2.5110000000000001</v>
      </c>
      <c r="M106">
        <f t="array" ref="M106">SUM('Multi-start Raw data'!$D$6:$D$2225*('Multi-start Raw data'!$B$6:$B$2225=$A106)*('Multi-start Raw data'!$C$6:$C$2225=M$6)*('Multi-start Raw data'!$J$6:$J$2225="Fully converged"))</f>
        <v>2.508</v>
      </c>
      <c r="N106">
        <f t="array" ref="N106">SUM('Multi-start Raw data'!$D$6:$D$2225*('Multi-start Raw data'!$B$6:$B$2225=$A106)*('Multi-start Raw data'!$C$6:$C$2225=N$6)*('Multi-start Raw data'!$J$6:$J$2225="Fully converged"))</f>
        <v>2.4929999999999999</v>
      </c>
      <c r="O106">
        <f t="array" ref="O106">SUM('Multi-start Raw data'!$D$6:$D$2225*('Multi-start Raw data'!$B$6:$B$2225=$A106)*('Multi-start Raw data'!$C$6:$C$2225=O$6)*('Multi-start Raw data'!$J$6:$J$2225="Fully converged"))</f>
        <v>2.4849999999999999</v>
      </c>
      <c r="P106">
        <f t="array" ref="P106">SUM('Multi-start Raw data'!$D$6:$D$2225*('Multi-start Raw data'!$B$6:$B$2225=$A106)*('Multi-start Raw data'!$C$6:$C$2225=P$6)*('Multi-start Raw data'!$J$6:$J$2225="Fully converged"))</f>
        <v>2.5110000000000001</v>
      </c>
      <c r="Q106">
        <f t="array" ref="Q106">SUM('Multi-start Raw data'!$D$6:$D$2225*('Multi-start Raw data'!$B$6:$B$2225=$A106)*('Multi-start Raw data'!$C$6:$C$2225=Q$6)*('Multi-start Raw data'!$J$6:$J$2225="Fully converged"))</f>
        <v>0</v>
      </c>
      <c r="R106">
        <f t="array" ref="R106">SUM('Multi-start Raw data'!$D$6:$D$2225*('Multi-start Raw data'!$B$6:$B$2225=$A106)*('Multi-start Raw data'!$C$6:$C$2225=R$6)*('Multi-start Raw data'!$J$6:$J$2225="Fully converged"))</f>
        <v>2.508</v>
      </c>
      <c r="S106">
        <f t="array" ref="S106">SUM('Multi-start Raw data'!$D$6:$D$2225*('Multi-start Raw data'!$B$6:$B$2225=$A106)*('Multi-start Raw data'!$C$6:$C$2225=S$6)*('Multi-start Raw data'!$J$6:$J$2225="Fully converged"))</f>
        <v>2.5110000000000001</v>
      </c>
      <c r="T106">
        <f t="array" ref="T106">SUM('Multi-start Raw data'!$D$6:$D$2225*('Multi-start Raw data'!$B$6:$B$2225=$A106)*('Multi-start Raw data'!$C$6:$C$2225=T$6)*('Multi-start Raw data'!$J$6:$J$2225="Fully converged"))</f>
        <v>2.5110000000000001</v>
      </c>
      <c r="U106">
        <f t="array" ref="U106">SUM('Multi-start Raw data'!$D$6:$D$2225*('Multi-start Raw data'!$B$6:$B$2225=$A106)*('Multi-start Raw data'!$C$6:$C$2225=U$6)*('Multi-start Raw data'!$J$6:$J$2225="Fully converged"))</f>
        <v>2.508</v>
      </c>
      <c r="W106" s="6">
        <f t="shared" si="29"/>
        <v>2.5110000000000001</v>
      </c>
      <c r="X106" s="6">
        <f t="shared" si="30"/>
        <v>2.5110000000000001</v>
      </c>
      <c r="Y106" s="6">
        <f t="shared" si="31"/>
        <v>2.5110000000000001</v>
      </c>
      <c r="Z106" s="6">
        <f t="shared" si="32"/>
        <v>2.5110000000000001</v>
      </c>
      <c r="AA106" s="6">
        <f t="shared" si="33"/>
        <v>2.5110000000000001</v>
      </c>
      <c r="AB106" s="6"/>
      <c r="AC106" s="6">
        <f t="shared" si="34"/>
        <v>0</v>
      </c>
      <c r="AD106" s="6">
        <f t="shared" si="35"/>
        <v>0</v>
      </c>
      <c r="AE106" s="6">
        <f t="shared" si="36"/>
        <v>0</v>
      </c>
      <c r="AF106" s="6">
        <f t="shared" si="37"/>
        <v>0</v>
      </c>
      <c r="AG106" s="6">
        <f t="shared" si="39"/>
        <v>0</v>
      </c>
      <c r="AH106" s="6">
        <f t="shared" si="40"/>
        <v>0</v>
      </c>
      <c r="AI106" s="6">
        <f t="shared" si="41"/>
        <v>0</v>
      </c>
      <c r="AJ106" s="6">
        <f t="shared" si="42"/>
        <v>0</v>
      </c>
      <c r="AK106" s="6">
        <f t="shared" si="43"/>
        <v>0</v>
      </c>
      <c r="AM106" s="16">
        <f t="shared" si="38"/>
        <v>0.1</v>
      </c>
    </row>
    <row r="107" spans="1:39" x14ac:dyDescent="0.3">
      <c r="A107" s="1" t="s">
        <v>2254</v>
      </c>
      <c r="B107">
        <f t="array" ref="B107">SUM('Multi-start Raw data'!$D$6:$D$2225*('Multi-start Raw data'!$B$6:$B$2225=$A107)*('Multi-start Raw data'!$C$6:$C$2225=B$6)*('Multi-start Raw data'!$J$6:$J$2225="Fully converged"))</f>
        <v>2.52</v>
      </c>
      <c r="C107">
        <f t="array" ref="C107">SUM('Multi-start Raw data'!$D$6:$D$2225*('Multi-start Raw data'!$B$6:$B$2225=$A107)*('Multi-start Raw data'!$C$6:$C$2225=C$6)*('Multi-start Raw data'!$J$6:$J$2225="Fully converged"))</f>
        <v>2.5110000000000001</v>
      </c>
      <c r="D107">
        <f t="array" ref="D107">SUM('Multi-start Raw data'!$D$6:$D$2225*('Multi-start Raw data'!$B$6:$B$2225=$A107)*('Multi-start Raw data'!$C$6:$C$2225=D$6)*('Multi-start Raw data'!$J$6:$J$2225="Fully converged"))</f>
        <v>2.5139999999999998</v>
      </c>
      <c r="E107">
        <f t="array" ref="E107">SUM('Multi-start Raw data'!$D$6:$D$2225*('Multi-start Raw data'!$B$6:$B$2225=$A107)*('Multi-start Raw data'!$C$6:$C$2225=E$6)*('Multi-start Raw data'!$J$6:$J$2225="Fully converged"))</f>
        <v>2.5110000000000001</v>
      </c>
      <c r="F107">
        <f t="array" ref="F107">SUM('Multi-start Raw data'!$D$6:$D$2225*('Multi-start Raw data'!$B$6:$B$2225=$A107)*('Multi-start Raw data'!$C$6:$C$2225=F$6)*('Multi-start Raw data'!$J$6:$J$2225="Fully converged"))</f>
        <v>2.5190000000000001</v>
      </c>
      <c r="G107">
        <f t="array" ref="G107">SUM('Multi-start Raw data'!$D$6:$D$2225*('Multi-start Raw data'!$B$6:$B$2225=$A107)*('Multi-start Raw data'!$C$6:$C$2225=G$6)*('Multi-start Raw data'!$J$6:$J$2225="Fully converged"))</f>
        <v>2.4620000000000002</v>
      </c>
      <c r="H107">
        <f t="array" ref="H107">SUM('Multi-start Raw data'!$D$6:$D$2225*('Multi-start Raw data'!$B$6:$B$2225=$A107)*('Multi-start Raw data'!$C$6:$C$2225=H$6)*('Multi-start Raw data'!$J$6:$J$2225="Fully converged"))</f>
        <v>2.52</v>
      </c>
      <c r="I107">
        <f t="array" ref="I107">SUM('Multi-start Raw data'!$D$6:$D$2225*('Multi-start Raw data'!$B$6:$B$2225=$A107)*('Multi-start Raw data'!$C$6:$C$2225=I$6)*('Multi-start Raw data'!$J$6:$J$2225="Fully converged"))</f>
        <v>2.52</v>
      </c>
      <c r="J107">
        <f t="array" ref="J107">SUM('Multi-start Raw data'!$D$6:$D$2225*('Multi-start Raw data'!$B$6:$B$2225=$A107)*('Multi-start Raw data'!$C$6:$C$2225=J$6)*('Multi-start Raw data'!$J$6:$J$2225="Fully converged"))</f>
        <v>2.5129999999999999</v>
      </c>
      <c r="K107">
        <f t="array" ref="K107">SUM('Multi-start Raw data'!$D$6:$D$2225*('Multi-start Raw data'!$B$6:$B$2225=$A107)*('Multi-start Raw data'!$C$6:$C$2225=K$6)*('Multi-start Raw data'!$J$6:$J$2225="Fully converged"))</f>
        <v>2.4990000000000001</v>
      </c>
      <c r="L107">
        <f t="array" ref="L107">SUM('Multi-start Raw data'!$D$6:$D$2225*('Multi-start Raw data'!$B$6:$B$2225=$A107)*('Multi-start Raw data'!$C$6:$C$2225=L$6)*('Multi-start Raw data'!$J$6:$J$2225="Fully converged"))</f>
        <v>2.5190000000000001</v>
      </c>
      <c r="M107">
        <f t="array" ref="M107">SUM('Multi-start Raw data'!$D$6:$D$2225*('Multi-start Raw data'!$B$6:$B$2225=$A107)*('Multi-start Raw data'!$C$6:$C$2225=M$6)*('Multi-start Raw data'!$J$6:$J$2225="Fully converged"))</f>
        <v>2.5</v>
      </c>
      <c r="N107">
        <f t="array" ref="N107">SUM('Multi-start Raw data'!$D$6:$D$2225*('Multi-start Raw data'!$B$6:$B$2225=$A107)*('Multi-start Raw data'!$C$6:$C$2225=N$6)*('Multi-start Raw data'!$J$6:$J$2225="Fully converged"))</f>
        <v>2.5099999999999998</v>
      </c>
      <c r="O107">
        <f t="array" ref="O107">SUM('Multi-start Raw data'!$D$6:$D$2225*('Multi-start Raw data'!$B$6:$B$2225=$A107)*('Multi-start Raw data'!$C$6:$C$2225=O$6)*('Multi-start Raw data'!$J$6:$J$2225="Fully converged"))</f>
        <v>2.4980000000000002</v>
      </c>
      <c r="P107">
        <f t="array" ref="P107">SUM('Multi-start Raw data'!$D$6:$D$2225*('Multi-start Raw data'!$B$6:$B$2225=$A107)*('Multi-start Raw data'!$C$6:$C$2225=P$6)*('Multi-start Raw data'!$J$6:$J$2225="Fully converged"))</f>
        <v>2.52</v>
      </c>
      <c r="Q107">
        <f t="array" ref="Q107">SUM('Multi-start Raw data'!$D$6:$D$2225*('Multi-start Raw data'!$B$6:$B$2225=$A107)*('Multi-start Raw data'!$C$6:$C$2225=Q$6)*('Multi-start Raw data'!$J$6:$J$2225="Fully converged"))</f>
        <v>2.468</v>
      </c>
      <c r="R107">
        <f t="array" ref="R107">SUM('Multi-start Raw data'!$D$6:$D$2225*('Multi-start Raw data'!$B$6:$B$2225=$A107)*('Multi-start Raw data'!$C$6:$C$2225=R$6)*('Multi-start Raw data'!$J$6:$J$2225="Fully converged"))</f>
        <v>2.5139999999999998</v>
      </c>
      <c r="S107">
        <f t="array" ref="S107">SUM('Multi-start Raw data'!$D$6:$D$2225*('Multi-start Raw data'!$B$6:$B$2225=$A107)*('Multi-start Raw data'!$C$6:$C$2225=S$6)*('Multi-start Raw data'!$J$6:$J$2225="Fully converged"))</f>
        <v>2.5139999999999998</v>
      </c>
      <c r="T107">
        <f t="array" ref="T107">SUM('Multi-start Raw data'!$D$6:$D$2225*('Multi-start Raw data'!$B$6:$B$2225=$A107)*('Multi-start Raw data'!$C$6:$C$2225=T$6)*('Multi-start Raw data'!$J$6:$J$2225="Fully converged"))</f>
        <v>2.52</v>
      </c>
      <c r="U107">
        <f t="array" ref="U107">SUM('Multi-start Raw data'!$D$6:$D$2225*('Multi-start Raw data'!$B$6:$B$2225=$A107)*('Multi-start Raw data'!$C$6:$C$2225=U$6)*('Multi-start Raw data'!$J$6:$J$2225="Fully converged"))</f>
        <v>2.4990000000000001</v>
      </c>
      <c r="W107" s="6">
        <f t="shared" si="29"/>
        <v>2.52</v>
      </c>
      <c r="X107" s="6">
        <f t="shared" si="30"/>
        <v>2.52</v>
      </c>
      <c r="Y107" s="6">
        <f t="shared" si="31"/>
        <v>2.52</v>
      </c>
      <c r="Z107" s="6">
        <f t="shared" si="32"/>
        <v>2.52</v>
      </c>
      <c r="AA107" s="6">
        <f t="shared" si="33"/>
        <v>2.52</v>
      </c>
      <c r="AB107" s="6"/>
      <c r="AC107" s="6">
        <f t="shared" si="34"/>
        <v>0</v>
      </c>
      <c r="AD107" s="6">
        <f t="shared" si="35"/>
        <v>0</v>
      </c>
      <c r="AE107" s="6">
        <f t="shared" si="36"/>
        <v>0</v>
      </c>
      <c r="AF107" s="6">
        <f t="shared" si="37"/>
        <v>0</v>
      </c>
      <c r="AG107" s="6">
        <f t="shared" si="39"/>
        <v>0</v>
      </c>
      <c r="AH107" s="6">
        <f t="shared" si="40"/>
        <v>0</v>
      </c>
      <c r="AI107" s="6">
        <f t="shared" si="41"/>
        <v>0</v>
      </c>
      <c r="AJ107" s="6">
        <f t="shared" si="42"/>
        <v>0</v>
      </c>
      <c r="AK107" s="6">
        <f t="shared" si="43"/>
        <v>0</v>
      </c>
      <c r="AM107" s="16">
        <f t="shared" si="38"/>
        <v>0.1</v>
      </c>
    </row>
    <row r="108" spans="1:39" x14ac:dyDescent="0.3">
      <c r="A108" s="1" t="s">
        <v>2269</v>
      </c>
      <c r="B108">
        <f t="array" ref="B108">SUM('Multi-start Raw data'!$D$6:$D$2225*('Multi-start Raw data'!$B$6:$B$2225=$A108)*('Multi-start Raw data'!$C$6:$C$2225=B$6)*('Multi-start Raw data'!$J$6:$J$2225="Fully converged"))</f>
        <v>4.9889999999999999</v>
      </c>
      <c r="C108">
        <f t="array" ref="C108">SUM('Multi-start Raw data'!$D$6:$D$2225*('Multi-start Raw data'!$B$6:$B$2225=$A108)*('Multi-start Raw data'!$C$6:$C$2225=C$6)*('Multi-start Raw data'!$J$6:$J$2225="Fully converged"))</f>
        <v>4.9530000000000003</v>
      </c>
      <c r="D108">
        <f t="array" ref="D108">SUM('Multi-start Raw data'!$D$6:$D$2225*('Multi-start Raw data'!$B$6:$B$2225=$A108)*('Multi-start Raw data'!$C$6:$C$2225=D$6)*('Multi-start Raw data'!$J$6:$J$2225="Fully converged"))</f>
        <v>4.9960000000000004</v>
      </c>
      <c r="E108">
        <f t="array" ref="E108">SUM('Multi-start Raw data'!$D$6:$D$2225*('Multi-start Raw data'!$B$6:$B$2225=$A108)*('Multi-start Raw data'!$C$6:$C$2225=E$6)*('Multi-start Raw data'!$J$6:$J$2225="Fully converged"))</f>
        <v>4.99</v>
      </c>
      <c r="F108">
        <f t="array" ref="F108">SUM('Multi-start Raw data'!$D$6:$D$2225*('Multi-start Raw data'!$B$6:$B$2225=$A108)*('Multi-start Raw data'!$C$6:$C$2225=F$6)*('Multi-start Raw data'!$J$6:$J$2225="Fully converged"))</f>
        <v>4.992</v>
      </c>
      <c r="G108">
        <f t="array" ref="G108">SUM('Multi-start Raw data'!$D$6:$D$2225*('Multi-start Raw data'!$B$6:$B$2225=$A108)*('Multi-start Raw data'!$C$6:$C$2225=G$6)*('Multi-start Raw data'!$J$6:$J$2225="Fully converged"))</f>
        <v>4.99</v>
      </c>
      <c r="H108">
        <f t="array" ref="H108">SUM('Multi-start Raw data'!$D$6:$D$2225*('Multi-start Raw data'!$B$6:$B$2225=$A108)*('Multi-start Raw data'!$C$6:$C$2225=H$6)*('Multi-start Raw data'!$J$6:$J$2225="Fully converged"))</f>
        <v>4.9830000000000005</v>
      </c>
      <c r="I108">
        <f t="array" ref="I108">SUM('Multi-start Raw data'!$D$6:$D$2225*('Multi-start Raw data'!$B$6:$B$2225=$A108)*('Multi-start Raw data'!$C$6:$C$2225=I$6)*('Multi-start Raw data'!$J$6:$J$2225="Fully converged"))</f>
        <v>4.984</v>
      </c>
      <c r="J108">
        <f t="array" ref="J108">SUM('Multi-start Raw data'!$D$6:$D$2225*('Multi-start Raw data'!$B$6:$B$2225=$A108)*('Multi-start Raw data'!$C$6:$C$2225=J$6)*('Multi-start Raw data'!$J$6:$J$2225="Fully converged"))</f>
        <v>4.9889999999999999</v>
      </c>
      <c r="K108">
        <f t="array" ref="K108">SUM('Multi-start Raw data'!$D$6:$D$2225*('Multi-start Raw data'!$B$6:$B$2225=$A108)*('Multi-start Raw data'!$C$6:$C$2225=K$6)*('Multi-start Raw data'!$J$6:$J$2225="Fully converged"))</f>
        <v>4.9640000000000004</v>
      </c>
      <c r="L108">
        <f t="array" ref="L108">SUM('Multi-start Raw data'!$D$6:$D$2225*('Multi-start Raw data'!$B$6:$B$2225=$A108)*('Multi-start Raw data'!$C$6:$C$2225=L$6)*('Multi-start Raw data'!$J$6:$J$2225="Fully converged"))</f>
        <v>4.992</v>
      </c>
      <c r="M108">
        <f t="array" ref="M108">SUM('Multi-start Raw data'!$D$6:$D$2225*('Multi-start Raw data'!$B$6:$B$2225=$A108)*('Multi-start Raw data'!$C$6:$C$2225=M$6)*('Multi-start Raw data'!$J$6:$J$2225="Fully converged"))</f>
        <v>4.9770000000000003</v>
      </c>
      <c r="N108">
        <f t="array" ref="N108">SUM('Multi-start Raw data'!$D$6:$D$2225*('Multi-start Raw data'!$B$6:$B$2225=$A108)*('Multi-start Raw data'!$C$6:$C$2225=N$6)*('Multi-start Raw data'!$J$6:$J$2225="Fully converged"))</f>
        <v>4.9960000000000004</v>
      </c>
      <c r="O108">
        <f t="array" ref="O108">SUM('Multi-start Raw data'!$D$6:$D$2225*('Multi-start Raw data'!$B$6:$B$2225=$A108)*('Multi-start Raw data'!$C$6:$C$2225=O$6)*('Multi-start Raw data'!$J$6:$J$2225="Fully converged"))</f>
        <v>2.4990000000000001</v>
      </c>
      <c r="P108">
        <f t="array" ref="P108">SUM('Multi-start Raw data'!$D$6:$D$2225*('Multi-start Raw data'!$B$6:$B$2225=$A108)*('Multi-start Raw data'!$C$6:$C$2225=P$6)*('Multi-start Raw data'!$J$6:$J$2225="Fully converged"))</f>
        <v>2.4740000000000002</v>
      </c>
      <c r="Q108">
        <f t="array" ref="Q108">SUM('Multi-start Raw data'!$D$6:$D$2225*('Multi-start Raw data'!$B$6:$B$2225=$A108)*('Multi-start Raw data'!$C$6:$C$2225=Q$6)*('Multi-start Raw data'!$J$6:$J$2225="Fully converged"))</f>
        <v>4.9939999999999998</v>
      </c>
      <c r="R108">
        <f t="array" ref="R108">SUM('Multi-start Raw data'!$D$6:$D$2225*('Multi-start Raw data'!$B$6:$B$2225=$A108)*('Multi-start Raw data'!$C$6:$C$2225=R$6)*('Multi-start Raw data'!$J$6:$J$2225="Fully converged"))</f>
        <v>2.4900000000000002</v>
      </c>
      <c r="S108">
        <f t="array" ref="S108">SUM('Multi-start Raw data'!$D$6:$D$2225*('Multi-start Raw data'!$B$6:$B$2225=$A108)*('Multi-start Raw data'!$C$6:$C$2225=S$6)*('Multi-start Raw data'!$J$6:$J$2225="Fully converged"))</f>
        <v>4.9920000000000009</v>
      </c>
      <c r="T108">
        <f t="array" ref="T108">SUM('Multi-start Raw data'!$D$6:$D$2225*('Multi-start Raw data'!$B$6:$B$2225=$A108)*('Multi-start Raw data'!$C$6:$C$2225=T$6)*('Multi-start Raw data'!$J$6:$J$2225="Fully converged"))</f>
        <v>4.9960000000000004</v>
      </c>
      <c r="U108">
        <f t="array" ref="U108">SUM('Multi-start Raw data'!$D$6:$D$2225*('Multi-start Raw data'!$B$6:$B$2225=$A108)*('Multi-start Raw data'!$C$6:$C$2225=U$6)*('Multi-start Raw data'!$J$6:$J$2225="Fully converged"))</f>
        <v>4.9879999999999995</v>
      </c>
      <c r="W108" s="6">
        <f t="shared" si="29"/>
        <v>4.9960000000000004</v>
      </c>
      <c r="X108" s="6">
        <f t="shared" si="30"/>
        <v>4.9960000000000004</v>
      </c>
      <c r="Y108" s="6">
        <f t="shared" si="31"/>
        <v>4.9960000000000004</v>
      </c>
      <c r="Z108" s="6">
        <f t="shared" si="32"/>
        <v>4.9960000000000004</v>
      </c>
      <c r="AA108" s="6">
        <f t="shared" si="33"/>
        <v>4.9960000000000004</v>
      </c>
      <c r="AB108" s="6"/>
      <c r="AC108" s="6">
        <f t="shared" si="34"/>
        <v>0</v>
      </c>
      <c r="AD108" s="6">
        <f t="shared" si="35"/>
        <v>0</v>
      </c>
      <c r="AE108" s="6">
        <f t="shared" si="36"/>
        <v>0</v>
      </c>
      <c r="AF108" s="6">
        <f t="shared" si="37"/>
        <v>0</v>
      </c>
      <c r="AG108" s="6">
        <f t="shared" si="39"/>
        <v>0</v>
      </c>
      <c r="AH108" s="6">
        <f t="shared" si="40"/>
        <v>0</v>
      </c>
      <c r="AI108" s="6">
        <f t="shared" si="41"/>
        <v>0</v>
      </c>
      <c r="AJ108" s="6">
        <f t="shared" si="42"/>
        <v>0</v>
      </c>
      <c r="AK108" s="6">
        <f t="shared" si="43"/>
        <v>0</v>
      </c>
      <c r="AM108" s="16">
        <f t="shared" si="38"/>
        <v>0.1</v>
      </c>
    </row>
    <row r="109" spans="1:39" x14ac:dyDescent="0.3">
      <c r="A109" s="1" t="s">
        <v>2297</v>
      </c>
      <c r="B109">
        <f t="array" ref="B109">SUM('Multi-start Raw data'!$D$6:$D$2225*('Multi-start Raw data'!$B$6:$B$2225=$A109)*('Multi-start Raw data'!$C$6:$C$2225=B$6)*('Multi-start Raw data'!$J$6:$J$2225="Fully converged"))</f>
        <v>2.48</v>
      </c>
      <c r="C109">
        <f t="array" ref="C109">SUM('Multi-start Raw data'!$D$6:$D$2225*('Multi-start Raw data'!$B$6:$B$2225=$A109)*('Multi-start Raw data'!$C$6:$C$2225=C$6)*('Multi-start Raw data'!$J$6:$J$2225="Fully converged"))</f>
        <v>2.48</v>
      </c>
      <c r="D109">
        <f t="array" ref="D109">SUM('Multi-start Raw data'!$D$6:$D$2225*('Multi-start Raw data'!$B$6:$B$2225=$A109)*('Multi-start Raw data'!$C$6:$C$2225=D$6)*('Multi-start Raw data'!$J$6:$J$2225="Fully converged"))</f>
        <v>2.488</v>
      </c>
      <c r="E109">
        <f t="array" ref="E109">SUM('Multi-start Raw data'!$D$6:$D$2225*('Multi-start Raw data'!$B$6:$B$2225=$A109)*('Multi-start Raw data'!$C$6:$C$2225=E$6)*('Multi-start Raw data'!$J$6:$J$2225="Fully converged"))</f>
        <v>2.4780000000000002</v>
      </c>
      <c r="F109">
        <f t="array" ref="F109">SUM('Multi-start Raw data'!$D$6:$D$2225*('Multi-start Raw data'!$B$6:$B$2225=$A109)*('Multi-start Raw data'!$C$6:$C$2225=F$6)*('Multi-start Raw data'!$J$6:$J$2225="Fully converged"))</f>
        <v>2.4830000000000001</v>
      </c>
      <c r="G109">
        <f t="array" ref="G109">SUM('Multi-start Raw data'!$D$6:$D$2225*('Multi-start Raw data'!$B$6:$B$2225=$A109)*('Multi-start Raw data'!$C$6:$C$2225=G$6)*('Multi-start Raw data'!$J$6:$J$2225="Fully converged"))</f>
        <v>2.4860000000000002</v>
      </c>
      <c r="H109">
        <f t="array" ref="H109">SUM('Multi-start Raw data'!$D$6:$D$2225*('Multi-start Raw data'!$B$6:$B$2225=$A109)*('Multi-start Raw data'!$C$6:$C$2225=H$6)*('Multi-start Raw data'!$J$6:$J$2225="Fully converged"))</f>
        <v>2.4790000000000001</v>
      </c>
      <c r="I109">
        <f t="array" ref="I109">SUM('Multi-start Raw data'!$D$6:$D$2225*('Multi-start Raw data'!$B$6:$B$2225=$A109)*('Multi-start Raw data'!$C$6:$C$2225=I$6)*('Multi-start Raw data'!$J$6:$J$2225="Fully converged"))</f>
        <v>2.4790000000000001</v>
      </c>
      <c r="J109">
        <f t="array" ref="J109">SUM('Multi-start Raw data'!$D$6:$D$2225*('Multi-start Raw data'!$B$6:$B$2225=$A109)*('Multi-start Raw data'!$C$6:$C$2225=J$6)*('Multi-start Raw data'!$J$6:$J$2225="Fully converged"))</f>
        <v>0</v>
      </c>
      <c r="K109">
        <f t="array" ref="K109">SUM('Multi-start Raw data'!$D$6:$D$2225*('Multi-start Raw data'!$B$6:$B$2225=$A109)*('Multi-start Raw data'!$C$6:$C$2225=K$6)*('Multi-start Raw data'!$J$6:$J$2225="Fully converged"))</f>
        <v>2.4780000000000002</v>
      </c>
      <c r="L109">
        <f t="array" ref="L109">SUM('Multi-start Raw data'!$D$6:$D$2225*('Multi-start Raw data'!$B$6:$B$2225=$A109)*('Multi-start Raw data'!$C$6:$C$2225=L$6)*('Multi-start Raw data'!$J$6:$J$2225="Fully converged"))</f>
        <v>2.4889999999999999</v>
      </c>
      <c r="M109">
        <f t="array" ref="M109">SUM('Multi-start Raw data'!$D$6:$D$2225*('Multi-start Raw data'!$B$6:$B$2225=$A109)*('Multi-start Raw data'!$C$6:$C$2225=M$6)*('Multi-start Raw data'!$J$6:$J$2225="Fully converged"))</f>
        <v>2.48</v>
      </c>
      <c r="N109">
        <f t="array" ref="N109">SUM('Multi-start Raw data'!$D$6:$D$2225*('Multi-start Raw data'!$B$6:$B$2225=$A109)*('Multi-start Raw data'!$C$6:$C$2225=N$6)*('Multi-start Raw data'!$J$6:$J$2225="Fully converged"))</f>
        <v>2.4830000000000001</v>
      </c>
      <c r="O109">
        <f t="array" ref="O109">SUM('Multi-start Raw data'!$D$6:$D$2225*('Multi-start Raw data'!$B$6:$B$2225=$A109)*('Multi-start Raw data'!$C$6:$C$2225=O$6)*('Multi-start Raw data'!$J$6:$J$2225="Fully converged"))</f>
        <v>2.48</v>
      </c>
      <c r="P109">
        <f t="array" ref="P109">SUM('Multi-start Raw data'!$D$6:$D$2225*('Multi-start Raw data'!$B$6:$B$2225=$A109)*('Multi-start Raw data'!$C$6:$C$2225=P$6)*('Multi-start Raw data'!$J$6:$J$2225="Fully converged"))</f>
        <v>2.48</v>
      </c>
      <c r="Q109">
        <f t="array" ref="Q109">SUM('Multi-start Raw data'!$D$6:$D$2225*('Multi-start Raw data'!$B$6:$B$2225=$A109)*('Multi-start Raw data'!$C$6:$C$2225=Q$6)*('Multi-start Raw data'!$J$6:$J$2225="Fully converged"))</f>
        <v>2.48</v>
      </c>
      <c r="R109">
        <f t="array" ref="R109">SUM('Multi-start Raw data'!$D$6:$D$2225*('Multi-start Raw data'!$B$6:$B$2225=$A109)*('Multi-start Raw data'!$C$6:$C$2225=R$6)*('Multi-start Raw data'!$J$6:$J$2225="Fully converged"))</f>
        <v>2.4780000000000002</v>
      </c>
      <c r="S109">
        <f t="array" ref="S109">SUM('Multi-start Raw data'!$D$6:$D$2225*('Multi-start Raw data'!$B$6:$B$2225=$A109)*('Multi-start Raw data'!$C$6:$C$2225=S$6)*('Multi-start Raw data'!$J$6:$J$2225="Fully converged"))</f>
        <v>2.4820000000000002</v>
      </c>
      <c r="T109">
        <f t="array" ref="T109">SUM('Multi-start Raw data'!$D$6:$D$2225*('Multi-start Raw data'!$B$6:$B$2225=$A109)*('Multi-start Raw data'!$C$6:$C$2225=T$6)*('Multi-start Raw data'!$J$6:$J$2225="Fully converged"))</f>
        <v>2.4809999999999999</v>
      </c>
      <c r="U109">
        <f t="array" ref="U109">SUM('Multi-start Raw data'!$D$6:$D$2225*('Multi-start Raw data'!$B$6:$B$2225=$A109)*('Multi-start Raw data'!$C$6:$C$2225=U$6)*('Multi-start Raw data'!$J$6:$J$2225="Fully converged"))</f>
        <v>2.476</v>
      </c>
      <c r="W109" s="6">
        <f t="shared" si="29"/>
        <v>2.488</v>
      </c>
      <c r="X109" s="6">
        <f t="shared" si="30"/>
        <v>2.488</v>
      </c>
      <c r="Y109" s="6">
        <f t="shared" si="31"/>
        <v>2.4889999999999999</v>
      </c>
      <c r="Z109" s="6">
        <f t="shared" si="32"/>
        <v>2.4889999999999999</v>
      </c>
      <c r="AA109" s="6">
        <f t="shared" si="33"/>
        <v>2.4889999999999999</v>
      </c>
      <c r="AB109" s="6"/>
      <c r="AC109" s="6">
        <f t="shared" si="34"/>
        <v>0</v>
      </c>
      <c r="AD109" s="6">
        <f t="shared" si="35"/>
        <v>9.9999999999988987E-4</v>
      </c>
      <c r="AE109" s="6">
        <f t="shared" si="36"/>
        <v>0</v>
      </c>
      <c r="AF109" s="6">
        <f t="shared" si="37"/>
        <v>0</v>
      </c>
      <c r="AG109" s="6">
        <f t="shared" si="39"/>
        <v>4.0176777822414217E-2</v>
      </c>
      <c r="AH109" s="6">
        <f t="shared" si="40"/>
        <v>4.0176777822414217E-2</v>
      </c>
      <c r="AI109" s="6">
        <f t="shared" si="41"/>
        <v>0</v>
      </c>
      <c r="AJ109" s="6">
        <f t="shared" si="42"/>
        <v>0</v>
      </c>
      <c r="AK109" s="6">
        <f t="shared" si="43"/>
        <v>0</v>
      </c>
      <c r="AM109" s="16">
        <f t="shared" si="38"/>
        <v>0.1</v>
      </c>
    </row>
    <row r="110" spans="1:39" x14ac:dyDescent="0.3">
      <c r="A110" s="1" t="s">
        <v>2307</v>
      </c>
      <c r="B110">
        <f t="array" ref="B110">SUM('Multi-start Raw data'!$D$6:$D$2225*('Multi-start Raw data'!$B$6:$B$2225=$A110)*('Multi-start Raw data'!$C$6:$C$2225=B$6)*('Multi-start Raw data'!$J$6:$J$2225="Fully converged"))</f>
        <v>2.5870000000000002</v>
      </c>
      <c r="C110">
        <f t="array" ref="C110">SUM('Multi-start Raw data'!$D$6:$D$2225*('Multi-start Raw data'!$B$6:$B$2225=$A110)*('Multi-start Raw data'!$C$6:$C$2225=C$6)*('Multi-start Raw data'!$J$6:$J$2225="Fully converged"))</f>
        <v>2.5870000000000002</v>
      </c>
      <c r="D110">
        <f t="array" ref="D110">SUM('Multi-start Raw data'!$D$6:$D$2225*('Multi-start Raw data'!$B$6:$B$2225=$A110)*('Multi-start Raw data'!$C$6:$C$2225=D$6)*('Multi-start Raw data'!$J$6:$J$2225="Fully converged"))</f>
        <v>2.5939999999999999</v>
      </c>
      <c r="E110">
        <f t="array" ref="E110">SUM('Multi-start Raw data'!$D$6:$D$2225*('Multi-start Raw data'!$B$6:$B$2225=$A110)*('Multi-start Raw data'!$C$6:$C$2225=E$6)*('Multi-start Raw data'!$J$6:$J$2225="Fully converged"))</f>
        <v>0</v>
      </c>
      <c r="F110">
        <f t="array" ref="F110">SUM('Multi-start Raw data'!$D$6:$D$2225*('Multi-start Raw data'!$B$6:$B$2225=$A110)*('Multi-start Raw data'!$C$6:$C$2225=F$6)*('Multi-start Raw data'!$J$6:$J$2225="Fully converged"))</f>
        <v>2.5939999999999999</v>
      </c>
      <c r="G110">
        <f t="array" ref="G110">SUM('Multi-start Raw data'!$D$6:$D$2225*('Multi-start Raw data'!$B$6:$B$2225=$A110)*('Multi-start Raw data'!$C$6:$C$2225=G$6)*('Multi-start Raw data'!$J$6:$J$2225="Fully converged"))</f>
        <v>2.5720000000000001</v>
      </c>
      <c r="H110">
        <f t="array" ref="H110">SUM('Multi-start Raw data'!$D$6:$D$2225*('Multi-start Raw data'!$B$6:$B$2225=$A110)*('Multi-start Raw data'!$C$6:$C$2225=H$6)*('Multi-start Raw data'!$J$6:$J$2225="Fully converged"))</f>
        <v>2.593</v>
      </c>
      <c r="I110">
        <f t="array" ref="I110">SUM('Multi-start Raw data'!$D$6:$D$2225*('Multi-start Raw data'!$B$6:$B$2225=$A110)*('Multi-start Raw data'!$C$6:$C$2225=I$6)*('Multi-start Raw data'!$J$6:$J$2225="Fully converged"))</f>
        <v>2.5840000000000001</v>
      </c>
      <c r="J110">
        <f t="array" ref="J110">SUM('Multi-start Raw data'!$D$6:$D$2225*('Multi-start Raw data'!$B$6:$B$2225=$A110)*('Multi-start Raw data'!$C$6:$C$2225=J$6)*('Multi-start Raw data'!$J$6:$J$2225="Fully converged"))</f>
        <v>0</v>
      </c>
      <c r="K110">
        <f t="array" ref="K110">SUM('Multi-start Raw data'!$D$6:$D$2225*('Multi-start Raw data'!$B$6:$B$2225=$A110)*('Multi-start Raw data'!$C$6:$C$2225=K$6)*('Multi-start Raw data'!$J$6:$J$2225="Fully converged"))</f>
        <v>2.5870000000000002</v>
      </c>
      <c r="L110">
        <f t="array" ref="L110">SUM('Multi-start Raw data'!$D$6:$D$2225*('Multi-start Raw data'!$B$6:$B$2225=$A110)*('Multi-start Raw data'!$C$6:$C$2225=L$6)*('Multi-start Raw data'!$J$6:$J$2225="Fully converged"))</f>
        <v>2.5870000000000002</v>
      </c>
      <c r="M110">
        <f t="array" ref="M110">SUM('Multi-start Raw data'!$D$6:$D$2225*('Multi-start Raw data'!$B$6:$B$2225=$A110)*('Multi-start Raw data'!$C$6:$C$2225=M$6)*('Multi-start Raw data'!$J$6:$J$2225="Fully converged"))</f>
        <v>2.5870000000000002</v>
      </c>
      <c r="N110">
        <f t="array" ref="N110">SUM('Multi-start Raw data'!$D$6:$D$2225*('Multi-start Raw data'!$B$6:$B$2225=$A110)*('Multi-start Raw data'!$C$6:$C$2225=N$6)*('Multi-start Raw data'!$J$6:$J$2225="Fully converged"))</f>
        <v>2.5840000000000001</v>
      </c>
      <c r="O110">
        <f t="array" ref="O110">SUM('Multi-start Raw data'!$D$6:$D$2225*('Multi-start Raw data'!$B$6:$B$2225=$A110)*('Multi-start Raw data'!$C$6:$C$2225=O$6)*('Multi-start Raw data'!$J$6:$J$2225="Fully converged"))</f>
        <v>2.5840000000000001</v>
      </c>
      <c r="P110">
        <f t="array" ref="P110">SUM('Multi-start Raw data'!$D$6:$D$2225*('Multi-start Raw data'!$B$6:$B$2225=$A110)*('Multi-start Raw data'!$C$6:$C$2225=P$6)*('Multi-start Raw data'!$J$6:$J$2225="Fully converged"))</f>
        <v>2.5870000000000002</v>
      </c>
      <c r="Q110">
        <f t="array" ref="Q110">SUM('Multi-start Raw data'!$D$6:$D$2225*('Multi-start Raw data'!$B$6:$B$2225=$A110)*('Multi-start Raw data'!$C$6:$C$2225=Q$6)*('Multi-start Raw data'!$J$6:$J$2225="Fully converged"))</f>
        <v>2.5379999999999998</v>
      </c>
      <c r="R110">
        <f t="array" ref="R110">SUM('Multi-start Raw data'!$D$6:$D$2225*('Multi-start Raw data'!$B$6:$B$2225=$A110)*('Multi-start Raw data'!$C$6:$C$2225=R$6)*('Multi-start Raw data'!$J$6:$J$2225="Fully converged"))</f>
        <v>2.5870000000000002</v>
      </c>
      <c r="S110">
        <f t="array" ref="S110">SUM('Multi-start Raw data'!$D$6:$D$2225*('Multi-start Raw data'!$B$6:$B$2225=$A110)*('Multi-start Raw data'!$C$6:$C$2225=S$6)*('Multi-start Raw data'!$J$6:$J$2225="Fully converged"))</f>
        <v>2.5870000000000002</v>
      </c>
      <c r="T110">
        <f t="array" ref="T110">SUM('Multi-start Raw data'!$D$6:$D$2225*('Multi-start Raw data'!$B$6:$B$2225=$A110)*('Multi-start Raw data'!$C$6:$C$2225=T$6)*('Multi-start Raw data'!$J$6:$J$2225="Fully converged"))</f>
        <v>2.5870000000000002</v>
      </c>
      <c r="U110">
        <f t="array" ref="U110">SUM('Multi-start Raw data'!$D$6:$D$2225*('Multi-start Raw data'!$B$6:$B$2225=$A110)*('Multi-start Raw data'!$C$6:$C$2225=U$6)*('Multi-start Raw data'!$J$6:$J$2225="Fully converged"))</f>
        <v>2.5870000000000002</v>
      </c>
      <c r="W110" s="6">
        <f t="shared" si="29"/>
        <v>2.5939999999999999</v>
      </c>
      <c r="X110" s="6">
        <f t="shared" si="30"/>
        <v>2.5939999999999999</v>
      </c>
      <c r="Y110" s="6">
        <f t="shared" si="31"/>
        <v>2.5939999999999999</v>
      </c>
      <c r="Z110" s="6">
        <f t="shared" si="32"/>
        <v>2.5939999999999999</v>
      </c>
      <c r="AA110" s="6">
        <f t="shared" si="33"/>
        <v>2.5939999999999999</v>
      </c>
      <c r="AB110" s="6"/>
      <c r="AC110" s="6">
        <f t="shared" si="34"/>
        <v>0</v>
      </c>
      <c r="AD110" s="6">
        <f t="shared" si="35"/>
        <v>0</v>
      </c>
      <c r="AE110" s="6">
        <f t="shared" si="36"/>
        <v>0</v>
      </c>
      <c r="AF110" s="6">
        <f t="shared" si="37"/>
        <v>0</v>
      </c>
      <c r="AG110" s="6">
        <f t="shared" si="39"/>
        <v>0</v>
      </c>
      <c r="AH110" s="6">
        <f t="shared" si="40"/>
        <v>0</v>
      </c>
      <c r="AI110" s="6">
        <f t="shared" si="41"/>
        <v>0</v>
      </c>
      <c r="AJ110" s="6">
        <f t="shared" si="42"/>
        <v>0</v>
      </c>
      <c r="AK110" s="6">
        <f t="shared" si="43"/>
        <v>0</v>
      </c>
      <c r="AM110" s="16">
        <f t="shared" si="38"/>
        <v>0.1</v>
      </c>
    </row>
    <row r="111" spans="1:39" x14ac:dyDescent="0.3">
      <c r="A111" s="1" t="s">
        <v>2328</v>
      </c>
      <c r="B111">
        <f t="array" ref="B111">SUM('Multi-start Raw data'!$D$6:$D$2225*('Multi-start Raw data'!$B$6:$B$2225=$A111)*('Multi-start Raw data'!$C$6:$C$2225=B$6)*('Multi-start Raw data'!$J$6:$J$2225="Fully converged"))</f>
        <v>2.5680000000000001</v>
      </c>
      <c r="C111">
        <f t="array" ref="C111">SUM('Multi-start Raw data'!$D$6:$D$2225*('Multi-start Raw data'!$B$6:$B$2225=$A111)*('Multi-start Raw data'!$C$6:$C$2225=C$6)*('Multi-start Raw data'!$J$6:$J$2225="Fully converged"))</f>
        <v>2.5680000000000001</v>
      </c>
      <c r="D111">
        <f t="array" ref="D111">SUM('Multi-start Raw data'!$D$6:$D$2225*('Multi-start Raw data'!$B$6:$B$2225=$A111)*('Multi-start Raw data'!$C$6:$C$2225=D$6)*('Multi-start Raw data'!$J$6:$J$2225="Fully converged"))</f>
        <v>2.5680000000000001</v>
      </c>
      <c r="E111">
        <f t="array" ref="E111">SUM('Multi-start Raw data'!$D$6:$D$2225*('Multi-start Raw data'!$B$6:$B$2225=$A111)*('Multi-start Raw data'!$C$6:$C$2225=E$6)*('Multi-start Raw data'!$J$6:$J$2225="Fully converged"))</f>
        <v>2.5680000000000001</v>
      </c>
      <c r="F111">
        <f t="array" ref="F111">SUM('Multi-start Raw data'!$D$6:$D$2225*('Multi-start Raw data'!$B$6:$B$2225=$A111)*('Multi-start Raw data'!$C$6:$C$2225=F$6)*('Multi-start Raw data'!$J$6:$J$2225="Fully converged"))</f>
        <v>2.5680000000000001</v>
      </c>
      <c r="G111">
        <f t="array" ref="G111">SUM('Multi-start Raw data'!$D$6:$D$2225*('Multi-start Raw data'!$B$6:$B$2225=$A111)*('Multi-start Raw data'!$C$6:$C$2225=G$6)*('Multi-start Raw data'!$J$6:$J$2225="Fully converged"))</f>
        <v>2.5680000000000001</v>
      </c>
      <c r="H111">
        <f t="array" ref="H111">SUM('Multi-start Raw data'!$D$6:$D$2225*('Multi-start Raw data'!$B$6:$B$2225=$A111)*('Multi-start Raw data'!$C$6:$C$2225=H$6)*('Multi-start Raw data'!$J$6:$J$2225="Fully converged"))</f>
        <v>2.5680000000000001</v>
      </c>
      <c r="I111">
        <f t="array" ref="I111">SUM('Multi-start Raw data'!$D$6:$D$2225*('Multi-start Raw data'!$B$6:$B$2225=$A111)*('Multi-start Raw data'!$C$6:$C$2225=I$6)*('Multi-start Raw data'!$J$6:$J$2225="Fully converged"))</f>
        <v>2.5680000000000001</v>
      </c>
      <c r="J111">
        <f t="array" ref="J111">SUM('Multi-start Raw data'!$D$6:$D$2225*('Multi-start Raw data'!$B$6:$B$2225=$A111)*('Multi-start Raw data'!$C$6:$C$2225=J$6)*('Multi-start Raw data'!$J$6:$J$2225="Fully converged"))</f>
        <v>2.5680000000000001</v>
      </c>
      <c r="K111">
        <f t="array" ref="K111">SUM('Multi-start Raw data'!$D$6:$D$2225*('Multi-start Raw data'!$B$6:$B$2225=$A111)*('Multi-start Raw data'!$C$6:$C$2225=K$6)*('Multi-start Raw data'!$J$6:$J$2225="Fully converged"))</f>
        <v>2.5680000000000001</v>
      </c>
      <c r="L111">
        <f t="array" ref="L111">SUM('Multi-start Raw data'!$D$6:$D$2225*('Multi-start Raw data'!$B$6:$B$2225=$A111)*('Multi-start Raw data'!$C$6:$C$2225=L$6)*('Multi-start Raw data'!$J$6:$J$2225="Fully converged"))</f>
        <v>2.552</v>
      </c>
      <c r="M111">
        <f t="array" ref="M111">SUM('Multi-start Raw data'!$D$6:$D$2225*('Multi-start Raw data'!$B$6:$B$2225=$A111)*('Multi-start Raw data'!$C$6:$C$2225=M$6)*('Multi-start Raw data'!$J$6:$J$2225="Fully converged"))</f>
        <v>2.5680000000000001</v>
      </c>
      <c r="N111">
        <f t="array" ref="N111">SUM('Multi-start Raw data'!$D$6:$D$2225*('Multi-start Raw data'!$B$6:$B$2225=$A111)*('Multi-start Raw data'!$C$6:$C$2225=N$6)*('Multi-start Raw data'!$J$6:$J$2225="Fully converged"))</f>
        <v>0</v>
      </c>
      <c r="O111">
        <f t="array" ref="O111">SUM('Multi-start Raw data'!$D$6:$D$2225*('Multi-start Raw data'!$B$6:$B$2225=$A111)*('Multi-start Raw data'!$C$6:$C$2225=O$6)*('Multi-start Raw data'!$J$6:$J$2225="Fully converged"))</f>
        <v>2.5670000000000002</v>
      </c>
      <c r="P111">
        <f t="array" ref="P111">SUM('Multi-start Raw data'!$D$6:$D$2225*('Multi-start Raw data'!$B$6:$B$2225=$A111)*('Multi-start Raw data'!$C$6:$C$2225=P$6)*('Multi-start Raw data'!$J$6:$J$2225="Fully converged"))</f>
        <v>2.5670000000000002</v>
      </c>
      <c r="Q111">
        <f t="array" ref="Q111">SUM('Multi-start Raw data'!$D$6:$D$2225*('Multi-start Raw data'!$B$6:$B$2225=$A111)*('Multi-start Raw data'!$C$6:$C$2225=Q$6)*('Multi-start Raw data'!$J$6:$J$2225="Fully converged"))</f>
        <v>2.552</v>
      </c>
      <c r="R111">
        <f t="array" ref="R111">SUM('Multi-start Raw data'!$D$6:$D$2225*('Multi-start Raw data'!$B$6:$B$2225=$A111)*('Multi-start Raw data'!$C$6:$C$2225=R$6)*('Multi-start Raw data'!$J$6:$J$2225="Fully converged"))</f>
        <v>2.5670000000000002</v>
      </c>
      <c r="S111">
        <f t="array" ref="S111">SUM('Multi-start Raw data'!$D$6:$D$2225*('Multi-start Raw data'!$B$6:$B$2225=$A111)*('Multi-start Raw data'!$C$6:$C$2225=S$6)*('Multi-start Raw data'!$J$6:$J$2225="Fully converged"))</f>
        <v>2.5510000000000002</v>
      </c>
      <c r="T111">
        <f t="array" ref="T111">SUM('Multi-start Raw data'!$D$6:$D$2225*('Multi-start Raw data'!$B$6:$B$2225=$A111)*('Multi-start Raw data'!$C$6:$C$2225=T$6)*('Multi-start Raw data'!$J$6:$J$2225="Fully converged"))</f>
        <v>2.5550000000000002</v>
      </c>
      <c r="U111">
        <f t="array" ref="U111">SUM('Multi-start Raw data'!$D$6:$D$2225*('Multi-start Raw data'!$B$6:$B$2225=$A111)*('Multi-start Raw data'!$C$6:$C$2225=U$6)*('Multi-start Raw data'!$J$6:$J$2225="Fully converged"))</f>
        <v>2.5089999999999999</v>
      </c>
      <c r="W111" s="6">
        <f t="shared" si="29"/>
        <v>2.5680000000000001</v>
      </c>
      <c r="X111" s="6">
        <f t="shared" si="30"/>
        <v>2.5680000000000001</v>
      </c>
      <c r="Y111" s="6">
        <f t="shared" si="31"/>
        <v>2.5680000000000001</v>
      </c>
      <c r="Z111" s="6">
        <f t="shared" si="32"/>
        <v>2.5680000000000001</v>
      </c>
      <c r="AA111" s="6">
        <f t="shared" si="33"/>
        <v>2.5680000000000001</v>
      </c>
      <c r="AB111" s="6"/>
      <c r="AC111" s="6">
        <f t="shared" si="34"/>
        <v>0</v>
      </c>
      <c r="AD111" s="6">
        <f t="shared" si="35"/>
        <v>0</v>
      </c>
      <c r="AE111" s="6">
        <f t="shared" si="36"/>
        <v>0</v>
      </c>
      <c r="AF111" s="6">
        <f t="shared" si="37"/>
        <v>0</v>
      </c>
      <c r="AG111" s="6">
        <f t="shared" si="39"/>
        <v>0</v>
      </c>
      <c r="AH111" s="6">
        <f t="shared" si="40"/>
        <v>0</v>
      </c>
      <c r="AI111" s="6">
        <f t="shared" si="41"/>
        <v>0</v>
      </c>
      <c r="AJ111" s="6">
        <f t="shared" si="42"/>
        <v>0</v>
      </c>
      <c r="AK111" s="6">
        <f t="shared" si="43"/>
        <v>0</v>
      </c>
      <c r="AM111" s="16">
        <f t="shared" si="38"/>
        <v>0.1</v>
      </c>
    </row>
    <row r="112" spans="1:39" x14ac:dyDescent="0.3">
      <c r="A112" s="1" t="s">
        <v>2347</v>
      </c>
      <c r="B112">
        <f t="array" ref="B112">SUM('Multi-start Raw data'!$D$6:$D$2225*('Multi-start Raw data'!$B$6:$B$2225=$A112)*('Multi-start Raw data'!$C$6:$C$2225=B$6)*('Multi-start Raw data'!$J$6:$J$2225="Fully converged"))</f>
        <v>2.4950000000000001</v>
      </c>
      <c r="C112">
        <f t="array" ref="C112">SUM('Multi-start Raw data'!$D$6:$D$2225*('Multi-start Raw data'!$B$6:$B$2225=$A112)*('Multi-start Raw data'!$C$6:$C$2225=C$6)*('Multi-start Raw data'!$J$6:$J$2225="Fully converged"))</f>
        <v>2.4969999999999999</v>
      </c>
      <c r="D112">
        <f t="array" ref="D112">SUM('Multi-start Raw data'!$D$6:$D$2225*('Multi-start Raw data'!$B$6:$B$2225=$A112)*('Multi-start Raw data'!$C$6:$C$2225=D$6)*('Multi-start Raw data'!$J$6:$J$2225="Fully converged"))</f>
        <v>2.4830000000000001</v>
      </c>
      <c r="E112">
        <f t="array" ref="E112">SUM('Multi-start Raw data'!$D$6:$D$2225*('Multi-start Raw data'!$B$6:$B$2225=$A112)*('Multi-start Raw data'!$C$6:$C$2225=E$6)*('Multi-start Raw data'!$J$6:$J$2225="Fully converged"))</f>
        <v>2.5</v>
      </c>
      <c r="F112">
        <f t="array" ref="F112">SUM('Multi-start Raw data'!$D$6:$D$2225*('Multi-start Raw data'!$B$6:$B$2225=$A112)*('Multi-start Raw data'!$C$6:$C$2225=F$6)*('Multi-start Raw data'!$J$6:$J$2225="Fully converged"))</f>
        <v>2.48</v>
      </c>
      <c r="G112">
        <f t="array" ref="G112">SUM('Multi-start Raw data'!$D$6:$D$2225*('Multi-start Raw data'!$B$6:$B$2225=$A112)*('Multi-start Raw data'!$C$6:$C$2225=G$6)*('Multi-start Raw data'!$J$6:$J$2225="Fully converged"))</f>
        <v>2.5</v>
      </c>
      <c r="H112">
        <f t="array" ref="H112">SUM('Multi-start Raw data'!$D$6:$D$2225*('Multi-start Raw data'!$B$6:$B$2225=$A112)*('Multi-start Raw data'!$C$6:$C$2225=H$6)*('Multi-start Raw data'!$J$6:$J$2225="Fully converged"))</f>
        <v>2.5</v>
      </c>
      <c r="I112">
        <f t="array" ref="I112">SUM('Multi-start Raw data'!$D$6:$D$2225*('Multi-start Raw data'!$B$6:$B$2225=$A112)*('Multi-start Raw data'!$C$6:$C$2225=I$6)*('Multi-start Raw data'!$J$6:$J$2225="Fully converged"))</f>
        <v>2.4849999999999999</v>
      </c>
      <c r="J112">
        <f t="array" ref="J112">SUM('Multi-start Raw data'!$D$6:$D$2225*('Multi-start Raw data'!$B$6:$B$2225=$A112)*('Multi-start Raw data'!$C$6:$C$2225=J$6)*('Multi-start Raw data'!$J$6:$J$2225="Fully converged"))</f>
        <v>2.4790000000000001</v>
      </c>
      <c r="K112">
        <f t="array" ref="K112">SUM('Multi-start Raw data'!$D$6:$D$2225*('Multi-start Raw data'!$B$6:$B$2225=$A112)*('Multi-start Raw data'!$C$6:$C$2225=K$6)*('Multi-start Raw data'!$J$6:$J$2225="Fully converged"))</f>
        <v>0</v>
      </c>
      <c r="L112">
        <f t="array" ref="L112">SUM('Multi-start Raw data'!$D$6:$D$2225*('Multi-start Raw data'!$B$6:$B$2225=$A112)*('Multi-start Raw data'!$C$6:$C$2225=L$6)*('Multi-start Raw data'!$J$6:$J$2225="Fully converged"))</f>
        <v>2.5</v>
      </c>
      <c r="M112">
        <f t="array" ref="M112">SUM('Multi-start Raw data'!$D$6:$D$2225*('Multi-start Raw data'!$B$6:$B$2225=$A112)*('Multi-start Raw data'!$C$6:$C$2225=M$6)*('Multi-start Raw data'!$J$6:$J$2225="Fully converged"))</f>
        <v>2.5030000000000001</v>
      </c>
      <c r="N112">
        <f t="array" ref="N112">SUM('Multi-start Raw data'!$D$6:$D$2225*('Multi-start Raw data'!$B$6:$B$2225=$A112)*('Multi-start Raw data'!$C$6:$C$2225=N$6)*('Multi-start Raw data'!$J$6:$J$2225="Fully converged"))</f>
        <v>0</v>
      </c>
      <c r="O112">
        <f t="array" ref="O112">SUM('Multi-start Raw data'!$D$6:$D$2225*('Multi-start Raw data'!$B$6:$B$2225=$A112)*('Multi-start Raw data'!$C$6:$C$2225=O$6)*('Multi-start Raw data'!$J$6:$J$2225="Fully converged"))</f>
        <v>2.5</v>
      </c>
      <c r="P112">
        <f t="array" ref="P112">SUM('Multi-start Raw data'!$D$6:$D$2225*('Multi-start Raw data'!$B$6:$B$2225=$A112)*('Multi-start Raw data'!$C$6:$C$2225=P$6)*('Multi-start Raw data'!$J$6:$J$2225="Fully converged"))</f>
        <v>2.5030000000000001</v>
      </c>
      <c r="Q112">
        <f t="array" ref="Q112">SUM('Multi-start Raw data'!$D$6:$D$2225*('Multi-start Raw data'!$B$6:$B$2225=$A112)*('Multi-start Raw data'!$C$6:$C$2225=Q$6)*('Multi-start Raw data'!$J$6:$J$2225="Fully converged"))</f>
        <v>2.4849999999999999</v>
      </c>
      <c r="R112">
        <f t="array" ref="R112">SUM('Multi-start Raw data'!$D$6:$D$2225*('Multi-start Raw data'!$B$6:$B$2225=$A112)*('Multi-start Raw data'!$C$6:$C$2225=R$6)*('Multi-start Raw data'!$J$6:$J$2225="Fully converged"))</f>
        <v>2.4969999999999999</v>
      </c>
      <c r="S112">
        <f t="array" ref="S112">SUM('Multi-start Raw data'!$D$6:$D$2225*('Multi-start Raw data'!$B$6:$B$2225=$A112)*('Multi-start Raw data'!$C$6:$C$2225=S$6)*('Multi-start Raw data'!$J$6:$J$2225="Fully converged"))</f>
        <v>2.5030000000000001</v>
      </c>
      <c r="T112">
        <f t="array" ref="T112">SUM('Multi-start Raw data'!$D$6:$D$2225*('Multi-start Raw data'!$B$6:$B$2225=$A112)*('Multi-start Raw data'!$C$6:$C$2225=T$6)*('Multi-start Raw data'!$J$6:$J$2225="Fully converged"))</f>
        <v>2.5</v>
      </c>
      <c r="U112">
        <f t="array" ref="U112">SUM('Multi-start Raw data'!$D$6:$D$2225*('Multi-start Raw data'!$B$6:$B$2225=$A112)*('Multi-start Raw data'!$C$6:$C$2225=U$6)*('Multi-start Raw data'!$J$6:$J$2225="Fully converged"))</f>
        <v>2.4790000000000001</v>
      </c>
      <c r="W112" s="6">
        <f t="shared" si="29"/>
        <v>2.5</v>
      </c>
      <c r="X112" s="6">
        <f t="shared" si="30"/>
        <v>2.5</v>
      </c>
      <c r="Y112" s="6">
        <f t="shared" si="31"/>
        <v>2.5030000000000001</v>
      </c>
      <c r="Z112" s="6">
        <f t="shared" si="32"/>
        <v>2.5030000000000001</v>
      </c>
      <c r="AA112" s="6">
        <f t="shared" si="33"/>
        <v>2.5030000000000001</v>
      </c>
      <c r="AB112" s="6"/>
      <c r="AC112" s="6">
        <f t="shared" si="34"/>
        <v>0</v>
      </c>
      <c r="AD112" s="6">
        <f t="shared" si="35"/>
        <v>3.0000000000001137E-3</v>
      </c>
      <c r="AE112" s="6">
        <f t="shared" si="36"/>
        <v>0</v>
      </c>
      <c r="AF112" s="6">
        <f t="shared" si="37"/>
        <v>0</v>
      </c>
      <c r="AG112" s="6">
        <f t="shared" si="39"/>
        <v>0.11985617259289308</v>
      </c>
      <c r="AH112" s="6">
        <f t="shared" si="40"/>
        <v>0.11985617259289308</v>
      </c>
      <c r="AI112" s="6">
        <f t="shared" si="41"/>
        <v>0</v>
      </c>
      <c r="AJ112" s="6">
        <f t="shared" si="42"/>
        <v>0</v>
      </c>
      <c r="AK112" s="6">
        <f t="shared" si="43"/>
        <v>0</v>
      </c>
      <c r="AM112" s="16">
        <f t="shared" si="38"/>
        <v>0.1</v>
      </c>
    </row>
    <row r="113" spans="1:39" x14ac:dyDescent="0.3">
      <c r="A113" s="1" t="s">
        <v>2364</v>
      </c>
      <c r="B113">
        <f t="array" ref="B113">SUM('Multi-start Raw data'!$D$6:$D$2225*('Multi-start Raw data'!$B$6:$B$2225=$A113)*('Multi-start Raw data'!$C$6:$C$2225=B$6)*('Multi-start Raw data'!$J$6:$J$2225="Fully converged"))</f>
        <v>2.528</v>
      </c>
      <c r="C113">
        <f t="array" ref="C113">SUM('Multi-start Raw data'!$D$6:$D$2225*('Multi-start Raw data'!$B$6:$B$2225=$A113)*('Multi-start Raw data'!$C$6:$C$2225=C$6)*('Multi-start Raw data'!$J$6:$J$2225="Fully converged"))</f>
        <v>2.544</v>
      </c>
      <c r="D113">
        <f t="array" ref="D113">SUM('Multi-start Raw data'!$D$6:$D$2225*('Multi-start Raw data'!$B$6:$B$2225=$A113)*('Multi-start Raw data'!$C$6:$C$2225=D$6)*('Multi-start Raw data'!$J$6:$J$2225="Fully converged"))</f>
        <v>2.4820000000000002</v>
      </c>
      <c r="E113">
        <f t="array" ref="E113">SUM('Multi-start Raw data'!$D$6:$D$2225*('Multi-start Raw data'!$B$6:$B$2225=$A113)*('Multi-start Raw data'!$C$6:$C$2225=E$6)*('Multi-start Raw data'!$J$6:$J$2225="Fully converged"))</f>
        <v>2.5430000000000001</v>
      </c>
      <c r="F113">
        <f t="array" ref="F113">SUM('Multi-start Raw data'!$D$6:$D$2225*('Multi-start Raw data'!$B$6:$B$2225=$A113)*('Multi-start Raw data'!$C$6:$C$2225=F$6)*('Multi-start Raw data'!$J$6:$J$2225="Fully converged"))</f>
        <v>2.544</v>
      </c>
      <c r="G113">
        <f t="array" ref="G113">SUM('Multi-start Raw data'!$D$6:$D$2225*('Multi-start Raw data'!$B$6:$B$2225=$A113)*('Multi-start Raw data'!$C$6:$C$2225=G$6)*('Multi-start Raw data'!$J$6:$J$2225="Fully converged"))</f>
        <v>2.5430000000000001</v>
      </c>
      <c r="H113">
        <f t="array" ref="H113">SUM('Multi-start Raw data'!$D$6:$D$2225*('Multi-start Raw data'!$B$6:$B$2225=$A113)*('Multi-start Raw data'!$C$6:$C$2225=H$6)*('Multi-start Raw data'!$J$6:$J$2225="Fully converged"))</f>
        <v>2.5409999999999999</v>
      </c>
      <c r="I113">
        <f t="array" ref="I113">SUM('Multi-start Raw data'!$D$6:$D$2225*('Multi-start Raw data'!$B$6:$B$2225=$A113)*('Multi-start Raw data'!$C$6:$C$2225=I$6)*('Multi-start Raw data'!$J$6:$J$2225="Fully converged"))</f>
        <v>2.4889999999999999</v>
      </c>
      <c r="J113">
        <f t="array" ref="J113">SUM('Multi-start Raw data'!$D$6:$D$2225*('Multi-start Raw data'!$B$6:$B$2225=$A113)*('Multi-start Raw data'!$C$6:$C$2225=J$6)*('Multi-start Raw data'!$J$6:$J$2225="Fully converged"))</f>
        <v>2.5419999999999998</v>
      </c>
      <c r="K113">
        <f t="array" ref="K113">SUM('Multi-start Raw data'!$D$6:$D$2225*('Multi-start Raw data'!$B$6:$B$2225=$A113)*('Multi-start Raw data'!$C$6:$C$2225=K$6)*('Multi-start Raw data'!$J$6:$J$2225="Fully converged"))</f>
        <v>0</v>
      </c>
      <c r="L113">
        <f t="array" ref="L113">SUM('Multi-start Raw data'!$D$6:$D$2225*('Multi-start Raw data'!$B$6:$B$2225=$A113)*('Multi-start Raw data'!$C$6:$C$2225=L$6)*('Multi-start Raw data'!$J$6:$J$2225="Fully converged"))</f>
        <v>2.5430000000000001</v>
      </c>
      <c r="M113">
        <f t="array" ref="M113">SUM('Multi-start Raw data'!$D$6:$D$2225*('Multi-start Raw data'!$B$6:$B$2225=$A113)*('Multi-start Raw data'!$C$6:$C$2225=M$6)*('Multi-start Raw data'!$J$6:$J$2225="Fully converged"))</f>
        <v>2.5209999999999999</v>
      </c>
      <c r="N113">
        <f t="array" ref="N113">SUM('Multi-start Raw data'!$D$6:$D$2225*('Multi-start Raw data'!$B$6:$B$2225=$A113)*('Multi-start Raw data'!$C$6:$C$2225=N$6)*('Multi-start Raw data'!$J$6:$J$2225="Fully converged"))</f>
        <v>2.528</v>
      </c>
      <c r="O113">
        <f t="array" ref="O113">SUM('Multi-start Raw data'!$D$6:$D$2225*('Multi-start Raw data'!$B$6:$B$2225=$A113)*('Multi-start Raw data'!$C$6:$C$2225=O$6)*('Multi-start Raw data'!$J$6:$J$2225="Fully converged"))</f>
        <v>2.5430000000000001</v>
      </c>
      <c r="P113">
        <f t="array" ref="P113">SUM('Multi-start Raw data'!$D$6:$D$2225*('Multi-start Raw data'!$B$6:$B$2225=$A113)*('Multi-start Raw data'!$C$6:$C$2225=P$6)*('Multi-start Raw data'!$J$6:$J$2225="Fully converged"))</f>
        <v>2.5449999999999999</v>
      </c>
      <c r="Q113">
        <f t="array" ref="Q113">SUM('Multi-start Raw data'!$D$6:$D$2225*('Multi-start Raw data'!$B$6:$B$2225=$A113)*('Multi-start Raw data'!$C$6:$C$2225=Q$6)*('Multi-start Raw data'!$J$6:$J$2225="Fully converged"))</f>
        <v>2.5249999999999999</v>
      </c>
      <c r="R113">
        <f t="array" ref="R113">SUM('Multi-start Raw data'!$D$6:$D$2225*('Multi-start Raw data'!$B$6:$B$2225=$A113)*('Multi-start Raw data'!$C$6:$C$2225=R$6)*('Multi-start Raw data'!$J$6:$J$2225="Fully converged"))</f>
        <v>2.5379999999999998</v>
      </c>
      <c r="S113">
        <f t="array" ref="S113">SUM('Multi-start Raw data'!$D$6:$D$2225*('Multi-start Raw data'!$B$6:$B$2225=$A113)*('Multi-start Raw data'!$C$6:$C$2225=S$6)*('Multi-start Raw data'!$J$6:$J$2225="Fully converged"))</f>
        <v>2.5430000000000001</v>
      </c>
      <c r="T113">
        <f t="array" ref="T113">SUM('Multi-start Raw data'!$D$6:$D$2225*('Multi-start Raw data'!$B$6:$B$2225=$A113)*('Multi-start Raw data'!$C$6:$C$2225=T$6)*('Multi-start Raw data'!$J$6:$J$2225="Fully converged"))</f>
        <v>2.5449999999999999</v>
      </c>
      <c r="U113">
        <f t="array" ref="U113">SUM('Multi-start Raw data'!$D$6:$D$2225*('Multi-start Raw data'!$B$6:$B$2225=$A113)*('Multi-start Raw data'!$C$6:$C$2225=U$6)*('Multi-start Raw data'!$J$6:$J$2225="Fully converged"))</f>
        <v>2.5249999999999999</v>
      </c>
      <c r="W113" s="6">
        <f t="shared" si="29"/>
        <v>2.544</v>
      </c>
      <c r="X113" s="6">
        <f t="shared" si="30"/>
        <v>2.544</v>
      </c>
      <c r="Y113" s="6">
        <f t="shared" si="31"/>
        <v>2.544</v>
      </c>
      <c r="Z113" s="6">
        <f t="shared" si="32"/>
        <v>2.5449999999999999</v>
      </c>
      <c r="AA113" s="6">
        <f t="shared" si="33"/>
        <v>2.5449999999999999</v>
      </c>
      <c r="AB113" s="6"/>
      <c r="AC113" s="6">
        <f t="shared" si="34"/>
        <v>0</v>
      </c>
      <c r="AD113" s="6">
        <f t="shared" si="35"/>
        <v>0</v>
      </c>
      <c r="AE113" s="6">
        <f t="shared" si="36"/>
        <v>9.9999999999988987E-4</v>
      </c>
      <c r="AF113" s="6">
        <f t="shared" si="37"/>
        <v>0</v>
      </c>
      <c r="AG113" s="6">
        <f t="shared" si="39"/>
        <v>3.9292730844789382E-2</v>
      </c>
      <c r="AH113" s="6">
        <f t="shared" si="40"/>
        <v>3.9292730844789382E-2</v>
      </c>
      <c r="AI113" s="6">
        <f t="shared" si="41"/>
        <v>3.9292730844789382E-2</v>
      </c>
      <c r="AJ113" s="6">
        <f t="shared" si="42"/>
        <v>0</v>
      </c>
      <c r="AK113" s="6">
        <f t="shared" si="43"/>
        <v>0</v>
      </c>
      <c r="AM113" s="16">
        <f t="shared" si="38"/>
        <v>0.1</v>
      </c>
    </row>
    <row r="114" spans="1:39" x14ac:dyDescent="0.3">
      <c r="A114" s="1" t="s">
        <v>2378</v>
      </c>
      <c r="B114">
        <f t="array" ref="B114">SUM('Multi-start Raw data'!$D$6:$D$2225*('Multi-start Raw data'!$B$6:$B$2225=$A114)*('Multi-start Raw data'!$C$6:$C$2225=B$6)*('Multi-start Raw data'!$J$6:$J$2225="Fully converged"))</f>
        <v>2.4510000000000001</v>
      </c>
      <c r="C114">
        <f t="array" ref="C114">SUM('Multi-start Raw data'!$D$6:$D$2225*('Multi-start Raw data'!$B$6:$B$2225=$A114)*('Multi-start Raw data'!$C$6:$C$2225=C$6)*('Multi-start Raw data'!$J$6:$J$2225="Fully converged"))</f>
        <v>2.4449999999999998</v>
      </c>
      <c r="D114">
        <f t="array" ref="D114">SUM('Multi-start Raw data'!$D$6:$D$2225*('Multi-start Raw data'!$B$6:$B$2225=$A114)*('Multi-start Raw data'!$C$6:$C$2225=D$6)*('Multi-start Raw data'!$J$6:$J$2225="Fully converged"))</f>
        <v>2.4510000000000001</v>
      </c>
      <c r="E114">
        <f t="array" ref="E114">SUM('Multi-start Raw data'!$D$6:$D$2225*('Multi-start Raw data'!$B$6:$B$2225=$A114)*('Multi-start Raw data'!$C$6:$C$2225=E$6)*('Multi-start Raw data'!$J$6:$J$2225="Fully converged"))</f>
        <v>2.4510000000000001</v>
      </c>
      <c r="F114">
        <f t="array" ref="F114">SUM('Multi-start Raw data'!$D$6:$D$2225*('Multi-start Raw data'!$B$6:$B$2225=$A114)*('Multi-start Raw data'!$C$6:$C$2225=F$6)*('Multi-start Raw data'!$J$6:$J$2225="Fully converged"))</f>
        <v>2.4500000000000002</v>
      </c>
      <c r="G114">
        <f t="array" ref="G114">SUM('Multi-start Raw data'!$D$6:$D$2225*('Multi-start Raw data'!$B$6:$B$2225=$A114)*('Multi-start Raw data'!$C$6:$C$2225=G$6)*('Multi-start Raw data'!$J$6:$J$2225="Fully converged"))</f>
        <v>2.4540000000000002</v>
      </c>
      <c r="H114">
        <f t="array" ref="H114">SUM('Multi-start Raw data'!$D$6:$D$2225*('Multi-start Raw data'!$B$6:$B$2225=$A114)*('Multi-start Raw data'!$C$6:$C$2225=H$6)*('Multi-start Raw data'!$J$6:$J$2225="Fully converged"))</f>
        <v>2.4540000000000002</v>
      </c>
      <c r="I114">
        <f t="array" ref="I114">SUM('Multi-start Raw data'!$D$6:$D$2225*('Multi-start Raw data'!$B$6:$B$2225=$A114)*('Multi-start Raw data'!$C$6:$C$2225=I$6)*('Multi-start Raw data'!$J$6:$J$2225="Fully converged"))</f>
        <v>2.4489999999999998</v>
      </c>
      <c r="J114">
        <f t="array" ref="J114">SUM('Multi-start Raw data'!$D$6:$D$2225*('Multi-start Raw data'!$B$6:$B$2225=$A114)*('Multi-start Raw data'!$C$6:$C$2225=J$6)*('Multi-start Raw data'!$J$6:$J$2225="Fully converged"))</f>
        <v>2.4500000000000002</v>
      </c>
      <c r="K114">
        <f t="array" ref="K114">SUM('Multi-start Raw data'!$D$6:$D$2225*('Multi-start Raw data'!$B$6:$B$2225=$A114)*('Multi-start Raw data'!$C$6:$C$2225=K$6)*('Multi-start Raw data'!$J$6:$J$2225="Fully converged"))</f>
        <v>2.4329999999999998</v>
      </c>
      <c r="L114">
        <f t="array" ref="L114">SUM('Multi-start Raw data'!$D$6:$D$2225*('Multi-start Raw data'!$B$6:$B$2225=$A114)*('Multi-start Raw data'!$C$6:$C$2225=L$6)*('Multi-start Raw data'!$J$6:$J$2225="Fully converged"))</f>
        <v>2.4510000000000001</v>
      </c>
      <c r="M114">
        <f t="array" ref="M114">SUM('Multi-start Raw data'!$D$6:$D$2225*('Multi-start Raw data'!$B$6:$B$2225=$A114)*('Multi-start Raw data'!$C$6:$C$2225=M$6)*('Multi-start Raw data'!$J$6:$J$2225="Fully converged"))</f>
        <v>2.4369999999999998</v>
      </c>
      <c r="N114">
        <f t="array" ref="N114">SUM('Multi-start Raw data'!$D$6:$D$2225*('Multi-start Raw data'!$B$6:$B$2225=$A114)*('Multi-start Raw data'!$C$6:$C$2225=N$6)*('Multi-start Raw data'!$J$6:$J$2225="Fully converged"))</f>
        <v>2.4540000000000002</v>
      </c>
      <c r="O114">
        <f t="array" ref="O114">SUM('Multi-start Raw data'!$D$6:$D$2225*('Multi-start Raw data'!$B$6:$B$2225=$A114)*('Multi-start Raw data'!$C$6:$C$2225=O$6)*('Multi-start Raw data'!$J$6:$J$2225="Fully converged"))</f>
        <v>2.4510000000000001</v>
      </c>
      <c r="P114">
        <f t="array" ref="P114">SUM('Multi-start Raw data'!$D$6:$D$2225*('Multi-start Raw data'!$B$6:$B$2225=$A114)*('Multi-start Raw data'!$C$6:$C$2225=P$6)*('Multi-start Raw data'!$J$6:$J$2225="Fully converged"))</f>
        <v>2.4510000000000001</v>
      </c>
      <c r="Q114">
        <f t="array" ref="Q114">SUM('Multi-start Raw data'!$D$6:$D$2225*('Multi-start Raw data'!$B$6:$B$2225=$A114)*('Multi-start Raw data'!$C$6:$C$2225=Q$6)*('Multi-start Raw data'!$J$6:$J$2225="Fully converged"))</f>
        <v>2.4369999999999998</v>
      </c>
      <c r="R114">
        <f t="array" ref="R114">SUM('Multi-start Raw data'!$D$6:$D$2225*('Multi-start Raw data'!$B$6:$B$2225=$A114)*('Multi-start Raw data'!$C$6:$C$2225=R$6)*('Multi-start Raw data'!$J$6:$J$2225="Fully converged"))</f>
        <v>2.4489999999999998</v>
      </c>
      <c r="S114">
        <f t="array" ref="S114">SUM('Multi-start Raw data'!$D$6:$D$2225*('Multi-start Raw data'!$B$6:$B$2225=$A114)*('Multi-start Raw data'!$C$6:$C$2225=S$6)*('Multi-start Raw data'!$J$6:$J$2225="Fully converged"))</f>
        <v>2.4369999999999998</v>
      </c>
      <c r="T114">
        <f t="array" ref="T114">SUM('Multi-start Raw data'!$D$6:$D$2225*('Multi-start Raw data'!$B$6:$B$2225=$A114)*('Multi-start Raw data'!$C$6:$C$2225=T$6)*('Multi-start Raw data'!$J$6:$J$2225="Fully converged"))</f>
        <v>0</v>
      </c>
      <c r="U114">
        <f t="array" ref="U114">SUM('Multi-start Raw data'!$D$6:$D$2225*('Multi-start Raw data'!$B$6:$B$2225=$A114)*('Multi-start Raw data'!$C$6:$C$2225=U$6)*('Multi-start Raw data'!$J$6:$J$2225="Fully converged"))</f>
        <v>2.4489999999999998</v>
      </c>
      <c r="W114" s="6">
        <f t="shared" si="29"/>
        <v>2.4510000000000001</v>
      </c>
      <c r="X114" s="6">
        <f t="shared" si="30"/>
        <v>2.4540000000000002</v>
      </c>
      <c r="Y114" s="6">
        <f t="shared" si="31"/>
        <v>2.4540000000000002</v>
      </c>
      <c r="Z114" s="6">
        <f t="shared" si="32"/>
        <v>2.4540000000000002</v>
      </c>
      <c r="AA114" s="6">
        <f t="shared" si="33"/>
        <v>2.4540000000000002</v>
      </c>
      <c r="AB114" s="6"/>
      <c r="AC114" s="6">
        <f t="shared" si="34"/>
        <v>3.0000000000001137E-3</v>
      </c>
      <c r="AD114" s="6">
        <f t="shared" si="35"/>
        <v>0</v>
      </c>
      <c r="AE114" s="6">
        <f t="shared" si="36"/>
        <v>0</v>
      </c>
      <c r="AF114" s="6">
        <f t="shared" si="37"/>
        <v>0</v>
      </c>
      <c r="AG114" s="6">
        <f t="shared" si="39"/>
        <v>0.12224938875306085</v>
      </c>
      <c r="AH114" s="6">
        <f t="shared" si="40"/>
        <v>0</v>
      </c>
      <c r="AI114" s="6">
        <f t="shared" si="41"/>
        <v>0</v>
      </c>
      <c r="AJ114" s="6">
        <f t="shared" si="42"/>
        <v>0</v>
      </c>
      <c r="AK114" s="6">
        <f t="shared" si="43"/>
        <v>0</v>
      </c>
      <c r="AM114" s="16">
        <f t="shared" si="38"/>
        <v>0.1</v>
      </c>
    </row>
    <row r="115" spans="1:39" x14ac:dyDescent="0.3">
      <c r="A115" s="1" t="s">
        <v>2396</v>
      </c>
      <c r="B115">
        <f t="array" ref="B115">SUM('Multi-start Raw data'!$D$6:$D$2225*('Multi-start Raw data'!$B$6:$B$2225=$A115)*('Multi-start Raw data'!$C$6:$C$2225=B$6)*('Multi-start Raw data'!$J$6:$J$2225="Fully converged"))</f>
        <v>2.4929999999999999</v>
      </c>
      <c r="C115">
        <f t="array" ref="C115">SUM('Multi-start Raw data'!$D$6:$D$2225*('Multi-start Raw data'!$B$6:$B$2225=$A115)*('Multi-start Raw data'!$C$6:$C$2225=C$6)*('Multi-start Raw data'!$J$6:$J$2225="Fully converged"))</f>
        <v>0</v>
      </c>
      <c r="D115">
        <f t="array" ref="D115">SUM('Multi-start Raw data'!$D$6:$D$2225*('Multi-start Raw data'!$B$6:$B$2225=$A115)*('Multi-start Raw data'!$C$6:$C$2225=D$6)*('Multi-start Raw data'!$J$6:$J$2225="Fully converged"))</f>
        <v>2.5019999999999998</v>
      </c>
      <c r="E115">
        <f t="array" ref="E115">SUM('Multi-start Raw data'!$D$6:$D$2225*('Multi-start Raw data'!$B$6:$B$2225=$A115)*('Multi-start Raw data'!$C$6:$C$2225=E$6)*('Multi-start Raw data'!$J$6:$J$2225="Fully converged"))</f>
        <v>2.5019999999999998</v>
      </c>
      <c r="F115">
        <f t="array" ref="F115">SUM('Multi-start Raw data'!$D$6:$D$2225*('Multi-start Raw data'!$B$6:$B$2225=$A115)*('Multi-start Raw data'!$C$6:$C$2225=F$6)*('Multi-start Raw data'!$J$6:$J$2225="Fully converged"))</f>
        <v>2.4969999999999999</v>
      </c>
      <c r="G115">
        <f t="array" ref="G115">SUM('Multi-start Raw data'!$D$6:$D$2225*('Multi-start Raw data'!$B$6:$B$2225=$A115)*('Multi-start Raw data'!$C$6:$C$2225=G$6)*('Multi-start Raw data'!$J$6:$J$2225="Fully converged"))</f>
        <v>2.4980000000000002</v>
      </c>
      <c r="H115">
        <f t="array" ref="H115">SUM('Multi-start Raw data'!$D$6:$D$2225*('Multi-start Raw data'!$B$6:$B$2225=$A115)*('Multi-start Raw data'!$C$6:$C$2225=H$6)*('Multi-start Raw data'!$J$6:$J$2225="Fully converged"))</f>
        <v>2.4830000000000001</v>
      </c>
      <c r="I115">
        <f t="array" ref="I115">SUM('Multi-start Raw data'!$D$6:$D$2225*('Multi-start Raw data'!$B$6:$B$2225=$A115)*('Multi-start Raw data'!$C$6:$C$2225=I$6)*('Multi-start Raw data'!$J$6:$J$2225="Fully converged"))</f>
        <v>2.4860000000000002</v>
      </c>
      <c r="J115">
        <f t="array" ref="J115">SUM('Multi-start Raw data'!$D$6:$D$2225*('Multi-start Raw data'!$B$6:$B$2225=$A115)*('Multi-start Raw data'!$C$6:$C$2225=J$6)*('Multi-start Raw data'!$J$6:$J$2225="Fully converged"))</f>
        <v>2.4969999999999999</v>
      </c>
      <c r="K115">
        <f t="array" ref="K115">SUM('Multi-start Raw data'!$D$6:$D$2225*('Multi-start Raw data'!$B$6:$B$2225=$A115)*('Multi-start Raw data'!$C$6:$C$2225=K$6)*('Multi-start Raw data'!$J$6:$J$2225="Fully converged"))</f>
        <v>2.4780000000000002</v>
      </c>
      <c r="L115">
        <f t="array" ref="L115">SUM('Multi-start Raw data'!$D$6:$D$2225*('Multi-start Raw data'!$B$6:$B$2225=$A115)*('Multi-start Raw data'!$C$6:$C$2225=L$6)*('Multi-start Raw data'!$J$6:$J$2225="Fully converged"))</f>
        <v>2.4980000000000002</v>
      </c>
      <c r="M115">
        <f t="array" ref="M115">SUM('Multi-start Raw data'!$D$6:$D$2225*('Multi-start Raw data'!$B$6:$B$2225=$A115)*('Multi-start Raw data'!$C$6:$C$2225=M$6)*('Multi-start Raw data'!$J$6:$J$2225="Fully converged"))</f>
        <v>2.4969999999999999</v>
      </c>
      <c r="N115">
        <f t="array" ref="N115">SUM('Multi-start Raw data'!$D$6:$D$2225*('Multi-start Raw data'!$B$6:$B$2225=$A115)*('Multi-start Raw data'!$C$6:$C$2225=N$6)*('Multi-start Raw data'!$J$6:$J$2225="Fully converged"))</f>
        <v>2.5019999999999998</v>
      </c>
      <c r="O115">
        <f t="array" ref="O115">SUM('Multi-start Raw data'!$D$6:$D$2225*('Multi-start Raw data'!$B$6:$B$2225=$A115)*('Multi-start Raw data'!$C$6:$C$2225=O$6)*('Multi-start Raw data'!$J$6:$J$2225="Fully converged"))</f>
        <v>2.4969999999999999</v>
      </c>
      <c r="P115">
        <f t="array" ref="P115">SUM('Multi-start Raw data'!$D$6:$D$2225*('Multi-start Raw data'!$B$6:$B$2225=$A115)*('Multi-start Raw data'!$C$6:$C$2225=P$6)*('Multi-start Raw data'!$J$6:$J$2225="Fully converged"))</f>
        <v>2.4969999999999999</v>
      </c>
      <c r="Q115">
        <f t="array" ref="Q115">SUM('Multi-start Raw data'!$D$6:$D$2225*('Multi-start Raw data'!$B$6:$B$2225=$A115)*('Multi-start Raw data'!$C$6:$C$2225=Q$6)*('Multi-start Raw data'!$J$6:$J$2225="Fully converged"))</f>
        <v>2.5019999999999998</v>
      </c>
      <c r="R115">
        <f t="array" ref="R115">SUM('Multi-start Raw data'!$D$6:$D$2225*('Multi-start Raw data'!$B$6:$B$2225=$A115)*('Multi-start Raw data'!$C$6:$C$2225=R$6)*('Multi-start Raw data'!$J$6:$J$2225="Fully converged"))</f>
        <v>2.4969999999999999</v>
      </c>
      <c r="S115">
        <f t="array" ref="S115">SUM('Multi-start Raw data'!$D$6:$D$2225*('Multi-start Raw data'!$B$6:$B$2225=$A115)*('Multi-start Raw data'!$C$6:$C$2225=S$6)*('Multi-start Raw data'!$J$6:$J$2225="Fully converged"))</f>
        <v>2.4969999999999999</v>
      </c>
      <c r="T115">
        <f t="array" ref="T115">SUM('Multi-start Raw data'!$D$6:$D$2225*('Multi-start Raw data'!$B$6:$B$2225=$A115)*('Multi-start Raw data'!$C$6:$C$2225=T$6)*('Multi-start Raw data'!$J$6:$J$2225="Fully converged"))</f>
        <v>2.5019999999999998</v>
      </c>
      <c r="U115">
        <f t="array" ref="U115">SUM('Multi-start Raw data'!$D$6:$D$2225*('Multi-start Raw data'!$B$6:$B$2225=$A115)*('Multi-start Raw data'!$C$6:$C$2225=U$6)*('Multi-start Raw data'!$J$6:$J$2225="Fully converged"))</f>
        <v>2.4969999999999999</v>
      </c>
      <c r="W115" s="6">
        <f t="shared" si="29"/>
        <v>2.5019999999999998</v>
      </c>
      <c r="X115" s="6">
        <f t="shared" si="30"/>
        <v>2.5019999999999998</v>
      </c>
      <c r="Y115" s="6">
        <f t="shared" si="31"/>
        <v>2.5019999999999998</v>
      </c>
      <c r="Z115" s="6">
        <f t="shared" si="32"/>
        <v>2.5019999999999998</v>
      </c>
      <c r="AA115" s="6">
        <f t="shared" si="33"/>
        <v>2.5019999999999998</v>
      </c>
      <c r="AB115" s="6"/>
      <c r="AC115" s="6">
        <f t="shared" si="34"/>
        <v>0</v>
      </c>
      <c r="AD115" s="6">
        <f t="shared" si="35"/>
        <v>0</v>
      </c>
      <c r="AE115" s="6">
        <f t="shared" si="36"/>
        <v>0</v>
      </c>
      <c r="AF115" s="6">
        <f t="shared" si="37"/>
        <v>0</v>
      </c>
      <c r="AG115" s="6">
        <f t="shared" si="39"/>
        <v>0</v>
      </c>
      <c r="AH115" s="6">
        <f t="shared" si="40"/>
        <v>0</v>
      </c>
      <c r="AI115" s="6">
        <f t="shared" si="41"/>
        <v>0</v>
      </c>
      <c r="AJ115" s="6">
        <f t="shared" si="42"/>
        <v>0</v>
      </c>
      <c r="AK115" s="6">
        <f t="shared" si="43"/>
        <v>0</v>
      </c>
      <c r="AM115" s="16">
        <f t="shared" si="38"/>
        <v>0.1</v>
      </c>
    </row>
    <row r="116" spans="1:39" x14ac:dyDescent="0.3">
      <c r="A116" s="1" t="s">
        <v>2412</v>
      </c>
      <c r="B116">
        <f t="array" ref="B116">SUM('Multi-start Raw data'!$D$6:$D$2225*('Multi-start Raw data'!$B$6:$B$2225=$A116)*('Multi-start Raw data'!$C$6:$C$2225=B$6)*('Multi-start Raw data'!$J$6:$J$2225="Fully converged"))</f>
        <v>2.5059999999999998</v>
      </c>
      <c r="C116">
        <f t="array" ref="C116">SUM('Multi-start Raw data'!$D$6:$D$2225*('Multi-start Raw data'!$B$6:$B$2225=$A116)*('Multi-start Raw data'!$C$6:$C$2225=C$6)*('Multi-start Raw data'!$J$6:$J$2225="Fully converged"))</f>
        <v>2.5059999999999998</v>
      </c>
      <c r="D116">
        <f t="array" ref="D116">SUM('Multi-start Raw data'!$D$6:$D$2225*('Multi-start Raw data'!$B$6:$B$2225=$A116)*('Multi-start Raw data'!$C$6:$C$2225=D$6)*('Multi-start Raw data'!$J$6:$J$2225="Fully converged"))</f>
        <v>2.4870000000000001</v>
      </c>
      <c r="E116">
        <f t="array" ref="E116">SUM('Multi-start Raw data'!$D$6:$D$2225*('Multi-start Raw data'!$B$6:$B$2225=$A116)*('Multi-start Raw data'!$C$6:$C$2225=E$6)*('Multi-start Raw data'!$J$6:$J$2225="Fully converged"))</f>
        <v>2.5059999999999998</v>
      </c>
      <c r="F116">
        <f t="array" ref="F116">SUM('Multi-start Raw data'!$D$6:$D$2225*('Multi-start Raw data'!$B$6:$B$2225=$A116)*('Multi-start Raw data'!$C$6:$C$2225=F$6)*('Multi-start Raw data'!$J$6:$J$2225="Fully converged"))</f>
        <v>2.5059999999999998</v>
      </c>
      <c r="G116">
        <f t="array" ref="G116">SUM('Multi-start Raw data'!$D$6:$D$2225*('Multi-start Raw data'!$B$6:$B$2225=$A116)*('Multi-start Raw data'!$C$6:$C$2225=G$6)*('Multi-start Raw data'!$J$6:$J$2225="Fully converged"))</f>
        <v>2.5059999999999998</v>
      </c>
      <c r="H116">
        <f t="array" ref="H116">SUM('Multi-start Raw data'!$D$6:$D$2225*('Multi-start Raw data'!$B$6:$B$2225=$A116)*('Multi-start Raw data'!$C$6:$C$2225=H$6)*('Multi-start Raw data'!$J$6:$J$2225="Fully converged"))</f>
        <v>2.5059999999999998</v>
      </c>
      <c r="I116">
        <f t="array" ref="I116">SUM('Multi-start Raw data'!$D$6:$D$2225*('Multi-start Raw data'!$B$6:$B$2225=$A116)*('Multi-start Raw data'!$C$6:$C$2225=I$6)*('Multi-start Raw data'!$J$6:$J$2225="Fully converged"))</f>
        <v>2.5049999999999999</v>
      </c>
      <c r="J116">
        <f t="array" ref="J116">SUM('Multi-start Raw data'!$D$6:$D$2225*('Multi-start Raw data'!$B$6:$B$2225=$A116)*('Multi-start Raw data'!$C$6:$C$2225=J$6)*('Multi-start Raw data'!$J$6:$J$2225="Fully converged"))</f>
        <v>2.5059999999999998</v>
      </c>
      <c r="K116">
        <f t="array" ref="K116">SUM('Multi-start Raw data'!$D$6:$D$2225*('Multi-start Raw data'!$B$6:$B$2225=$A116)*('Multi-start Raw data'!$C$6:$C$2225=K$6)*('Multi-start Raw data'!$J$6:$J$2225="Fully converged"))</f>
        <v>0</v>
      </c>
      <c r="L116">
        <f t="array" ref="L116">SUM('Multi-start Raw data'!$D$6:$D$2225*('Multi-start Raw data'!$B$6:$B$2225=$A116)*('Multi-start Raw data'!$C$6:$C$2225=L$6)*('Multi-start Raw data'!$J$6:$J$2225="Fully converged"))</f>
        <v>2.5059999999999998</v>
      </c>
      <c r="M116">
        <f t="array" ref="M116">SUM('Multi-start Raw data'!$D$6:$D$2225*('Multi-start Raw data'!$B$6:$B$2225=$A116)*('Multi-start Raw data'!$C$6:$C$2225=M$6)*('Multi-start Raw data'!$J$6:$J$2225="Fully converged"))</f>
        <v>2.4900000000000002</v>
      </c>
      <c r="N116">
        <f t="array" ref="N116">SUM('Multi-start Raw data'!$D$6:$D$2225*('Multi-start Raw data'!$B$6:$B$2225=$A116)*('Multi-start Raw data'!$C$6:$C$2225=N$6)*('Multi-start Raw data'!$J$6:$J$2225="Fully converged"))</f>
        <v>2.492</v>
      </c>
      <c r="O116">
        <f t="array" ref="O116">SUM('Multi-start Raw data'!$D$6:$D$2225*('Multi-start Raw data'!$B$6:$B$2225=$A116)*('Multi-start Raw data'!$C$6:$C$2225=O$6)*('Multi-start Raw data'!$J$6:$J$2225="Fully converged"))</f>
        <v>2.492</v>
      </c>
      <c r="P116">
        <f t="array" ref="P116">SUM('Multi-start Raw data'!$D$6:$D$2225*('Multi-start Raw data'!$B$6:$B$2225=$A116)*('Multi-start Raw data'!$C$6:$C$2225=P$6)*('Multi-start Raw data'!$J$6:$J$2225="Fully converged"))</f>
        <v>2.5</v>
      </c>
      <c r="Q116">
        <f t="array" ref="Q116">SUM('Multi-start Raw data'!$D$6:$D$2225*('Multi-start Raw data'!$B$6:$B$2225=$A116)*('Multi-start Raw data'!$C$6:$C$2225=Q$6)*('Multi-start Raw data'!$J$6:$J$2225="Fully converged"))</f>
        <v>2.5059999999999998</v>
      </c>
      <c r="R116">
        <f t="array" ref="R116">SUM('Multi-start Raw data'!$D$6:$D$2225*('Multi-start Raw data'!$B$6:$B$2225=$A116)*('Multi-start Raw data'!$C$6:$C$2225=R$6)*('Multi-start Raw data'!$J$6:$J$2225="Fully converged"))</f>
        <v>2.508</v>
      </c>
      <c r="S116">
        <f t="array" ref="S116">SUM('Multi-start Raw data'!$D$6:$D$2225*('Multi-start Raw data'!$B$6:$B$2225=$A116)*('Multi-start Raw data'!$C$6:$C$2225=S$6)*('Multi-start Raw data'!$J$6:$J$2225="Fully converged"))</f>
        <v>2.492</v>
      </c>
      <c r="T116">
        <f t="array" ref="T116">SUM('Multi-start Raw data'!$D$6:$D$2225*('Multi-start Raw data'!$B$6:$B$2225=$A116)*('Multi-start Raw data'!$C$6:$C$2225=T$6)*('Multi-start Raw data'!$J$6:$J$2225="Fully converged"))</f>
        <v>2.5019999999999998</v>
      </c>
      <c r="U116">
        <f t="array" ref="U116">SUM('Multi-start Raw data'!$D$6:$D$2225*('Multi-start Raw data'!$B$6:$B$2225=$A116)*('Multi-start Raw data'!$C$6:$C$2225=U$6)*('Multi-start Raw data'!$J$6:$J$2225="Fully converged"))</f>
        <v>2.5070000000000001</v>
      </c>
      <c r="W116" s="6">
        <f t="shared" si="29"/>
        <v>2.5059999999999998</v>
      </c>
      <c r="X116" s="6">
        <f t="shared" si="30"/>
        <v>2.5059999999999998</v>
      </c>
      <c r="Y116" s="6">
        <f t="shared" si="31"/>
        <v>2.5059999999999998</v>
      </c>
      <c r="Z116" s="6">
        <f t="shared" si="32"/>
        <v>2.5059999999999998</v>
      </c>
      <c r="AA116" s="6">
        <f t="shared" si="33"/>
        <v>2.508</v>
      </c>
      <c r="AB116" s="6"/>
      <c r="AC116" s="6">
        <f t="shared" si="34"/>
        <v>0</v>
      </c>
      <c r="AD116" s="6">
        <f t="shared" si="35"/>
        <v>0</v>
      </c>
      <c r="AE116" s="6">
        <f t="shared" si="36"/>
        <v>0</v>
      </c>
      <c r="AF116" s="6">
        <f t="shared" si="37"/>
        <v>2.0000000000002238E-3</v>
      </c>
      <c r="AG116" s="6">
        <f t="shared" si="39"/>
        <v>7.9744816586930778E-2</v>
      </c>
      <c r="AH116" s="6">
        <f t="shared" si="40"/>
        <v>7.9744816586930778E-2</v>
      </c>
      <c r="AI116" s="6">
        <f t="shared" si="41"/>
        <v>7.9744816586930778E-2</v>
      </c>
      <c r="AJ116" s="6">
        <f t="shared" si="42"/>
        <v>7.9744816586930778E-2</v>
      </c>
      <c r="AK116" s="6">
        <f t="shared" si="43"/>
        <v>0</v>
      </c>
      <c r="AM116" s="16">
        <f t="shared" si="38"/>
        <v>0.1</v>
      </c>
    </row>
    <row r="117" spans="1:39" x14ac:dyDescent="0.3">
      <c r="A117" s="1"/>
      <c r="B117">
        <f t="array" ref="B117">SUM('Multi-start Raw data'!$D$6:$D$2225*('Multi-start Raw data'!$B$6:$B$2225=$A117)*('Multi-start Raw data'!$C$6:$C$2225=B$6)*('Multi-start Raw data'!$J$6:$J$2225="Fully converged"))</f>
        <v>0</v>
      </c>
      <c r="C117">
        <f t="array" ref="C117">SUM('Multi-start Raw data'!$D$6:$D$2225*('Multi-start Raw data'!$B$6:$B$2225=$A117)*('Multi-start Raw data'!$C$6:$C$2225=C$6)*('Multi-start Raw data'!$J$6:$J$2225="Fully converged"))</f>
        <v>0</v>
      </c>
      <c r="D117">
        <f t="array" ref="D117">SUM('Multi-start Raw data'!$D$6:$D$2225*('Multi-start Raw data'!$B$6:$B$2225=$A117)*('Multi-start Raw data'!$C$6:$C$2225=D$6)*('Multi-start Raw data'!$J$6:$J$2225="Fully converged"))</f>
        <v>0</v>
      </c>
      <c r="E117">
        <f t="array" ref="E117">SUM('Multi-start Raw data'!$D$6:$D$2225*('Multi-start Raw data'!$B$6:$B$2225=$A117)*('Multi-start Raw data'!$C$6:$C$2225=E$6)*('Multi-start Raw data'!$J$6:$J$2225="Fully converged"))</f>
        <v>0</v>
      </c>
      <c r="F117">
        <f t="array" ref="F117">SUM('Multi-start Raw data'!$D$6:$D$2225*('Multi-start Raw data'!$B$6:$B$2225=$A117)*('Multi-start Raw data'!$C$6:$C$2225=F$6)*('Multi-start Raw data'!$J$6:$J$2225="Fully converged"))</f>
        <v>0</v>
      </c>
      <c r="G117">
        <f t="array" ref="G117">SUM('Multi-start Raw data'!$D$6:$D$2225*('Multi-start Raw data'!$B$6:$B$2225=$A117)*('Multi-start Raw data'!$C$6:$C$2225=G$6)*('Multi-start Raw data'!$J$6:$J$2225="Fully converged"))</f>
        <v>0</v>
      </c>
      <c r="H117">
        <f t="array" ref="H117">SUM('Multi-start Raw data'!$D$6:$D$2225*('Multi-start Raw data'!$B$6:$B$2225=$A117)*('Multi-start Raw data'!$C$6:$C$2225=H$6)*('Multi-start Raw data'!$J$6:$J$2225="Fully converged"))</f>
        <v>0</v>
      </c>
      <c r="I117">
        <f t="array" ref="I117">SUM('Multi-start Raw data'!$D$6:$D$2225*('Multi-start Raw data'!$B$6:$B$2225=$A117)*('Multi-start Raw data'!$C$6:$C$2225=I$6)*('Multi-start Raw data'!$J$6:$J$2225="Fully converged"))</f>
        <v>0</v>
      </c>
      <c r="J117">
        <f t="array" ref="J117">SUM('Multi-start Raw data'!$D$6:$D$2225*('Multi-start Raw data'!$B$6:$B$2225=$A117)*('Multi-start Raw data'!$C$6:$C$2225=J$6)*('Multi-start Raw data'!$J$6:$J$2225="Fully converged"))</f>
        <v>0</v>
      </c>
      <c r="K117">
        <f t="array" ref="K117">SUM('Multi-start Raw data'!$D$6:$D$2225*('Multi-start Raw data'!$B$6:$B$2225=$A117)*('Multi-start Raw data'!$C$6:$C$2225=K$6)*('Multi-start Raw data'!$J$6:$J$2225="Fully converged"))</f>
        <v>0</v>
      </c>
      <c r="L117">
        <f t="array" ref="L117">SUM('Multi-start Raw data'!$D$6:$D$2225*('Multi-start Raw data'!$B$6:$B$2225=$A117)*('Multi-start Raw data'!$C$6:$C$2225=L$6)*('Multi-start Raw data'!$J$6:$J$2225="Fully converged"))</f>
        <v>0</v>
      </c>
      <c r="M117">
        <f t="array" ref="M117">SUM('Multi-start Raw data'!$D$6:$D$2225*('Multi-start Raw data'!$B$6:$B$2225=$A117)*('Multi-start Raw data'!$C$6:$C$2225=M$6)*('Multi-start Raw data'!$J$6:$J$2225="Fully converged"))</f>
        <v>0</v>
      </c>
      <c r="N117">
        <f t="array" ref="N117">SUM('Multi-start Raw data'!$D$6:$D$2225*('Multi-start Raw data'!$B$6:$B$2225=$A117)*('Multi-start Raw data'!$C$6:$C$2225=N$6)*('Multi-start Raw data'!$J$6:$J$2225="Fully converged"))</f>
        <v>0</v>
      </c>
      <c r="O117">
        <f t="array" ref="O117">SUM('Multi-start Raw data'!$D$6:$D$2225*('Multi-start Raw data'!$B$6:$B$2225=$A117)*('Multi-start Raw data'!$C$6:$C$2225=O$6)*('Multi-start Raw data'!$J$6:$J$2225="Fully converged"))</f>
        <v>0</v>
      </c>
      <c r="P117">
        <f t="array" ref="P117">SUM('Multi-start Raw data'!$D$6:$D$2225*('Multi-start Raw data'!$B$6:$B$2225=$A117)*('Multi-start Raw data'!$C$6:$C$2225=P$6)*('Multi-start Raw data'!$J$6:$J$2225="Fully converged"))</f>
        <v>0</v>
      </c>
      <c r="Q117">
        <f t="array" ref="Q117">SUM('Multi-start Raw data'!$D$6:$D$2225*('Multi-start Raw data'!$B$6:$B$2225=$A117)*('Multi-start Raw data'!$C$6:$C$2225=Q$6)*('Multi-start Raw data'!$J$6:$J$2225="Fully converged"))</f>
        <v>0</v>
      </c>
      <c r="R117">
        <f t="array" ref="R117">SUM('Multi-start Raw data'!$D$6:$D$2225*('Multi-start Raw data'!$B$6:$B$2225=$A117)*('Multi-start Raw data'!$C$6:$C$2225=R$6)*('Multi-start Raw data'!$J$6:$J$2225="Fully converged"))</f>
        <v>0</v>
      </c>
      <c r="S117">
        <f t="array" ref="S117">SUM('Multi-start Raw data'!$D$6:$D$2225*('Multi-start Raw data'!$B$6:$B$2225=$A117)*('Multi-start Raw data'!$C$6:$C$2225=S$6)*('Multi-start Raw data'!$J$6:$J$2225="Fully converged"))</f>
        <v>0</v>
      </c>
      <c r="T117">
        <f t="array" ref="T117">SUM('Multi-start Raw data'!$D$6:$D$2225*('Multi-start Raw data'!$B$6:$B$2225=$A117)*('Multi-start Raw data'!$C$6:$C$2225=T$6)*('Multi-start Raw data'!$J$6:$J$2225="Fully converged"))</f>
        <v>0</v>
      </c>
      <c r="U117">
        <f t="array" ref="U117">SUM('Multi-start Raw data'!$D$6:$D$2225*('Multi-start Raw data'!$B$6:$B$2225=$A117)*('Multi-start Raw data'!$C$6:$C$2225=U$6)*('Multi-start Raw data'!$J$6:$J$2225="Fully converged"))</f>
        <v>0</v>
      </c>
      <c r="W117" s="6">
        <f t="shared" si="29"/>
        <v>0</v>
      </c>
      <c r="X117" s="6">
        <f t="shared" si="30"/>
        <v>0</v>
      </c>
      <c r="Y117" s="6">
        <f t="shared" si="31"/>
        <v>0</v>
      </c>
      <c r="Z117" s="6">
        <f t="shared" si="32"/>
        <v>0</v>
      </c>
      <c r="AA117" s="6">
        <f t="shared" si="33"/>
        <v>0</v>
      </c>
      <c r="AB117" s="6"/>
      <c r="AC117" s="6">
        <f t="shared" si="34"/>
        <v>0</v>
      </c>
      <c r="AD117" s="6">
        <f t="shared" si="35"/>
        <v>0</v>
      </c>
      <c r="AE117" s="6">
        <f t="shared" si="36"/>
        <v>0</v>
      </c>
      <c r="AF117" s="6">
        <f t="shared" si="37"/>
        <v>0</v>
      </c>
      <c r="AG117" s="6">
        <f>IFERROR(($AA117-W117)/$AA117*100,0)</f>
        <v>0</v>
      </c>
      <c r="AH117" s="6">
        <f t="shared" ref="AH117:AK120" si="44">IFERROR(($AA117-X117)/$AA117*100,0)</f>
        <v>0</v>
      </c>
      <c r="AI117" s="6">
        <f t="shared" si="44"/>
        <v>0</v>
      </c>
      <c r="AJ117" s="6">
        <f t="shared" si="44"/>
        <v>0</v>
      </c>
      <c r="AK117" s="6">
        <f t="shared" si="44"/>
        <v>0</v>
      </c>
      <c r="AM117" s="16">
        <f t="shared" si="38"/>
        <v>0.1</v>
      </c>
    </row>
    <row r="118" spans="1:39" x14ac:dyDescent="0.3">
      <c r="B118">
        <f t="array" ref="B118">SUM('Multi-start Raw data'!$D$6:$D$2225*('Multi-start Raw data'!$B$6:$B$2225=$A118)*('Multi-start Raw data'!$C$6:$C$2225=B$6)*('Multi-start Raw data'!$J$6:$J$2225="Fully converged"))</f>
        <v>0</v>
      </c>
      <c r="C118">
        <f t="array" ref="C118">SUM('Multi-start Raw data'!$D$6:$D$2225*('Multi-start Raw data'!$B$6:$B$2225=$A118)*('Multi-start Raw data'!$C$6:$C$2225=C$6)*('Multi-start Raw data'!$J$6:$J$2225="Fully converged"))</f>
        <v>0</v>
      </c>
      <c r="D118">
        <f t="array" ref="D118">SUM('Multi-start Raw data'!$D$6:$D$2225*('Multi-start Raw data'!$B$6:$B$2225=$A118)*('Multi-start Raw data'!$C$6:$C$2225=D$6)*('Multi-start Raw data'!$J$6:$J$2225="Fully converged"))</f>
        <v>0</v>
      </c>
      <c r="E118">
        <f t="array" ref="E118">SUM('Multi-start Raw data'!$D$6:$D$2225*('Multi-start Raw data'!$B$6:$B$2225=$A118)*('Multi-start Raw data'!$C$6:$C$2225=E$6)*('Multi-start Raw data'!$J$6:$J$2225="Fully converged"))</f>
        <v>0</v>
      </c>
      <c r="F118">
        <f t="array" ref="F118">SUM('Multi-start Raw data'!$D$6:$D$2225*('Multi-start Raw data'!$B$6:$B$2225=$A118)*('Multi-start Raw data'!$C$6:$C$2225=F$6)*('Multi-start Raw data'!$J$6:$J$2225="Fully converged"))</f>
        <v>0</v>
      </c>
      <c r="G118">
        <f t="array" ref="G118">SUM('Multi-start Raw data'!$D$6:$D$2225*('Multi-start Raw data'!$B$6:$B$2225=$A118)*('Multi-start Raw data'!$C$6:$C$2225=G$6)*('Multi-start Raw data'!$J$6:$J$2225="Fully converged"))</f>
        <v>0</v>
      </c>
      <c r="H118">
        <f t="array" ref="H118">SUM('Multi-start Raw data'!$D$6:$D$2225*('Multi-start Raw data'!$B$6:$B$2225=$A118)*('Multi-start Raw data'!$C$6:$C$2225=H$6)*('Multi-start Raw data'!$J$6:$J$2225="Fully converged"))</f>
        <v>0</v>
      </c>
      <c r="I118">
        <f t="array" ref="I118">SUM('Multi-start Raw data'!$D$6:$D$2225*('Multi-start Raw data'!$B$6:$B$2225=$A118)*('Multi-start Raw data'!$C$6:$C$2225=I$6)*('Multi-start Raw data'!$J$6:$J$2225="Fully converged"))</f>
        <v>0</v>
      </c>
      <c r="J118">
        <f t="array" ref="J118">SUM('Multi-start Raw data'!$D$6:$D$2225*('Multi-start Raw data'!$B$6:$B$2225=$A118)*('Multi-start Raw data'!$C$6:$C$2225=J$6)*('Multi-start Raw data'!$J$6:$J$2225="Fully converged"))</f>
        <v>0</v>
      </c>
      <c r="K118">
        <f t="array" ref="K118">SUM('Multi-start Raw data'!$D$6:$D$2225*('Multi-start Raw data'!$B$6:$B$2225=$A118)*('Multi-start Raw data'!$C$6:$C$2225=K$6)*('Multi-start Raw data'!$J$6:$J$2225="Fully converged"))</f>
        <v>0</v>
      </c>
      <c r="L118">
        <f t="array" ref="L118">SUM('Multi-start Raw data'!$D$6:$D$2225*('Multi-start Raw data'!$B$6:$B$2225=$A118)*('Multi-start Raw data'!$C$6:$C$2225=L$6)*('Multi-start Raw data'!$J$6:$J$2225="Fully converged"))</f>
        <v>0</v>
      </c>
      <c r="M118">
        <f t="array" ref="M118">SUM('Multi-start Raw data'!$D$6:$D$2225*('Multi-start Raw data'!$B$6:$B$2225=$A118)*('Multi-start Raw data'!$C$6:$C$2225=M$6)*('Multi-start Raw data'!$J$6:$J$2225="Fully converged"))</f>
        <v>0</v>
      </c>
      <c r="N118">
        <f t="array" ref="N118">SUM('Multi-start Raw data'!$D$6:$D$2225*('Multi-start Raw data'!$B$6:$B$2225=$A118)*('Multi-start Raw data'!$C$6:$C$2225=N$6)*('Multi-start Raw data'!$J$6:$J$2225="Fully converged"))</f>
        <v>0</v>
      </c>
      <c r="O118">
        <f t="array" ref="O118">SUM('Multi-start Raw data'!$D$6:$D$2225*('Multi-start Raw data'!$B$6:$B$2225=$A118)*('Multi-start Raw data'!$C$6:$C$2225=O$6)*('Multi-start Raw data'!$J$6:$J$2225="Fully converged"))</f>
        <v>0</v>
      </c>
      <c r="P118">
        <f t="array" ref="P118">SUM('Multi-start Raw data'!$D$6:$D$2225*('Multi-start Raw data'!$B$6:$B$2225=$A118)*('Multi-start Raw data'!$C$6:$C$2225=P$6)*('Multi-start Raw data'!$J$6:$J$2225="Fully converged"))</f>
        <v>0</v>
      </c>
      <c r="Q118">
        <f t="array" ref="Q118">SUM('Multi-start Raw data'!$D$6:$D$2225*('Multi-start Raw data'!$B$6:$B$2225=$A118)*('Multi-start Raw data'!$C$6:$C$2225=Q$6)*('Multi-start Raw data'!$J$6:$J$2225="Fully converged"))</f>
        <v>0</v>
      </c>
      <c r="R118">
        <f t="array" ref="R118">SUM('Multi-start Raw data'!$D$6:$D$2225*('Multi-start Raw data'!$B$6:$B$2225=$A118)*('Multi-start Raw data'!$C$6:$C$2225=R$6)*('Multi-start Raw data'!$J$6:$J$2225="Fully converged"))</f>
        <v>0</v>
      </c>
      <c r="S118">
        <f t="array" ref="S118">SUM('Multi-start Raw data'!$D$6:$D$2225*('Multi-start Raw data'!$B$6:$B$2225=$A118)*('Multi-start Raw data'!$C$6:$C$2225=S$6)*('Multi-start Raw data'!$J$6:$J$2225="Fully converged"))</f>
        <v>0</v>
      </c>
      <c r="T118">
        <f t="array" ref="T118">SUM('Multi-start Raw data'!$D$6:$D$2225*('Multi-start Raw data'!$B$6:$B$2225=$A118)*('Multi-start Raw data'!$C$6:$C$2225=T$6)*('Multi-start Raw data'!$J$6:$J$2225="Fully converged"))</f>
        <v>0</v>
      </c>
      <c r="U118">
        <f t="array" ref="U118">SUM('Multi-start Raw data'!$D$6:$D$2225*('Multi-start Raw data'!$B$6:$B$2225=$A118)*('Multi-start Raw data'!$C$6:$C$2225=U$6)*('Multi-start Raw data'!$J$6:$J$2225="Fully converged"))</f>
        <v>0</v>
      </c>
      <c r="W118" s="6">
        <f t="shared" ref="W118:W120" si="45">MAX(B118:E118)</f>
        <v>0</v>
      </c>
      <c r="X118" s="6">
        <f t="shared" ref="X118:X120" si="46">MAX(B118:I118)</f>
        <v>0</v>
      </c>
      <c r="Y118" s="6">
        <f t="shared" ref="Y118:Y120" si="47">MAX(B118:M118)</f>
        <v>0</v>
      </c>
      <c r="Z118" s="6">
        <f t="shared" ref="Z118:Z120" si="48">MAX(B118:Q118)</f>
        <v>0</v>
      </c>
      <c r="AA118" s="6">
        <f t="shared" ref="AA118:AA120" si="49">MAX(B118:U118)</f>
        <v>0</v>
      </c>
      <c r="AB118" s="6"/>
      <c r="AC118" s="6">
        <f t="shared" ref="AC118:AC120" si="50">+X118-W118</f>
        <v>0</v>
      </c>
      <c r="AD118" s="6">
        <f t="shared" ref="AD118:AD120" si="51">+Y118-X118</f>
        <v>0</v>
      </c>
      <c r="AE118" s="6">
        <f t="shared" ref="AE118:AE120" si="52">+Z118-Y118</f>
        <v>0</v>
      </c>
      <c r="AF118" s="6">
        <f t="shared" ref="AF118:AF120" si="53">+AA118-Z118</f>
        <v>0</v>
      </c>
      <c r="AG118" s="6">
        <f t="shared" ref="AG118:AG120" si="54">IFERROR(($AA118-W118)/$AA118*100,0)</f>
        <v>0</v>
      </c>
      <c r="AH118" s="6">
        <f t="shared" si="44"/>
        <v>0</v>
      </c>
      <c r="AI118" s="6">
        <f t="shared" si="44"/>
        <v>0</v>
      </c>
      <c r="AJ118" s="6">
        <f t="shared" si="44"/>
        <v>0</v>
      </c>
      <c r="AK118" s="6">
        <f t="shared" si="44"/>
        <v>0</v>
      </c>
      <c r="AM118" s="16">
        <f t="shared" si="38"/>
        <v>0.1</v>
      </c>
    </row>
    <row r="119" spans="1:39" x14ac:dyDescent="0.3">
      <c r="B119">
        <f t="array" ref="B119">SUM('Multi-start Raw data'!$D$6:$D$2225*('Multi-start Raw data'!$B$6:$B$2225=$A119)*('Multi-start Raw data'!$C$6:$C$2225=B$6)*('Multi-start Raw data'!$J$6:$J$2225="Fully converged"))</f>
        <v>0</v>
      </c>
      <c r="C119">
        <f t="array" ref="C119">SUM('Multi-start Raw data'!$D$6:$D$2225*('Multi-start Raw data'!$B$6:$B$2225=$A119)*('Multi-start Raw data'!$C$6:$C$2225=C$6)*('Multi-start Raw data'!$J$6:$J$2225="Fully converged"))</f>
        <v>0</v>
      </c>
      <c r="D119">
        <f t="array" ref="D119">SUM('Multi-start Raw data'!$D$6:$D$2225*('Multi-start Raw data'!$B$6:$B$2225=$A119)*('Multi-start Raw data'!$C$6:$C$2225=D$6)*('Multi-start Raw data'!$J$6:$J$2225="Fully converged"))</f>
        <v>0</v>
      </c>
      <c r="E119">
        <f t="array" ref="E119">SUM('Multi-start Raw data'!$D$6:$D$2225*('Multi-start Raw data'!$B$6:$B$2225=$A119)*('Multi-start Raw data'!$C$6:$C$2225=E$6)*('Multi-start Raw data'!$J$6:$J$2225="Fully converged"))</f>
        <v>0</v>
      </c>
      <c r="F119">
        <f t="array" ref="F119">SUM('Multi-start Raw data'!$D$6:$D$2225*('Multi-start Raw data'!$B$6:$B$2225=$A119)*('Multi-start Raw data'!$C$6:$C$2225=F$6)*('Multi-start Raw data'!$J$6:$J$2225="Fully converged"))</f>
        <v>0</v>
      </c>
      <c r="G119">
        <f t="array" ref="G119">SUM('Multi-start Raw data'!$D$6:$D$2225*('Multi-start Raw data'!$B$6:$B$2225=$A119)*('Multi-start Raw data'!$C$6:$C$2225=G$6)*('Multi-start Raw data'!$J$6:$J$2225="Fully converged"))</f>
        <v>0</v>
      </c>
      <c r="H119">
        <f t="array" ref="H119">SUM('Multi-start Raw data'!$D$6:$D$2225*('Multi-start Raw data'!$B$6:$B$2225=$A119)*('Multi-start Raw data'!$C$6:$C$2225=H$6)*('Multi-start Raw data'!$J$6:$J$2225="Fully converged"))</f>
        <v>0</v>
      </c>
      <c r="I119">
        <f t="array" ref="I119">SUM('Multi-start Raw data'!$D$6:$D$2225*('Multi-start Raw data'!$B$6:$B$2225=$A119)*('Multi-start Raw data'!$C$6:$C$2225=I$6)*('Multi-start Raw data'!$J$6:$J$2225="Fully converged"))</f>
        <v>0</v>
      </c>
      <c r="J119">
        <f t="array" ref="J119">SUM('Multi-start Raw data'!$D$6:$D$2225*('Multi-start Raw data'!$B$6:$B$2225=$A119)*('Multi-start Raw data'!$C$6:$C$2225=J$6)*('Multi-start Raw data'!$J$6:$J$2225="Fully converged"))</f>
        <v>0</v>
      </c>
      <c r="K119">
        <f t="array" ref="K119">SUM('Multi-start Raw data'!$D$6:$D$2225*('Multi-start Raw data'!$B$6:$B$2225=$A119)*('Multi-start Raw data'!$C$6:$C$2225=K$6)*('Multi-start Raw data'!$J$6:$J$2225="Fully converged"))</f>
        <v>0</v>
      </c>
      <c r="L119">
        <f t="array" ref="L119">SUM('Multi-start Raw data'!$D$6:$D$2225*('Multi-start Raw data'!$B$6:$B$2225=$A119)*('Multi-start Raw data'!$C$6:$C$2225=L$6)*('Multi-start Raw data'!$J$6:$J$2225="Fully converged"))</f>
        <v>0</v>
      </c>
      <c r="M119">
        <f t="array" ref="M119">SUM('Multi-start Raw data'!$D$6:$D$2225*('Multi-start Raw data'!$B$6:$B$2225=$A119)*('Multi-start Raw data'!$C$6:$C$2225=M$6)*('Multi-start Raw data'!$J$6:$J$2225="Fully converged"))</f>
        <v>0</v>
      </c>
      <c r="N119">
        <f t="array" ref="N119">SUM('Multi-start Raw data'!$D$6:$D$2225*('Multi-start Raw data'!$B$6:$B$2225=$A119)*('Multi-start Raw data'!$C$6:$C$2225=N$6)*('Multi-start Raw data'!$J$6:$J$2225="Fully converged"))</f>
        <v>0</v>
      </c>
      <c r="O119">
        <f t="array" ref="O119">SUM('Multi-start Raw data'!$D$6:$D$2225*('Multi-start Raw data'!$B$6:$B$2225=$A119)*('Multi-start Raw data'!$C$6:$C$2225=O$6)*('Multi-start Raw data'!$J$6:$J$2225="Fully converged"))</f>
        <v>0</v>
      </c>
      <c r="P119">
        <f t="array" ref="P119">SUM('Multi-start Raw data'!$D$6:$D$2225*('Multi-start Raw data'!$B$6:$B$2225=$A119)*('Multi-start Raw data'!$C$6:$C$2225=P$6)*('Multi-start Raw data'!$J$6:$J$2225="Fully converged"))</f>
        <v>0</v>
      </c>
      <c r="Q119">
        <f t="array" ref="Q119">SUM('Multi-start Raw data'!$D$6:$D$2225*('Multi-start Raw data'!$B$6:$B$2225=$A119)*('Multi-start Raw data'!$C$6:$C$2225=Q$6)*('Multi-start Raw data'!$J$6:$J$2225="Fully converged"))</f>
        <v>0</v>
      </c>
      <c r="R119">
        <f t="array" ref="R119">SUM('Multi-start Raw data'!$D$6:$D$2225*('Multi-start Raw data'!$B$6:$B$2225=$A119)*('Multi-start Raw data'!$C$6:$C$2225=R$6)*('Multi-start Raw data'!$J$6:$J$2225="Fully converged"))</f>
        <v>0</v>
      </c>
      <c r="S119">
        <f t="array" ref="S119">SUM('Multi-start Raw data'!$D$6:$D$2225*('Multi-start Raw data'!$B$6:$B$2225=$A119)*('Multi-start Raw data'!$C$6:$C$2225=S$6)*('Multi-start Raw data'!$J$6:$J$2225="Fully converged"))</f>
        <v>0</v>
      </c>
      <c r="T119">
        <f t="array" ref="T119">SUM('Multi-start Raw data'!$D$6:$D$2225*('Multi-start Raw data'!$B$6:$B$2225=$A119)*('Multi-start Raw data'!$C$6:$C$2225=T$6)*('Multi-start Raw data'!$J$6:$J$2225="Fully converged"))</f>
        <v>0</v>
      </c>
      <c r="U119">
        <f t="array" ref="U119">SUM('Multi-start Raw data'!$D$6:$D$2225*('Multi-start Raw data'!$B$6:$B$2225=$A119)*('Multi-start Raw data'!$C$6:$C$2225=U$6)*('Multi-start Raw data'!$J$6:$J$2225="Fully converged"))</f>
        <v>0</v>
      </c>
      <c r="W119" s="6">
        <f t="shared" si="45"/>
        <v>0</v>
      </c>
      <c r="X119" s="6">
        <f t="shared" si="46"/>
        <v>0</v>
      </c>
      <c r="Y119" s="6">
        <f t="shared" si="47"/>
        <v>0</v>
      </c>
      <c r="Z119" s="6">
        <f t="shared" si="48"/>
        <v>0</v>
      </c>
      <c r="AA119" s="6">
        <f t="shared" si="49"/>
        <v>0</v>
      </c>
      <c r="AB119" s="6"/>
      <c r="AC119" s="6">
        <f t="shared" si="50"/>
        <v>0</v>
      </c>
      <c r="AD119" s="6">
        <f t="shared" si="51"/>
        <v>0</v>
      </c>
      <c r="AE119" s="6">
        <f t="shared" si="52"/>
        <v>0</v>
      </c>
      <c r="AF119" s="6">
        <f t="shared" si="53"/>
        <v>0</v>
      </c>
      <c r="AG119" s="6">
        <f t="shared" si="54"/>
        <v>0</v>
      </c>
      <c r="AH119" s="6">
        <f t="shared" si="44"/>
        <v>0</v>
      </c>
      <c r="AI119" s="6">
        <f t="shared" si="44"/>
        <v>0</v>
      </c>
      <c r="AJ119" s="6">
        <f t="shared" si="44"/>
        <v>0</v>
      </c>
      <c r="AK119" s="6">
        <f t="shared" si="44"/>
        <v>0</v>
      </c>
      <c r="AM119" s="16">
        <f t="shared" si="38"/>
        <v>0.1</v>
      </c>
    </row>
    <row r="120" spans="1:39" x14ac:dyDescent="0.3">
      <c r="B120">
        <f t="array" ref="B120">SUM('Multi-start Raw data'!$D$6:$D$2225*('Multi-start Raw data'!$B$6:$B$2225=$A120)*('Multi-start Raw data'!$C$6:$C$2225=B$6)*('Multi-start Raw data'!$J$6:$J$2225="Fully converged"))</f>
        <v>0</v>
      </c>
      <c r="C120">
        <f t="array" ref="C120">SUM('Multi-start Raw data'!$D$6:$D$2225*('Multi-start Raw data'!$B$6:$B$2225=$A120)*('Multi-start Raw data'!$C$6:$C$2225=C$6)*('Multi-start Raw data'!$J$6:$J$2225="Fully converged"))</f>
        <v>0</v>
      </c>
      <c r="D120">
        <f t="array" ref="D120">SUM('Multi-start Raw data'!$D$6:$D$2225*('Multi-start Raw data'!$B$6:$B$2225=$A120)*('Multi-start Raw data'!$C$6:$C$2225=D$6)*('Multi-start Raw data'!$J$6:$J$2225="Fully converged"))</f>
        <v>0</v>
      </c>
      <c r="E120">
        <f t="array" ref="E120">SUM('Multi-start Raw data'!$D$6:$D$2225*('Multi-start Raw data'!$B$6:$B$2225=$A120)*('Multi-start Raw data'!$C$6:$C$2225=E$6)*('Multi-start Raw data'!$J$6:$J$2225="Fully converged"))</f>
        <v>0</v>
      </c>
      <c r="F120">
        <f t="array" ref="F120">SUM('Multi-start Raw data'!$D$6:$D$2225*('Multi-start Raw data'!$B$6:$B$2225=$A120)*('Multi-start Raw data'!$C$6:$C$2225=F$6)*('Multi-start Raw data'!$J$6:$J$2225="Fully converged"))</f>
        <v>0</v>
      </c>
      <c r="G120">
        <f t="array" ref="G120">SUM('Multi-start Raw data'!$D$6:$D$2225*('Multi-start Raw data'!$B$6:$B$2225=$A120)*('Multi-start Raw data'!$C$6:$C$2225=G$6)*('Multi-start Raw data'!$J$6:$J$2225="Fully converged"))</f>
        <v>0</v>
      </c>
      <c r="H120">
        <f t="array" ref="H120">SUM('Multi-start Raw data'!$D$6:$D$2225*('Multi-start Raw data'!$B$6:$B$2225=$A120)*('Multi-start Raw data'!$C$6:$C$2225=H$6)*('Multi-start Raw data'!$J$6:$J$2225="Fully converged"))</f>
        <v>0</v>
      </c>
      <c r="I120">
        <f t="array" ref="I120">SUM('Multi-start Raw data'!$D$6:$D$2225*('Multi-start Raw data'!$B$6:$B$2225=$A120)*('Multi-start Raw data'!$C$6:$C$2225=I$6)*('Multi-start Raw data'!$J$6:$J$2225="Fully converged"))</f>
        <v>0</v>
      </c>
      <c r="J120">
        <f t="array" ref="J120">SUM('Multi-start Raw data'!$D$6:$D$2225*('Multi-start Raw data'!$B$6:$B$2225=$A120)*('Multi-start Raw data'!$C$6:$C$2225=J$6)*('Multi-start Raw data'!$J$6:$J$2225="Fully converged"))</f>
        <v>0</v>
      </c>
      <c r="K120">
        <f t="array" ref="K120">SUM('Multi-start Raw data'!$D$6:$D$2225*('Multi-start Raw data'!$B$6:$B$2225=$A120)*('Multi-start Raw data'!$C$6:$C$2225=K$6)*('Multi-start Raw data'!$J$6:$J$2225="Fully converged"))</f>
        <v>0</v>
      </c>
      <c r="L120">
        <f t="array" ref="L120">SUM('Multi-start Raw data'!$D$6:$D$2225*('Multi-start Raw data'!$B$6:$B$2225=$A120)*('Multi-start Raw data'!$C$6:$C$2225=L$6)*('Multi-start Raw data'!$J$6:$J$2225="Fully converged"))</f>
        <v>0</v>
      </c>
      <c r="M120">
        <f t="array" ref="M120">SUM('Multi-start Raw data'!$D$6:$D$2225*('Multi-start Raw data'!$B$6:$B$2225=$A120)*('Multi-start Raw data'!$C$6:$C$2225=M$6)*('Multi-start Raw data'!$J$6:$J$2225="Fully converged"))</f>
        <v>0</v>
      </c>
      <c r="N120">
        <f t="array" ref="N120">SUM('Multi-start Raw data'!$D$6:$D$2225*('Multi-start Raw data'!$B$6:$B$2225=$A120)*('Multi-start Raw data'!$C$6:$C$2225=N$6)*('Multi-start Raw data'!$J$6:$J$2225="Fully converged"))</f>
        <v>0</v>
      </c>
      <c r="O120">
        <f t="array" ref="O120">SUM('Multi-start Raw data'!$D$6:$D$2225*('Multi-start Raw data'!$B$6:$B$2225=$A120)*('Multi-start Raw data'!$C$6:$C$2225=O$6)*('Multi-start Raw data'!$J$6:$J$2225="Fully converged"))</f>
        <v>0</v>
      </c>
      <c r="P120">
        <f t="array" ref="P120">SUM('Multi-start Raw data'!$D$6:$D$2225*('Multi-start Raw data'!$B$6:$B$2225=$A120)*('Multi-start Raw data'!$C$6:$C$2225=P$6)*('Multi-start Raw data'!$J$6:$J$2225="Fully converged"))</f>
        <v>0</v>
      </c>
      <c r="Q120">
        <f t="array" ref="Q120">SUM('Multi-start Raw data'!$D$6:$D$2225*('Multi-start Raw data'!$B$6:$B$2225=$A120)*('Multi-start Raw data'!$C$6:$C$2225=Q$6)*('Multi-start Raw data'!$J$6:$J$2225="Fully converged"))</f>
        <v>0</v>
      </c>
      <c r="R120">
        <f t="array" ref="R120">SUM('Multi-start Raw data'!$D$6:$D$2225*('Multi-start Raw data'!$B$6:$B$2225=$A120)*('Multi-start Raw data'!$C$6:$C$2225=R$6)*('Multi-start Raw data'!$J$6:$J$2225="Fully converged"))</f>
        <v>0</v>
      </c>
      <c r="S120">
        <f t="array" ref="S120">SUM('Multi-start Raw data'!$D$6:$D$2225*('Multi-start Raw data'!$B$6:$B$2225=$A120)*('Multi-start Raw data'!$C$6:$C$2225=S$6)*('Multi-start Raw data'!$J$6:$J$2225="Fully converged"))</f>
        <v>0</v>
      </c>
      <c r="T120">
        <f t="array" ref="T120">SUM('Multi-start Raw data'!$D$6:$D$2225*('Multi-start Raw data'!$B$6:$B$2225=$A120)*('Multi-start Raw data'!$C$6:$C$2225=T$6)*('Multi-start Raw data'!$J$6:$J$2225="Fully converged"))</f>
        <v>0</v>
      </c>
      <c r="U120">
        <f t="array" ref="U120">SUM('Multi-start Raw data'!$D$6:$D$2225*('Multi-start Raw data'!$B$6:$B$2225=$A120)*('Multi-start Raw data'!$C$6:$C$2225=U$6)*('Multi-start Raw data'!$J$6:$J$2225="Fully converged"))</f>
        <v>0</v>
      </c>
      <c r="W120" s="6">
        <f t="shared" si="45"/>
        <v>0</v>
      </c>
      <c r="X120" s="6">
        <f t="shared" si="46"/>
        <v>0</v>
      </c>
      <c r="Y120" s="6">
        <f t="shared" si="47"/>
        <v>0</v>
      </c>
      <c r="Z120" s="6">
        <f t="shared" si="48"/>
        <v>0</v>
      </c>
      <c r="AA120" s="6">
        <f t="shared" si="49"/>
        <v>0</v>
      </c>
      <c r="AB120" s="6"/>
      <c r="AC120" s="6">
        <f t="shared" si="50"/>
        <v>0</v>
      </c>
      <c r="AD120" s="6">
        <f t="shared" si="51"/>
        <v>0</v>
      </c>
      <c r="AE120" s="6">
        <f t="shared" si="52"/>
        <v>0</v>
      </c>
      <c r="AF120" s="6">
        <f t="shared" si="53"/>
        <v>0</v>
      </c>
      <c r="AG120" s="6">
        <f t="shared" si="54"/>
        <v>0</v>
      </c>
      <c r="AH120" s="6">
        <f t="shared" si="44"/>
        <v>0</v>
      </c>
      <c r="AI120" s="6">
        <f t="shared" si="44"/>
        <v>0</v>
      </c>
      <c r="AJ120" s="6">
        <f t="shared" si="44"/>
        <v>0</v>
      </c>
      <c r="AK120" s="6">
        <f t="shared" si="44"/>
        <v>0</v>
      </c>
      <c r="AM120" s="16">
        <f t="shared" si="38"/>
        <v>0.1</v>
      </c>
    </row>
  </sheetData>
  <conditionalFormatting sqref="AC7:AF120">
    <cfRule type="cellIs" dxfId="2" priority="3" operator="greaterThan">
      <formula>0.002</formula>
    </cfRule>
  </conditionalFormatting>
  <conditionalFormatting sqref="AG7:AK120 AM7:AM120">
    <cfRule type="cellIs" dxfId="1" priority="2" operator="greaterThan">
      <formula>$AJ$2*100</formula>
    </cfRule>
  </conditionalFormatting>
  <conditionalFormatting sqref="AG5:AK5">
    <cfRule type="expression" dxfId="0" priority="1">
      <formula>AG$5&gt;0.95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Y2239"/>
  <sheetViews>
    <sheetView workbookViewId="0">
      <selection activeCell="Q6" sqref="Q6:Q150"/>
    </sheetView>
  </sheetViews>
  <sheetFormatPr defaultRowHeight="14.4" x14ac:dyDescent="0.3"/>
  <cols>
    <col min="2" max="2" width="52.88671875" style="1" bestFit="1" customWidth="1"/>
    <col min="3" max="3" width="8.6640625" style="1" customWidth="1"/>
    <col min="4" max="6" width="7.5546875" style="2" customWidth="1"/>
    <col min="7" max="7" width="7.5546875" style="3" customWidth="1"/>
    <col min="8" max="9" width="7.5546875" style="1" customWidth="1"/>
    <col min="10" max="10" width="14.88671875" style="1" customWidth="1"/>
    <col min="12" max="12" width="4.5546875" customWidth="1"/>
    <col min="13" max="13" width="4.88671875" customWidth="1"/>
    <col min="17" max="17" width="38.109375" customWidth="1"/>
  </cols>
  <sheetData>
    <row r="1" spans="2:25" x14ac:dyDescent="0.3">
      <c r="B1"/>
      <c r="C1"/>
      <c r="D1"/>
      <c r="E1"/>
      <c r="F1"/>
      <c r="G1"/>
      <c r="H1"/>
      <c r="I1"/>
      <c r="J1"/>
    </row>
    <row r="2" spans="2:25" x14ac:dyDescent="0.3">
      <c r="B2" t="s">
        <v>2479</v>
      </c>
      <c r="C2"/>
      <c r="D2"/>
      <c r="E2"/>
      <c r="F2"/>
      <c r="G2"/>
      <c r="H2"/>
      <c r="I2"/>
      <c r="J2"/>
    </row>
    <row r="3" spans="2:25" x14ac:dyDescent="0.3">
      <c r="B3"/>
      <c r="C3"/>
      <c r="D3"/>
      <c r="E3"/>
      <c r="F3"/>
      <c r="G3"/>
      <c r="H3"/>
      <c r="I3"/>
      <c r="J3"/>
      <c r="Q3" s="9" t="s">
        <v>2468</v>
      </c>
      <c r="R3" s="9"/>
      <c r="S3" s="9"/>
      <c r="T3" s="9"/>
      <c r="U3" s="9"/>
      <c r="V3" s="9"/>
    </row>
    <row r="4" spans="2:25" x14ac:dyDescent="0.3">
      <c r="B4"/>
      <c r="C4"/>
      <c r="D4"/>
      <c r="E4"/>
      <c r="F4"/>
      <c r="G4"/>
      <c r="H4"/>
      <c r="I4"/>
      <c r="J4"/>
      <c r="X4" s="9"/>
      <c r="Y4" s="9"/>
    </row>
    <row r="5" spans="2:25" ht="100.8" x14ac:dyDescent="0.3">
      <c r="B5" s="4" t="s">
        <v>0</v>
      </c>
      <c r="C5" s="4" t="s">
        <v>1</v>
      </c>
      <c r="D5" s="4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4" t="s">
        <v>7</v>
      </c>
      <c r="J5" s="4" t="s">
        <v>8</v>
      </c>
    </row>
    <row r="6" spans="2:25" x14ac:dyDescent="0.3">
      <c r="B6" s="1" t="s">
        <v>9</v>
      </c>
      <c r="C6" s="1" t="s">
        <v>10</v>
      </c>
      <c r="D6" s="2" t="s">
        <v>154</v>
      </c>
      <c r="E6" s="2" t="s">
        <v>154</v>
      </c>
      <c r="F6" s="2" t="s">
        <v>11</v>
      </c>
      <c r="G6" s="3" t="s">
        <v>155</v>
      </c>
      <c r="H6" s="1" t="s">
        <v>12</v>
      </c>
      <c r="I6" s="1" t="s">
        <v>13</v>
      </c>
      <c r="J6" s="1" t="s">
        <v>14</v>
      </c>
      <c r="Q6" s="1" t="s">
        <v>9</v>
      </c>
    </row>
    <row r="7" spans="2:25" x14ac:dyDescent="0.3">
      <c r="B7" s="1" t="s">
        <v>9</v>
      </c>
      <c r="C7" s="1" t="s">
        <v>15</v>
      </c>
      <c r="D7" s="2" t="s">
        <v>156</v>
      </c>
      <c r="E7" s="2" t="s">
        <v>156</v>
      </c>
      <c r="F7" s="2" t="s">
        <v>11</v>
      </c>
      <c r="G7" s="3" t="s">
        <v>157</v>
      </c>
      <c r="H7" s="1" t="s">
        <v>12</v>
      </c>
      <c r="I7" s="1" t="s">
        <v>16</v>
      </c>
      <c r="J7" s="1" t="s">
        <v>14</v>
      </c>
      <c r="Q7" s="1" t="s">
        <v>181</v>
      </c>
    </row>
    <row r="8" spans="2:25" x14ac:dyDescent="0.3">
      <c r="B8" s="1" t="s">
        <v>9</v>
      </c>
      <c r="C8" s="1" t="s">
        <v>17</v>
      </c>
      <c r="D8" s="2" t="s">
        <v>158</v>
      </c>
      <c r="E8" s="2" t="s">
        <v>158</v>
      </c>
      <c r="F8" s="2" t="s">
        <v>11</v>
      </c>
      <c r="G8" s="3" t="s">
        <v>159</v>
      </c>
      <c r="H8" s="1" t="s">
        <v>12</v>
      </c>
      <c r="I8" s="1" t="s">
        <v>18</v>
      </c>
      <c r="J8" s="1" t="s">
        <v>14</v>
      </c>
      <c r="Q8" s="1" t="s">
        <v>213</v>
      </c>
    </row>
    <row r="9" spans="2:25" x14ac:dyDescent="0.3">
      <c r="B9" s="1" t="s">
        <v>9</v>
      </c>
      <c r="C9" s="1" t="s">
        <v>19</v>
      </c>
      <c r="D9" s="2" t="s">
        <v>154</v>
      </c>
      <c r="E9" s="2" t="s">
        <v>154</v>
      </c>
      <c r="F9" s="2" t="s">
        <v>11</v>
      </c>
      <c r="G9" s="3" t="s">
        <v>160</v>
      </c>
      <c r="H9" s="1" t="s">
        <v>12</v>
      </c>
      <c r="I9" s="1" t="s">
        <v>20</v>
      </c>
      <c r="J9" s="1" t="s">
        <v>14</v>
      </c>
      <c r="Q9" s="1" t="s">
        <v>243</v>
      </c>
    </row>
    <row r="10" spans="2:25" x14ac:dyDescent="0.3">
      <c r="B10" s="1" t="s">
        <v>9</v>
      </c>
      <c r="C10" s="1" t="s">
        <v>21</v>
      </c>
      <c r="D10" s="2" t="s">
        <v>156</v>
      </c>
      <c r="E10" s="2" t="s">
        <v>156</v>
      </c>
      <c r="F10" s="2" t="s">
        <v>11</v>
      </c>
      <c r="G10" s="3" t="s">
        <v>161</v>
      </c>
      <c r="H10" s="1" t="s">
        <v>12</v>
      </c>
      <c r="I10" s="1" t="s">
        <v>22</v>
      </c>
      <c r="J10" s="1" t="s">
        <v>14</v>
      </c>
      <c r="Q10" s="1" t="s">
        <v>271</v>
      </c>
    </row>
    <row r="11" spans="2:25" x14ac:dyDescent="0.3">
      <c r="B11" s="1" t="s">
        <v>9</v>
      </c>
      <c r="C11" s="1" t="s">
        <v>23</v>
      </c>
      <c r="D11" s="2" t="s">
        <v>156</v>
      </c>
      <c r="E11" s="2" t="s">
        <v>156</v>
      </c>
      <c r="F11" s="2" t="s">
        <v>11</v>
      </c>
      <c r="G11" s="3" t="s">
        <v>162</v>
      </c>
      <c r="H11" s="1" t="s">
        <v>12</v>
      </c>
      <c r="I11" s="1" t="s">
        <v>22</v>
      </c>
      <c r="J11" s="1" t="s">
        <v>14</v>
      </c>
      <c r="Q11" s="1" t="s">
        <v>307</v>
      </c>
    </row>
    <row r="12" spans="2:25" x14ac:dyDescent="0.3">
      <c r="B12" s="1" t="s">
        <v>9</v>
      </c>
      <c r="C12" s="1" t="s">
        <v>24</v>
      </c>
      <c r="D12" s="2" t="s">
        <v>163</v>
      </c>
      <c r="E12" s="2" t="s">
        <v>163</v>
      </c>
      <c r="F12" s="2" t="s">
        <v>11</v>
      </c>
      <c r="G12" s="3" t="s">
        <v>164</v>
      </c>
      <c r="H12" s="1" t="s">
        <v>12</v>
      </c>
      <c r="I12" s="1" t="s">
        <v>25</v>
      </c>
      <c r="J12" s="1" t="s">
        <v>14</v>
      </c>
      <c r="Q12" s="1" t="s">
        <v>339</v>
      </c>
    </row>
    <row r="13" spans="2:25" x14ac:dyDescent="0.3">
      <c r="B13" s="1" t="s">
        <v>9</v>
      </c>
      <c r="C13" s="1" t="s">
        <v>26</v>
      </c>
      <c r="D13" s="2" t="s">
        <v>156</v>
      </c>
      <c r="E13" s="2" t="s">
        <v>156</v>
      </c>
      <c r="F13" s="2" t="s">
        <v>11</v>
      </c>
      <c r="G13" s="3" t="s">
        <v>165</v>
      </c>
      <c r="H13" s="1" t="s">
        <v>12</v>
      </c>
      <c r="I13" s="1" t="s">
        <v>27</v>
      </c>
      <c r="J13" s="1" t="s">
        <v>14</v>
      </c>
      <c r="Q13" s="1" t="s">
        <v>371</v>
      </c>
    </row>
    <row r="14" spans="2:25" x14ac:dyDescent="0.3">
      <c r="B14" s="1" t="s">
        <v>9</v>
      </c>
      <c r="C14" s="1" t="s">
        <v>28</v>
      </c>
      <c r="D14" s="2" t="s">
        <v>156</v>
      </c>
      <c r="E14" s="2" t="s">
        <v>156</v>
      </c>
      <c r="F14" s="2" t="s">
        <v>11</v>
      </c>
      <c r="G14" s="3" t="s">
        <v>166</v>
      </c>
      <c r="H14" s="1" t="s">
        <v>12</v>
      </c>
      <c r="I14" s="1" t="s">
        <v>18</v>
      </c>
      <c r="J14" s="1" t="s">
        <v>14</v>
      </c>
      <c r="Q14" s="1" t="s">
        <v>402</v>
      </c>
    </row>
    <row r="15" spans="2:25" x14ac:dyDescent="0.3">
      <c r="B15" s="1" t="s">
        <v>9</v>
      </c>
      <c r="C15" s="1" t="s">
        <v>29</v>
      </c>
      <c r="D15" s="2" t="s">
        <v>167</v>
      </c>
      <c r="E15" s="2" t="s">
        <v>167</v>
      </c>
      <c r="F15" s="2" t="s">
        <v>11</v>
      </c>
      <c r="G15" s="3" t="s">
        <v>168</v>
      </c>
      <c r="H15" s="1" t="s">
        <v>12</v>
      </c>
      <c r="I15" s="1" t="s">
        <v>30</v>
      </c>
      <c r="J15" s="1" t="s">
        <v>14</v>
      </c>
      <c r="Q15" s="1" t="s">
        <v>432</v>
      </c>
    </row>
    <row r="16" spans="2:25" x14ac:dyDescent="0.3">
      <c r="B16" s="1" t="s">
        <v>9</v>
      </c>
      <c r="C16" s="1" t="s">
        <v>31</v>
      </c>
      <c r="D16" s="2" t="s">
        <v>169</v>
      </c>
      <c r="E16" s="2" t="s">
        <v>169</v>
      </c>
      <c r="F16" s="2" t="s">
        <v>11</v>
      </c>
      <c r="G16" s="3" t="s">
        <v>170</v>
      </c>
      <c r="H16" s="1" t="s">
        <v>12</v>
      </c>
      <c r="I16" s="1" t="s">
        <v>32</v>
      </c>
      <c r="J16" s="1" t="s">
        <v>14</v>
      </c>
      <c r="Q16" s="1" t="s">
        <v>461</v>
      </c>
    </row>
    <row r="17" spans="2:17" x14ac:dyDescent="0.3">
      <c r="B17" s="1" t="s">
        <v>9</v>
      </c>
      <c r="C17" s="1" t="s">
        <v>33</v>
      </c>
      <c r="D17" s="2" t="s">
        <v>163</v>
      </c>
      <c r="E17" s="2" t="s">
        <v>163</v>
      </c>
      <c r="F17" s="2" t="s">
        <v>11</v>
      </c>
      <c r="G17" s="3" t="s">
        <v>171</v>
      </c>
      <c r="H17" s="1" t="s">
        <v>12</v>
      </c>
      <c r="I17" s="1" t="s">
        <v>34</v>
      </c>
      <c r="J17" s="1" t="s">
        <v>14</v>
      </c>
      <c r="Q17" s="1" t="s">
        <v>488</v>
      </c>
    </row>
    <row r="18" spans="2:17" x14ac:dyDescent="0.3">
      <c r="B18" s="1" t="s">
        <v>9</v>
      </c>
      <c r="C18" s="1" t="s">
        <v>35</v>
      </c>
      <c r="D18" s="2" t="s">
        <v>167</v>
      </c>
      <c r="E18" s="2" t="s">
        <v>167</v>
      </c>
      <c r="F18" s="2" t="s">
        <v>11</v>
      </c>
      <c r="G18" s="3" t="s">
        <v>172</v>
      </c>
      <c r="H18" s="1" t="s">
        <v>12</v>
      </c>
      <c r="I18" s="1" t="s">
        <v>18</v>
      </c>
      <c r="J18" s="1" t="s">
        <v>14</v>
      </c>
      <c r="Q18" s="1" t="s">
        <v>517</v>
      </c>
    </row>
    <row r="19" spans="2:17" x14ac:dyDescent="0.3">
      <c r="B19" s="1" t="s">
        <v>9</v>
      </c>
      <c r="C19" s="1" t="s">
        <v>36</v>
      </c>
      <c r="D19" s="2" t="s">
        <v>169</v>
      </c>
      <c r="E19" s="2" t="s">
        <v>169</v>
      </c>
      <c r="F19" s="2" t="s">
        <v>11</v>
      </c>
      <c r="G19" s="3" t="s">
        <v>173</v>
      </c>
      <c r="H19" s="1" t="s">
        <v>12</v>
      </c>
      <c r="I19" s="1" t="s">
        <v>37</v>
      </c>
      <c r="J19" s="1" t="s">
        <v>14</v>
      </c>
      <c r="Q19" s="1" t="s">
        <v>542</v>
      </c>
    </row>
    <row r="20" spans="2:17" x14ac:dyDescent="0.3">
      <c r="B20" s="1" t="s">
        <v>9</v>
      </c>
      <c r="C20" s="1" t="s">
        <v>38</v>
      </c>
      <c r="D20" s="2" t="s">
        <v>167</v>
      </c>
      <c r="E20" s="2" t="s">
        <v>167</v>
      </c>
      <c r="F20" s="2" t="s">
        <v>11</v>
      </c>
      <c r="G20" s="3" t="s">
        <v>174</v>
      </c>
      <c r="H20" s="1" t="s">
        <v>12</v>
      </c>
      <c r="I20" s="1" t="s">
        <v>25</v>
      </c>
      <c r="J20" s="1" t="s">
        <v>14</v>
      </c>
      <c r="Q20" s="1" t="s">
        <v>566</v>
      </c>
    </row>
    <row r="21" spans="2:17" x14ac:dyDescent="0.3">
      <c r="B21" s="1" t="s">
        <v>9</v>
      </c>
      <c r="C21" s="1" t="s">
        <v>39</v>
      </c>
      <c r="D21" s="2" t="s">
        <v>175</v>
      </c>
      <c r="E21" s="2" t="s">
        <v>175</v>
      </c>
      <c r="F21" s="2" t="s">
        <v>11</v>
      </c>
      <c r="G21" s="3" t="s">
        <v>176</v>
      </c>
      <c r="H21" s="1" t="s">
        <v>12</v>
      </c>
      <c r="I21" s="1" t="s">
        <v>40</v>
      </c>
      <c r="J21" s="1" t="s">
        <v>14</v>
      </c>
      <c r="Q21" s="1" t="s">
        <v>593</v>
      </c>
    </row>
    <row r="22" spans="2:17" x14ac:dyDescent="0.3">
      <c r="B22" s="1" t="s">
        <v>9</v>
      </c>
      <c r="C22" s="1" t="s">
        <v>41</v>
      </c>
      <c r="D22" s="2" t="s">
        <v>167</v>
      </c>
      <c r="E22" s="2" t="s">
        <v>167</v>
      </c>
      <c r="F22" s="2" t="s">
        <v>11</v>
      </c>
      <c r="G22" s="3" t="s">
        <v>177</v>
      </c>
      <c r="H22" s="1" t="s">
        <v>12</v>
      </c>
      <c r="I22" s="1" t="s">
        <v>42</v>
      </c>
      <c r="J22" s="1" t="s">
        <v>14</v>
      </c>
      <c r="Q22" s="1" t="s">
        <v>619</v>
      </c>
    </row>
    <row r="23" spans="2:17" x14ac:dyDescent="0.3">
      <c r="B23" s="1" t="s">
        <v>9</v>
      </c>
      <c r="C23" s="1" t="s">
        <v>43</v>
      </c>
      <c r="D23" s="2" t="s">
        <v>169</v>
      </c>
      <c r="E23" s="2" t="s">
        <v>169</v>
      </c>
      <c r="F23" s="2" t="s">
        <v>11</v>
      </c>
      <c r="G23" s="3" t="s">
        <v>178</v>
      </c>
      <c r="H23" s="1" t="s">
        <v>12</v>
      </c>
      <c r="I23" s="1" t="s">
        <v>44</v>
      </c>
      <c r="J23" s="1" t="s">
        <v>14</v>
      </c>
      <c r="Q23" s="1" t="s">
        <v>648</v>
      </c>
    </row>
    <row r="24" spans="2:17" x14ac:dyDescent="0.3">
      <c r="B24" s="1" t="s">
        <v>9</v>
      </c>
      <c r="C24" s="1" t="s">
        <v>45</v>
      </c>
      <c r="D24" s="2" t="s">
        <v>156</v>
      </c>
      <c r="E24" s="2" t="s">
        <v>156</v>
      </c>
      <c r="F24" s="2" t="s">
        <v>11</v>
      </c>
      <c r="G24" s="3" t="s">
        <v>179</v>
      </c>
      <c r="H24" s="1" t="s">
        <v>12</v>
      </c>
      <c r="I24" s="1" t="s">
        <v>30</v>
      </c>
      <c r="J24" s="1" t="s">
        <v>14</v>
      </c>
      <c r="Q24" s="1" t="s">
        <v>679</v>
      </c>
    </row>
    <row r="25" spans="2:17" x14ac:dyDescent="0.3">
      <c r="B25" s="1" t="s">
        <v>9</v>
      </c>
      <c r="C25" s="1" t="s">
        <v>46</v>
      </c>
      <c r="D25" s="2" t="s">
        <v>167</v>
      </c>
      <c r="E25" s="2" t="s">
        <v>167</v>
      </c>
      <c r="F25" s="2" t="s">
        <v>11</v>
      </c>
      <c r="G25" s="3" t="s">
        <v>180</v>
      </c>
      <c r="H25" s="1" t="s">
        <v>12</v>
      </c>
      <c r="I25" s="1" t="s">
        <v>16</v>
      </c>
      <c r="J25" s="1" t="s">
        <v>14</v>
      </c>
      <c r="Q25" s="1" t="s">
        <v>706</v>
      </c>
    </row>
    <row r="26" spans="2:17" x14ac:dyDescent="0.3">
      <c r="B26" s="1" t="s">
        <v>181</v>
      </c>
      <c r="C26" s="1" t="s">
        <v>38</v>
      </c>
      <c r="D26" s="2" t="s">
        <v>182</v>
      </c>
      <c r="E26" s="2" t="s">
        <v>182</v>
      </c>
      <c r="F26" s="2" t="s">
        <v>11</v>
      </c>
      <c r="G26" s="3" t="s">
        <v>183</v>
      </c>
      <c r="H26" s="1" t="s">
        <v>12</v>
      </c>
      <c r="I26" s="1" t="s">
        <v>47</v>
      </c>
      <c r="J26" s="1" t="s">
        <v>14</v>
      </c>
      <c r="Q26" s="1" t="s">
        <v>737</v>
      </c>
    </row>
    <row r="27" spans="2:17" x14ac:dyDescent="0.3">
      <c r="B27" s="1" t="s">
        <v>181</v>
      </c>
      <c r="C27" s="1" t="s">
        <v>39</v>
      </c>
      <c r="D27" s="2" t="s">
        <v>182</v>
      </c>
      <c r="E27" s="2" t="s">
        <v>182</v>
      </c>
      <c r="F27" s="2" t="s">
        <v>11</v>
      </c>
      <c r="G27" s="3" t="s">
        <v>184</v>
      </c>
      <c r="H27" s="1" t="s">
        <v>12</v>
      </c>
      <c r="I27" s="1" t="s">
        <v>48</v>
      </c>
      <c r="J27" s="1" t="s">
        <v>14</v>
      </c>
      <c r="Q27" s="1" t="s">
        <v>765</v>
      </c>
    </row>
    <row r="28" spans="2:17" x14ac:dyDescent="0.3">
      <c r="B28" s="1" t="s">
        <v>181</v>
      </c>
      <c r="C28" s="1" t="s">
        <v>46</v>
      </c>
      <c r="D28" s="2" t="s">
        <v>185</v>
      </c>
      <c r="E28" s="2" t="s">
        <v>185</v>
      </c>
      <c r="F28" s="2" t="s">
        <v>11</v>
      </c>
      <c r="G28" s="3" t="s">
        <v>186</v>
      </c>
      <c r="H28" s="1" t="s">
        <v>12</v>
      </c>
      <c r="I28" s="1" t="s">
        <v>29</v>
      </c>
      <c r="J28" s="1" t="s">
        <v>14</v>
      </c>
      <c r="Q28" s="1" t="s">
        <v>790</v>
      </c>
    </row>
    <row r="29" spans="2:17" x14ac:dyDescent="0.3">
      <c r="B29" s="1" t="s">
        <v>181</v>
      </c>
      <c r="C29" s="1" t="s">
        <v>36</v>
      </c>
      <c r="D29" s="2" t="s">
        <v>187</v>
      </c>
      <c r="E29" s="2" t="s">
        <v>187</v>
      </c>
      <c r="F29" s="2" t="s">
        <v>11</v>
      </c>
      <c r="G29" s="3" t="s">
        <v>188</v>
      </c>
      <c r="H29" s="1" t="s">
        <v>12</v>
      </c>
      <c r="I29" s="1" t="s">
        <v>13</v>
      </c>
      <c r="J29" s="1" t="s">
        <v>14</v>
      </c>
      <c r="Q29" s="1" t="s">
        <v>810</v>
      </c>
    </row>
    <row r="30" spans="2:17" x14ac:dyDescent="0.3">
      <c r="B30" s="1" t="s">
        <v>181</v>
      </c>
      <c r="C30" s="1" t="s">
        <v>21</v>
      </c>
      <c r="D30" s="2" t="s">
        <v>187</v>
      </c>
      <c r="E30" s="2" t="s">
        <v>187</v>
      </c>
      <c r="F30" s="2" t="s">
        <v>11</v>
      </c>
      <c r="G30" s="3" t="s">
        <v>189</v>
      </c>
      <c r="H30" s="1" t="s">
        <v>12</v>
      </c>
      <c r="I30" s="1" t="s">
        <v>49</v>
      </c>
      <c r="J30" s="1" t="s">
        <v>14</v>
      </c>
      <c r="Q30" s="1" t="s">
        <v>830</v>
      </c>
    </row>
    <row r="31" spans="2:17" x14ac:dyDescent="0.3">
      <c r="B31" s="1" t="s">
        <v>181</v>
      </c>
      <c r="C31" s="1" t="s">
        <v>43</v>
      </c>
      <c r="D31" s="2" t="s">
        <v>190</v>
      </c>
      <c r="E31" s="2" t="s">
        <v>190</v>
      </c>
      <c r="F31" s="2" t="s">
        <v>11</v>
      </c>
      <c r="G31" s="3" t="s">
        <v>191</v>
      </c>
      <c r="H31" s="1" t="s">
        <v>12</v>
      </c>
      <c r="I31" s="1" t="s">
        <v>40</v>
      </c>
      <c r="J31" s="1" t="s">
        <v>14</v>
      </c>
      <c r="Q31" s="1" t="s">
        <v>857</v>
      </c>
    </row>
    <row r="32" spans="2:17" x14ac:dyDescent="0.3">
      <c r="B32" s="1" t="s">
        <v>181</v>
      </c>
      <c r="C32" s="1" t="s">
        <v>17</v>
      </c>
      <c r="D32" s="2" t="s">
        <v>192</v>
      </c>
      <c r="E32" s="2" t="s">
        <v>192</v>
      </c>
      <c r="F32" s="2" t="s">
        <v>11</v>
      </c>
      <c r="G32" s="3" t="s">
        <v>193</v>
      </c>
      <c r="H32" s="1" t="s">
        <v>12</v>
      </c>
      <c r="I32" s="1" t="s">
        <v>50</v>
      </c>
      <c r="J32" s="1" t="s">
        <v>14</v>
      </c>
      <c r="Q32" s="1" t="s">
        <v>879</v>
      </c>
    </row>
    <row r="33" spans="2:17" x14ac:dyDescent="0.3">
      <c r="B33" s="1" t="s">
        <v>181</v>
      </c>
      <c r="C33" s="1" t="s">
        <v>45</v>
      </c>
      <c r="D33" s="2" t="s">
        <v>187</v>
      </c>
      <c r="E33" s="2" t="s">
        <v>187</v>
      </c>
      <c r="F33" s="2" t="s">
        <v>11</v>
      </c>
      <c r="G33" s="3" t="s">
        <v>194</v>
      </c>
      <c r="H33" s="1" t="s">
        <v>12</v>
      </c>
      <c r="I33" s="1" t="s">
        <v>47</v>
      </c>
      <c r="J33" s="1" t="s">
        <v>14</v>
      </c>
      <c r="Q33" s="1" t="s">
        <v>898</v>
      </c>
    </row>
    <row r="34" spans="2:17" x14ac:dyDescent="0.3">
      <c r="B34" s="1" t="s">
        <v>181</v>
      </c>
      <c r="C34" s="1" t="s">
        <v>33</v>
      </c>
      <c r="D34" s="2" t="s">
        <v>195</v>
      </c>
      <c r="E34" s="2" t="s">
        <v>195</v>
      </c>
      <c r="F34" s="2" t="s">
        <v>11</v>
      </c>
      <c r="G34" s="3" t="s">
        <v>196</v>
      </c>
      <c r="H34" s="1" t="s">
        <v>12</v>
      </c>
      <c r="I34" s="1" t="s">
        <v>51</v>
      </c>
      <c r="J34" s="1" t="s">
        <v>14</v>
      </c>
      <c r="Q34" s="1" t="s">
        <v>922</v>
      </c>
    </row>
    <row r="35" spans="2:17" x14ac:dyDescent="0.3">
      <c r="B35" s="1" t="s">
        <v>181</v>
      </c>
      <c r="C35" s="1" t="s">
        <v>26</v>
      </c>
      <c r="D35" s="2" t="s">
        <v>197</v>
      </c>
      <c r="E35" s="2" t="s">
        <v>195</v>
      </c>
      <c r="F35" s="2" t="s">
        <v>11</v>
      </c>
      <c r="G35" s="3" t="s">
        <v>198</v>
      </c>
      <c r="H35" s="1" t="s">
        <v>12</v>
      </c>
      <c r="I35" s="1" t="s">
        <v>46</v>
      </c>
      <c r="J35" s="1" t="s">
        <v>52</v>
      </c>
      <c r="Q35" s="1" t="s">
        <v>952</v>
      </c>
    </row>
    <row r="36" spans="2:17" x14ac:dyDescent="0.3">
      <c r="B36" s="1" t="s">
        <v>181</v>
      </c>
      <c r="C36" s="1" t="s">
        <v>29</v>
      </c>
      <c r="D36" s="2" t="s">
        <v>182</v>
      </c>
      <c r="E36" s="2" t="s">
        <v>182</v>
      </c>
      <c r="F36" s="2" t="s">
        <v>11</v>
      </c>
      <c r="G36" s="3" t="s">
        <v>199</v>
      </c>
      <c r="H36" s="1" t="s">
        <v>12</v>
      </c>
      <c r="I36" s="1" t="s">
        <v>53</v>
      </c>
      <c r="J36" s="1" t="s">
        <v>14</v>
      </c>
      <c r="Q36" s="1" t="s">
        <v>974</v>
      </c>
    </row>
    <row r="37" spans="2:17" x14ac:dyDescent="0.3">
      <c r="B37" s="1" t="s">
        <v>181</v>
      </c>
      <c r="C37" s="1" t="s">
        <v>24</v>
      </c>
      <c r="D37" s="2" t="s">
        <v>200</v>
      </c>
      <c r="E37" s="2" t="s">
        <v>200</v>
      </c>
      <c r="F37" s="2" t="s">
        <v>11</v>
      </c>
      <c r="G37" s="3" t="s">
        <v>201</v>
      </c>
      <c r="H37" s="1" t="s">
        <v>12</v>
      </c>
      <c r="I37" s="1" t="s">
        <v>30</v>
      </c>
      <c r="J37" s="1" t="s">
        <v>14</v>
      </c>
      <c r="Q37" s="1" t="s">
        <v>997</v>
      </c>
    </row>
    <row r="38" spans="2:17" x14ac:dyDescent="0.3">
      <c r="B38" s="1" t="s">
        <v>181</v>
      </c>
      <c r="C38" s="1" t="s">
        <v>28</v>
      </c>
      <c r="D38" s="2" t="s">
        <v>202</v>
      </c>
      <c r="E38" s="2" t="s">
        <v>202</v>
      </c>
      <c r="F38" s="2" t="s">
        <v>11</v>
      </c>
      <c r="G38" s="3" t="s">
        <v>203</v>
      </c>
      <c r="H38" s="1" t="s">
        <v>12</v>
      </c>
      <c r="I38" s="1" t="s">
        <v>49</v>
      </c>
      <c r="J38" s="1" t="s">
        <v>14</v>
      </c>
      <c r="Q38" s="1" t="s">
        <v>1025</v>
      </c>
    </row>
    <row r="39" spans="2:17" x14ac:dyDescent="0.3">
      <c r="B39" s="1" t="s">
        <v>181</v>
      </c>
      <c r="C39" s="1" t="s">
        <v>31</v>
      </c>
      <c r="D39" s="2" t="s">
        <v>204</v>
      </c>
      <c r="E39" s="2" t="s">
        <v>204</v>
      </c>
      <c r="F39" s="2" t="s">
        <v>11</v>
      </c>
      <c r="G39" s="3" t="s">
        <v>205</v>
      </c>
      <c r="H39" s="1" t="s">
        <v>12</v>
      </c>
      <c r="I39" s="1" t="s">
        <v>54</v>
      </c>
      <c r="J39" s="1" t="s">
        <v>14</v>
      </c>
      <c r="Q39" s="1" t="s">
        <v>1043</v>
      </c>
    </row>
    <row r="40" spans="2:17" x14ac:dyDescent="0.3">
      <c r="B40" s="1" t="s">
        <v>181</v>
      </c>
      <c r="C40" s="1" t="s">
        <v>41</v>
      </c>
      <c r="D40" s="2" t="s">
        <v>202</v>
      </c>
      <c r="E40" s="2" t="s">
        <v>202</v>
      </c>
      <c r="F40" s="2" t="s">
        <v>11</v>
      </c>
      <c r="G40" s="3" t="s">
        <v>206</v>
      </c>
      <c r="H40" s="1" t="s">
        <v>12</v>
      </c>
      <c r="I40" s="1" t="s">
        <v>34</v>
      </c>
      <c r="J40" s="1" t="s">
        <v>14</v>
      </c>
      <c r="Q40" s="1" t="s">
        <v>1061</v>
      </c>
    </row>
    <row r="41" spans="2:17" x14ac:dyDescent="0.3">
      <c r="B41" s="1" t="s">
        <v>181</v>
      </c>
      <c r="C41" s="1" t="s">
        <v>15</v>
      </c>
      <c r="D41" s="2" t="s">
        <v>207</v>
      </c>
      <c r="E41" s="2" t="s">
        <v>207</v>
      </c>
      <c r="F41" s="2" t="s">
        <v>11</v>
      </c>
      <c r="G41" s="3" t="s">
        <v>208</v>
      </c>
      <c r="H41" s="1" t="s">
        <v>12</v>
      </c>
      <c r="I41" s="1" t="s">
        <v>55</v>
      </c>
      <c r="J41" s="1" t="s">
        <v>14</v>
      </c>
      <c r="Q41" s="1" t="s">
        <v>1086</v>
      </c>
    </row>
    <row r="42" spans="2:17" x14ac:dyDescent="0.3">
      <c r="B42" s="1" t="s">
        <v>181</v>
      </c>
      <c r="C42" s="1" t="s">
        <v>23</v>
      </c>
      <c r="D42" s="2" t="s">
        <v>202</v>
      </c>
      <c r="E42" s="2" t="s">
        <v>202</v>
      </c>
      <c r="F42" s="2" t="s">
        <v>11</v>
      </c>
      <c r="G42" s="3" t="s">
        <v>209</v>
      </c>
      <c r="H42" s="1" t="s">
        <v>12</v>
      </c>
      <c r="I42" s="1" t="s">
        <v>16</v>
      </c>
      <c r="J42" s="1" t="s">
        <v>14</v>
      </c>
      <c r="Q42" s="1" t="s">
        <v>1107</v>
      </c>
    </row>
    <row r="43" spans="2:17" x14ac:dyDescent="0.3">
      <c r="B43" s="1" t="s">
        <v>181</v>
      </c>
      <c r="C43" s="1" t="s">
        <v>35</v>
      </c>
      <c r="D43" s="2" t="s">
        <v>187</v>
      </c>
      <c r="E43" s="2" t="s">
        <v>187</v>
      </c>
      <c r="F43" s="2" t="s">
        <v>11</v>
      </c>
      <c r="G43" s="3" t="s">
        <v>210</v>
      </c>
      <c r="H43" s="1" t="s">
        <v>12</v>
      </c>
      <c r="I43" s="1" t="s">
        <v>40</v>
      </c>
      <c r="J43" s="1" t="s">
        <v>14</v>
      </c>
      <c r="Q43" s="1" t="s">
        <v>1132</v>
      </c>
    </row>
    <row r="44" spans="2:17" x14ac:dyDescent="0.3">
      <c r="B44" s="1" t="s">
        <v>181</v>
      </c>
      <c r="C44" s="1" t="s">
        <v>19</v>
      </c>
      <c r="D44" s="2" t="s">
        <v>187</v>
      </c>
      <c r="E44" s="2" t="s">
        <v>187</v>
      </c>
      <c r="F44" s="2" t="s">
        <v>11</v>
      </c>
      <c r="G44" s="3" t="s">
        <v>211</v>
      </c>
      <c r="H44" s="1" t="s">
        <v>12</v>
      </c>
      <c r="I44" s="1" t="s">
        <v>49</v>
      </c>
      <c r="J44" s="1" t="s">
        <v>14</v>
      </c>
      <c r="Q44" s="1" t="s">
        <v>1151</v>
      </c>
    </row>
    <row r="45" spans="2:17" x14ac:dyDescent="0.3">
      <c r="B45" s="1" t="s">
        <v>181</v>
      </c>
      <c r="C45" s="1" t="s">
        <v>10</v>
      </c>
      <c r="D45" s="2" t="s">
        <v>207</v>
      </c>
      <c r="E45" s="2" t="s">
        <v>207</v>
      </c>
      <c r="F45" s="2" t="s">
        <v>11</v>
      </c>
      <c r="G45" s="3" t="s">
        <v>212</v>
      </c>
      <c r="H45" s="1" t="s">
        <v>12</v>
      </c>
      <c r="I45" s="1" t="s">
        <v>56</v>
      </c>
      <c r="J45" s="1" t="s">
        <v>14</v>
      </c>
      <c r="Q45" s="1" t="s">
        <v>1168</v>
      </c>
    </row>
    <row r="46" spans="2:17" x14ac:dyDescent="0.3">
      <c r="B46" s="1" t="s">
        <v>213</v>
      </c>
      <c r="C46" s="1" t="s">
        <v>36</v>
      </c>
      <c r="D46" s="2" t="s">
        <v>214</v>
      </c>
      <c r="E46" s="2" t="s">
        <v>214</v>
      </c>
      <c r="F46" s="2" t="s">
        <v>11</v>
      </c>
      <c r="G46" s="3" t="s">
        <v>215</v>
      </c>
      <c r="H46" s="1" t="s">
        <v>12</v>
      </c>
      <c r="I46" s="1" t="s">
        <v>48</v>
      </c>
      <c r="J46" s="1" t="s">
        <v>14</v>
      </c>
      <c r="Q46" s="1" t="s">
        <v>1193</v>
      </c>
    </row>
    <row r="47" spans="2:17" x14ac:dyDescent="0.3">
      <c r="B47" s="1" t="s">
        <v>213</v>
      </c>
      <c r="C47" s="1" t="s">
        <v>17</v>
      </c>
      <c r="D47" s="2" t="s">
        <v>216</v>
      </c>
      <c r="E47" s="2" t="s">
        <v>216</v>
      </c>
      <c r="F47" s="2" t="s">
        <v>11</v>
      </c>
      <c r="G47" s="3" t="s">
        <v>217</v>
      </c>
      <c r="H47" s="1" t="s">
        <v>12</v>
      </c>
      <c r="I47" s="1" t="s">
        <v>57</v>
      </c>
      <c r="J47" s="1" t="s">
        <v>14</v>
      </c>
      <c r="Q47" s="1" t="s">
        <v>1210</v>
      </c>
    </row>
    <row r="48" spans="2:17" x14ac:dyDescent="0.3">
      <c r="B48" s="1" t="s">
        <v>213</v>
      </c>
      <c r="C48" s="1" t="s">
        <v>15</v>
      </c>
      <c r="D48" s="2" t="s">
        <v>218</v>
      </c>
      <c r="E48" s="2" t="s">
        <v>218</v>
      </c>
      <c r="F48" s="2" t="s">
        <v>11</v>
      </c>
      <c r="G48" s="3" t="s">
        <v>219</v>
      </c>
      <c r="H48" s="1" t="s">
        <v>12</v>
      </c>
      <c r="I48" s="1" t="s">
        <v>37</v>
      </c>
      <c r="J48" s="1" t="s">
        <v>14</v>
      </c>
      <c r="Q48" s="1" t="s">
        <v>1227</v>
      </c>
    </row>
    <row r="49" spans="2:17" x14ac:dyDescent="0.3">
      <c r="B49" s="1" t="s">
        <v>213</v>
      </c>
      <c r="C49" s="1" t="s">
        <v>28</v>
      </c>
      <c r="D49" s="2" t="s">
        <v>220</v>
      </c>
      <c r="E49" s="2" t="s">
        <v>220</v>
      </c>
      <c r="F49" s="2" t="s">
        <v>11</v>
      </c>
      <c r="G49" s="3" t="s">
        <v>221</v>
      </c>
      <c r="H49" s="1" t="s">
        <v>12</v>
      </c>
      <c r="I49" s="1" t="s">
        <v>58</v>
      </c>
      <c r="J49" s="1" t="s">
        <v>14</v>
      </c>
      <c r="Q49" s="1" t="s">
        <v>1244</v>
      </c>
    </row>
    <row r="50" spans="2:17" x14ac:dyDescent="0.3">
      <c r="B50" s="1" t="s">
        <v>213</v>
      </c>
      <c r="C50" s="1" t="s">
        <v>21</v>
      </c>
      <c r="D50" s="2" t="s">
        <v>222</v>
      </c>
      <c r="E50" s="2" t="s">
        <v>222</v>
      </c>
      <c r="F50" s="2" t="s">
        <v>11</v>
      </c>
      <c r="G50" s="3" t="s">
        <v>223</v>
      </c>
      <c r="H50" s="1" t="s">
        <v>12</v>
      </c>
      <c r="I50" s="1" t="s">
        <v>59</v>
      </c>
      <c r="J50" s="1" t="s">
        <v>14</v>
      </c>
      <c r="Q50" s="1" t="s">
        <v>1261</v>
      </c>
    </row>
    <row r="51" spans="2:17" x14ac:dyDescent="0.3">
      <c r="B51" s="1" t="s">
        <v>213</v>
      </c>
      <c r="C51" s="1" t="s">
        <v>24</v>
      </c>
      <c r="D51" s="2" t="s">
        <v>224</v>
      </c>
      <c r="E51" s="2" t="s">
        <v>224</v>
      </c>
      <c r="F51" s="2" t="s">
        <v>11</v>
      </c>
      <c r="G51" s="3" t="s">
        <v>225</v>
      </c>
      <c r="H51" s="1" t="s">
        <v>12</v>
      </c>
      <c r="I51" s="1" t="s">
        <v>60</v>
      </c>
      <c r="J51" s="1" t="s">
        <v>14</v>
      </c>
      <c r="Q51" s="1" t="s">
        <v>1284</v>
      </c>
    </row>
    <row r="52" spans="2:17" x14ac:dyDescent="0.3">
      <c r="B52" s="1" t="s">
        <v>213</v>
      </c>
      <c r="C52" s="1" t="s">
        <v>23</v>
      </c>
      <c r="D52" s="2" t="s">
        <v>218</v>
      </c>
      <c r="E52" s="2" t="s">
        <v>218</v>
      </c>
      <c r="F52" s="2" t="s">
        <v>11</v>
      </c>
      <c r="G52" s="3" t="s">
        <v>226</v>
      </c>
      <c r="H52" s="1" t="s">
        <v>12</v>
      </c>
      <c r="I52" s="1" t="s">
        <v>40</v>
      </c>
      <c r="J52" s="1" t="s">
        <v>14</v>
      </c>
      <c r="Q52" s="1" t="s">
        <v>1305</v>
      </c>
    </row>
    <row r="53" spans="2:17" x14ac:dyDescent="0.3">
      <c r="B53" s="1" t="s">
        <v>213</v>
      </c>
      <c r="C53" s="1" t="s">
        <v>19</v>
      </c>
      <c r="D53" s="2" t="s">
        <v>227</v>
      </c>
      <c r="E53" s="2" t="s">
        <v>227</v>
      </c>
      <c r="F53" s="2" t="s">
        <v>11</v>
      </c>
      <c r="G53" s="3" t="s">
        <v>228</v>
      </c>
      <c r="H53" s="1" t="s">
        <v>12</v>
      </c>
      <c r="I53" s="1" t="s">
        <v>13</v>
      </c>
      <c r="J53" s="1" t="s">
        <v>14</v>
      </c>
      <c r="Q53" s="1" t="s">
        <v>1324</v>
      </c>
    </row>
    <row r="54" spans="2:17" x14ac:dyDescent="0.3">
      <c r="B54" s="1" t="s">
        <v>213</v>
      </c>
      <c r="C54" s="1" t="s">
        <v>41</v>
      </c>
      <c r="D54" s="2" t="s">
        <v>222</v>
      </c>
      <c r="E54" s="2" t="s">
        <v>222</v>
      </c>
      <c r="F54" s="2" t="s">
        <v>11</v>
      </c>
      <c r="G54" s="3" t="s">
        <v>229</v>
      </c>
      <c r="H54" s="1" t="s">
        <v>12</v>
      </c>
      <c r="I54" s="1" t="s">
        <v>61</v>
      </c>
      <c r="J54" s="1" t="s">
        <v>14</v>
      </c>
      <c r="Q54" s="1" t="s">
        <v>1350</v>
      </c>
    </row>
    <row r="55" spans="2:17" x14ac:dyDescent="0.3">
      <c r="B55" s="1" t="s">
        <v>213</v>
      </c>
      <c r="C55" s="1" t="s">
        <v>45</v>
      </c>
      <c r="D55" s="2" t="s">
        <v>214</v>
      </c>
      <c r="E55" s="2" t="s">
        <v>214</v>
      </c>
      <c r="F55" s="2" t="s">
        <v>11</v>
      </c>
      <c r="G55" s="3" t="s">
        <v>230</v>
      </c>
      <c r="H55" s="1" t="s">
        <v>12</v>
      </c>
      <c r="I55" s="1" t="s">
        <v>62</v>
      </c>
      <c r="J55" s="1" t="s">
        <v>14</v>
      </c>
      <c r="Q55" s="1" t="s">
        <v>1366</v>
      </c>
    </row>
    <row r="56" spans="2:17" x14ac:dyDescent="0.3">
      <c r="B56" s="1" t="s">
        <v>213</v>
      </c>
      <c r="C56" s="1" t="s">
        <v>43</v>
      </c>
      <c r="D56" s="2" t="s">
        <v>231</v>
      </c>
      <c r="E56" s="2" t="s">
        <v>231</v>
      </c>
      <c r="F56" s="2" t="s">
        <v>11</v>
      </c>
      <c r="G56" s="3" t="s">
        <v>232</v>
      </c>
      <c r="H56" s="1" t="s">
        <v>12</v>
      </c>
      <c r="I56" s="1" t="s">
        <v>47</v>
      </c>
      <c r="J56" s="1" t="s">
        <v>14</v>
      </c>
      <c r="Q56" s="1" t="s">
        <v>1386</v>
      </c>
    </row>
    <row r="57" spans="2:17" x14ac:dyDescent="0.3">
      <c r="B57" s="1" t="s">
        <v>213</v>
      </c>
      <c r="C57" s="1" t="s">
        <v>39</v>
      </c>
      <c r="D57" s="2" t="s">
        <v>227</v>
      </c>
      <c r="E57" s="2" t="s">
        <v>227</v>
      </c>
      <c r="F57" s="2" t="s">
        <v>11</v>
      </c>
      <c r="G57" s="3" t="s">
        <v>233</v>
      </c>
      <c r="H57" s="1" t="s">
        <v>12</v>
      </c>
      <c r="I57" s="1" t="s">
        <v>32</v>
      </c>
      <c r="J57" s="1" t="s">
        <v>14</v>
      </c>
      <c r="Q57" s="1" t="s">
        <v>1405</v>
      </c>
    </row>
    <row r="58" spans="2:17" x14ac:dyDescent="0.3">
      <c r="B58" s="1" t="s">
        <v>213</v>
      </c>
      <c r="C58" s="1" t="s">
        <v>38</v>
      </c>
      <c r="D58" s="2" t="s">
        <v>222</v>
      </c>
      <c r="E58" s="2" t="s">
        <v>222</v>
      </c>
      <c r="F58" s="2" t="s">
        <v>11</v>
      </c>
      <c r="G58" s="3" t="s">
        <v>234</v>
      </c>
      <c r="H58" s="1" t="s">
        <v>12</v>
      </c>
      <c r="I58" s="1" t="s">
        <v>47</v>
      </c>
      <c r="J58" s="1" t="s">
        <v>14</v>
      </c>
      <c r="Q58" s="1" t="s">
        <v>1421</v>
      </c>
    </row>
    <row r="59" spans="2:17" x14ac:dyDescent="0.3">
      <c r="B59" s="1" t="s">
        <v>213</v>
      </c>
      <c r="C59" s="1" t="s">
        <v>33</v>
      </c>
      <c r="D59" s="2" t="s">
        <v>214</v>
      </c>
      <c r="E59" s="2" t="s">
        <v>214</v>
      </c>
      <c r="F59" s="2" t="s">
        <v>11</v>
      </c>
      <c r="G59" s="3" t="s">
        <v>235</v>
      </c>
      <c r="H59" s="1" t="s">
        <v>12</v>
      </c>
      <c r="I59" s="1" t="s">
        <v>50</v>
      </c>
      <c r="J59" s="1" t="s">
        <v>14</v>
      </c>
      <c r="Q59" s="1" t="s">
        <v>1446</v>
      </c>
    </row>
    <row r="60" spans="2:17" x14ac:dyDescent="0.3">
      <c r="B60" s="1" t="s">
        <v>213</v>
      </c>
      <c r="C60" s="1" t="s">
        <v>10</v>
      </c>
      <c r="D60" s="2" t="s">
        <v>224</v>
      </c>
      <c r="E60" s="2" t="s">
        <v>224</v>
      </c>
      <c r="F60" s="2" t="s">
        <v>11</v>
      </c>
      <c r="G60" s="3" t="s">
        <v>236</v>
      </c>
      <c r="H60" s="1" t="s">
        <v>12</v>
      </c>
      <c r="I60" s="1" t="s">
        <v>38</v>
      </c>
      <c r="J60" s="1" t="s">
        <v>14</v>
      </c>
      <c r="Q60" s="1" t="s">
        <v>1465</v>
      </c>
    </row>
    <row r="61" spans="2:17" x14ac:dyDescent="0.3">
      <c r="B61" s="1" t="s">
        <v>213</v>
      </c>
      <c r="C61" s="1" t="s">
        <v>46</v>
      </c>
      <c r="D61" s="2" t="s">
        <v>231</v>
      </c>
      <c r="E61" s="2" t="s">
        <v>231</v>
      </c>
      <c r="F61" s="2" t="s">
        <v>11</v>
      </c>
      <c r="G61" s="3" t="s">
        <v>237</v>
      </c>
      <c r="H61" s="1" t="s">
        <v>12</v>
      </c>
      <c r="I61" s="1" t="s">
        <v>49</v>
      </c>
      <c r="J61" s="1" t="s">
        <v>14</v>
      </c>
      <c r="Q61" s="1" t="s">
        <v>1484</v>
      </c>
    </row>
    <row r="62" spans="2:17" x14ac:dyDescent="0.3">
      <c r="B62" s="1" t="s">
        <v>213</v>
      </c>
      <c r="C62" s="1" t="s">
        <v>26</v>
      </c>
      <c r="D62" s="2" t="s">
        <v>231</v>
      </c>
      <c r="E62" s="2" t="s">
        <v>231</v>
      </c>
      <c r="F62" s="2" t="s">
        <v>11</v>
      </c>
      <c r="G62" s="3" t="s">
        <v>238</v>
      </c>
      <c r="H62" s="1" t="s">
        <v>12</v>
      </c>
      <c r="I62" s="1" t="s">
        <v>42</v>
      </c>
      <c r="J62" s="1" t="s">
        <v>14</v>
      </c>
      <c r="Q62" s="1" t="s">
        <v>1501</v>
      </c>
    </row>
    <row r="63" spans="2:17" x14ac:dyDescent="0.3">
      <c r="B63" s="1" t="s">
        <v>213</v>
      </c>
      <c r="C63" s="1" t="s">
        <v>35</v>
      </c>
      <c r="D63" s="2" t="s">
        <v>222</v>
      </c>
      <c r="E63" s="2" t="s">
        <v>222</v>
      </c>
      <c r="F63" s="2" t="s">
        <v>11</v>
      </c>
      <c r="G63" s="3" t="s">
        <v>239</v>
      </c>
      <c r="H63" s="1" t="s">
        <v>12</v>
      </c>
      <c r="I63" s="1" t="s">
        <v>63</v>
      </c>
      <c r="J63" s="1" t="s">
        <v>14</v>
      </c>
      <c r="Q63" s="1" t="s">
        <v>1518</v>
      </c>
    </row>
    <row r="64" spans="2:17" x14ac:dyDescent="0.3">
      <c r="B64" s="1" t="s">
        <v>213</v>
      </c>
      <c r="C64" s="1" t="s">
        <v>31</v>
      </c>
      <c r="D64" s="2" t="s">
        <v>240</v>
      </c>
      <c r="E64" s="2" t="s">
        <v>240</v>
      </c>
      <c r="F64" s="2" t="s">
        <v>11</v>
      </c>
      <c r="G64" s="3" t="s">
        <v>241</v>
      </c>
      <c r="H64" s="1" t="s">
        <v>12</v>
      </c>
      <c r="I64" s="1" t="s">
        <v>53</v>
      </c>
      <c r="J64" s="1" t="s">
        <v>14</v>
      </c>
      <c r="Q64" s="1" t="s">
        <v>1538</v>
      </c>
    </row>
    <row r="65" spans="2:17" x14ac:dyDescent="0.3">
      <c r="B65" s="1" t="s">
        <v>213</v>
      </c>
      <c r="C65" s="1" t="s">
        <v>29</v>
      </c>
      <c r="D65" s="2" t="s">
        <v>242</v>
      </c>
      <c r="E65" s="2" t="s">
        <v>242</v>
      </c>
      <c r="F65" s="2" t="s">
        <v>11</v>
      </c>
      <c r="G65" s="3" t="s">
        <v>208</v>
      </c>
      <c r="H65" s="1" t="s">
        <v>12</v>
      </c>
      <c r="I65" s="1" t="s">
        <v>13</v>
      </c>
      <c r="J65" s="1" t="s">
        <v>14</v>
      </c>
      <c r="Q65" s="1" t="s">
        <v>1555</v>
      </c>
    </row>
    <row r="66" spans="2:17" x14ac:dyDescent="0.3">
      <c r="B66" s="1" t="s">
        <v>243</v>
      </c>
      <c r="C66" s="1" t="s">
        <v>10</v>
      </c>
      <c r="D66" s="2" t="s">
        <v>244</v>
      </c>
      <c r="E66" s="2" t="s">
        <v>244</v>
      </c>
      <c r="F66" s="2" t="s">
        <v>11</v>
      </c>
      <c r="G66" s="3" t="s">
        <v>245</v>
      </c>
      <c r="H66" s="1" t="s">
        <v>12</v>
      </c>
      <c r="I66" s="1" t="s">
        <v>64</v>
      </c>
      <c r="J66" s="1" t="s">
        <v>14</v>
      </c>
      <c r="Q66" s="1" t="s">
        <v>1570</v>
      </c>
    </row>
    <row r="67" spans="2:17" x14ac:dyDescent="0.3">
      <c r="B67" s="1" t="s">
        <v>243</v>
      </c>
      <c r="C67" s="1" t="s">
        <v>23</v>
      </c>
      <c r="D67" s="2" t="s">
        <v>244</v>
      </c>
      <c r="E67" s="2" t="s">
        <v>244</v>
      </c>
      <c r="F67" s="2" t="s">
        <v>11</v>
      </c>
      <c r="G67" s="3" t="s">
        <v>246</v>
      </c>
      <c r="H67" s="1" t="s">
        <v>12</v>
      </c>
      <c r="I67" s="1" t="s">
        <v>47</v>
      </c>
      <c r="J67" s="1" t="s">
        <v>14</v>
      </c>
      <c r="Q67" s="1" t="s">
        <v>1590</v>
      </c>
    </row>
    <row r="68" spans="2:17" x14ac:dyDescent="0.3">
      <c r="B68" s="1" t="s">
        <v>243</v>
      </c>
      <c r="C68" s="1" t="s">
        <v>19</v>
      </c>
      <c r="D68" s="2" t="s">
        <v>244</v>
      </c>
      <c r="E68" s="2" t="s">
        <v>244</v>
      </c>
      <c r="F68" s="2" t="s">
        <v>11</v>
      </c>
      <c r="G68" s="3" t="s">
        <v>247</v>
      </c>
      <c r="H68" s="1" t="s">
        <v>12</v>
      </c>
      <c r="I68" s="1" t="s">
        <v>65</v>
      </c>
      <c r="J68" s="1" t="s">
        <v>14</v>
      </c>
      <c r="Q68" s="1" t="s">
        <v>1614</v>
      </c>
    </row>
    <row r="69" spans="2:17" x14ac:dyDescent="0.3">
      <c r="B69" s="1" t="s">
        <v>243</v>
      </c>
      <c r="C69" s="1" t="s">
        <v>41</v>
      </c>
      <c r="D69" s="2" t="s">
        <v>248</v>
      </c>
      <c r="E69" s="2" t="s">
        <v>248</v>
      </c>
      <c r="F69" s="2" t="s">
        <v>11</v>
      </c>
      <c r="G69" s="3" t="s">
        <v>249</v>
      </c>
      <c r="H69" s="1" t="s">
        <v>12</v>
      </c>
      <c r="I69" s="1" t="s">
        <v>49</v>
      </c>
      <c r="J69" s="1" t="s">
        <v>14</v>
      </c>
      <c r="Q69" s="1" t="s">
        <v>1630</v>
      </c>
    </row>
    <row r="70" spans="2:17" x14ac:dyDescent="0.3">
      <c r="B70" s="1" t="s">
        <v>243</v>
      </c>
      <c r="C70" s="1" t="s">
        <v>21</v>
      </c>
      <c r="D70" s="2" t="s">
        <v>244</v>
      </c>
      <c r="E70" s="2" t="s">
        <v>244</v>
      </c>
      <c r="F70" s="2" t="s">
        <v>11</v>
      </c>
      <c r="G70" s="3" t="s">
        <v>250</v>
      </c>
      <c r="H70" s="1" t="s">
        <v>12</v>
      </c>
      <c r="I70" s="1" t="s">
        <v>49</v>
      </c>
      <c r="J70" s="1" t="s">
        <v>14</v>
      </c>
      <c r="Q70" s="1" t="s">
        <v>1647</v>
      </c>
    </row>
    <row r="71" spans="2:17" x14ac:dyDescent="0.3">
      <c r="B71" s="1" t="s">
        <v>243</v>
      </c>
      <c r="C71" s="1" t="s">
        <v>28</v>
      </c>
      <c r="D71" s="2" t="s">
        <v>251</v>
      </c>
      <c r="E71" s="2" t="s">
        <v>251</v>
      </c>
      <c r="F71" s="2" t="s">
        <v>11</v>
      </c>
      <c r="G71" s="3" t="s">
        <v>252</v>
      </c>
      <c r="H71" s="1" t="s">
        <v>12</v>
      </c>
      <c r="I71" s="1" t="s">
        <v>27</v>
      </c>
      <c r="J71" s="1" t="s">
        <v>14</v>
      </c>
      <c r="Q71" s="1" t="s">
        <v>1665</v>
      </c>
    </row>
    <row r="72" spans="2:17" x14ac:dyDescent="0.3">
      <c r="B72" s="1" t="s">
        <v>243</v>
      </c>
      <c r="C72" s="1" t="s">
        <v>39</v>
      </c>
      <c r="D72" s="2" t="s">
        <v>244</v>
      </c>
      <c r="E72" s="2" t="s">
        <v>244</v>
      </c>
      <c r="F72" s="2" t="s">
        <v>11</v>
      </c>
      <c r="G72" s="3" t="s">
        <v>253</v>
      </c>
      <c r="H72" s="1" t="s">
        <v>12</v>
      </c>
      <c r="I72" s="1" t="s">
        <v>44</v>
      </c>
      <c r="J72" s="1" t="s">
        <v>14</v>
      </c>
      <c r="Q72" s="1" t="s">
        <v>1684</v>
      </c>
    </row>
    <row r="73" spans="2:17" x14ac:dyDescent="0.3">
      <c r="B73" s="1" t="s">
        <v>243</v>
      </c>
      <c r="C73" s="1" t="s">
        <v>46</v>
      </c>
      <c r="D73" s="2" t="s">
        <v>254</v>
      </c>
      <c r="E73" s="2" t="s">
        <v>254</v>
      </c>
      <c r="F73" s="2" t="s">
        <v>11</v>
      </c>
      <c r="G73" s="3" t="s">
        <v>255</v>
      </c>
      <c r="H73" s="1" t="s">
        <v>12</v>
      </c>
      <c r="I73" s="1" t="s">
        <v>66</v>
      </c>
      <c r="J73" s="1" t="s">
        <v>14</v>
      </c>
      <c r="Q73" s="1" t="s">
        <v>1705</v>
      </c>
    </row>
    <row r="74" spans="2:17" x14ac:dyDescent="0.3">
      <c r="B74" s="1" t="s">
        <v>243</v>
      </c>
      <c r="C74" s="1" t="s">
        <v>17</v>
      </c>
      <c r="D74" s="2" t="s">
        <v>256</v>
      </c>
      <c r="E74" s="2" t="s">
        <v>256</v>
      </c>
      <c r="F74" s="2" t="s">
        <v>11</v>
      </c>
      <c r="G74" s="3" t="s">
        <v>257</v>
      </c>
      <c r="H74" s="1" t="s">
        <v>12</v>
      </c>
      <c r="I74" s="1" t="s">
        <v>67</v>
      </c>
      <c r="J74" s="1" t="s">
        <v>14</v>
      </c>
      <c r="Q74" s="1" t="s">
        <v>1723</v>
      </c>
    </row>
    <row r="75" spans="2:17" x14ac:dyDescent="0.3">
      <c r="B75" s="1" t="s">
        <v>243</v>
      </c>
      <c r="C75" s="1" t="s">
        <v>43</v>
      </c>
      <c r="D75" s="2" t="s">
        <v>207</v>
      </c>
      <c r="E75" s="2" t="s">
        <v>258</v>
      </c>
      <c r="F75" s="2" t="s">
        <v>11</v>
      </c>
      <c r="G75" s="3" t="s">
        <v>259</v>
      </c>
      <c r="H75" s="1" t="s">
        <v>12</v>
      </c>
      <c r="I75" s="1" t="s">
        <v>15</v>
      </c>
      <c r="J75" s="1" t="s">
        <v>52</v>
      </c>
      <c r="Q75" s="1" t="s">
        <v>1743</v>
      </c>
    </row>
    <row r="76" spans="2:17" x14ac:dyDescent="0.3">
      <c r="B76" s="1" t="s">
        <v>243</v>
      </c>
      <c r="C76" s="1" t="s">
        <v>31</v>
      </c>
      <c r="D76" s="2" t="s">
        <v>251</v>
      </c>
      <c r="E76" s="2" t="s">
        <v>251</v>
      </c>
      <c r="F76" s="2" t="s">
        <v>11</v>
      </c>
      <c r="G76" s="3" t="s">
        <v>260</v>
      </c>
      <c r="H76" s="1" t="s">
        <v>12</v>
      </c>
      <c r="I76" s="1" t="s">
        <v>49</v>
      </c>
      <c r="J76" s="1" t="s">
        <v>14</v>
      </c>
      <c r="Q76" s="1" t="s">
        <v>1761</v>
      </c>
    </row>
    <row r="77" spans="2:17" x14ac:dyDescent="0.3">
      <c r="B77" s="1" t="s">
        <v>243</v>
      </c>
      <c r="C77" s="1" t="s">
        <v>45</v>
      </c>
      <c r="D77" s="2" t="s">
        <v>167</v>
      </c>
      <c r="E77" s="2" t="s">
        <v>200</v>
      </c>
      <c r="F77" s="2" t="s">
        <v>11</v>
      </c>
      <c r="G77" s="3" t="s">
        <v>261</v>
      </c>
      <c r="H77" s="1" t="s">
        <v>12</v>
      </c>
      <c r="I77" s="1" t="s">
        <v>46</v>
      </c>
      <c r="J77" s="1" t="s">
        <v>52</v>
      </c>
      <c r="Q77" s="1" t="s">
        <v>1774</v>
      </c>
    </row>
    <row r="78" spans="2:17" x14ac:dyDescent="0.3">
      <c r="B78" s="1" t="s">
        <v>243</v>
      </c>
      <c r="C78" s="1" t="s">
        <v>29</v>
      </c>
      <c r="D78" s="2" t="s">
        <v>244</v>
      </c>
      <c r="E78" s="2" t="s">
        <v>244</v>
      </c>
      <c r="F78" s="2" t="s">
        <v>11</v>
      </c>
      <c r="G78" s="3" t="s">
        <v>262</v>
      </c>
      <c r="H78" s="1" t="s">
        <v>12</v>
      </c>
      <c r="I78" s="1" t="s">
        <v>63</v>
      </c>
      <c r="J78" s="1" t="s">
        <v>14</v>
      </c>
      <c r="Q78" s="1" t="s">
        <v>1792</v>
      </c>
    </row>
    <row r="79" spans="2:17" x14ac:dyDescent="0.3">
      <c r="B79" s="1" t="s">
        <v>243</v>
      </c>
      <c r="C79" s="1" t="s">
        <v>15</v>
      </c>
      <c r="D79" s="2" t="s">
        <v>244</v>
      </c>
      <c r="E79" s="2" t="s">
        <v>244</v>
      </c>
      <c r="F79" s="2" t="s">
        <v>11</v>
      </c>
      <c r="G79" s="3" t="s">
        <v>263</v>
      </c>
      <c r="H79" s="1" t="s">
        <v>12</v>
      </c>
      <c r="I79" s="1" t="s">
        <v>30</v>
      </c>
      <c r="J79" s="1" t="s">
        <v>14</v>
      </c>
      <c r="Q79" s="1" t="s">
        <v>1811</v>
      </c>
    </row>
    <row r="80" spans="2:17" x14ac:dyDescent="0.3">
      <c r="B80" s="1" t="s">
        <v>243</v>
      </c>
      <c r="C80" s="1" t="s">
        <v>33</v>
      </c>
      <c r="D80" s="2" t="s">
        <v>254</v>
      </c>
      <c r="E80" s="2" t="s">
        <v>254</v>
      </c>
      <c r="F80" s="2" t="s">
        <v>11</v>
      </c>
      <c r="G80" s="3" t="s">
        <v>264</v>
      </c>
      <c r="H80" s="1" t="s">
        <v>12</v>
      </c>
      <c r="I80" s="1" t="s">
        <v>32</v>
      </c>
      <c r="J80" s="1" t="s">
        <v>14</v>
      </c>
      <c r="Q80" s="1" t="s">
        <v>1833</v>
      </c>
    </row>
    <row r="81" spans="2:17" x14ac:dyDescent="0.3">
      <c r="B81" s="1" t="s">
        <v>243</v>
      </c>
      <c r="C81" s="1" t="s">
        <v>26</v>
      </c>
      <c r="D81" s="2" t="s">
        <v>256</v>
      </c>
      <c r="E81" s="2" t="s">
        <v>256</v>
      </c>
      <c r="F81" s="2" t="s">
        <v>11</v>
      </c>
      <c r="G81" s="3" t="s">
        <v>265</v>
      </c>
      <c r="H81" s="1" t="s">
        <v>12</v>
      </c>
      <c r="I81" s="1" t="s">
        <v>68</v>
      </c>
      <c r="J81" s="1" t="s">
        <v>14</v>
      </c>
      <c r="Q81" s="1" t="s">
        <v>1850</v>
      </c>
    </row>
    <row r="82" spans="2:17" x14ac:dyDescent="0.3">
      <c r="B82" s="1" t="s">
        <v>243</v>
      </c>
      <c r="C82" s="1" t="s">
        <v>35</v>
      </c>
      <c r="D82" s="2" t="s">
        <v>244</v>
      </c>
      <c r="E82" s="2" t="s">
        <v>244</v>
      </c>
      <c r="F82" s="2" t="s">
        <v>11</v>
      </c>
      <c r="G82" s="3" t="s">
        <v>266</v>
      </c>
      <c r="H82" s="1" t="s">
        <v>12</v>
      </c>
      <c r="I82" s="1" t="s">
        <v>25</v>
      </c>
      <c r="J82" s="1" t="s">
        <v>14</v>
      </c>
      <c r="Q82" s="1" t="s">
        <v>1870</v>
      </c>
    </row>
    <row r="83" spans="2:17" x14ac:dyDescent="0.3">
      <c r="B83" s="1" t="s">
        <v>243</v>
      </c>
      <c r="C83" s="1" t="s">
        <v>36</v>
      </c>
      <c r="D83" s="2" t="s">
        <v>244</v>
      </c>
      <c r="E83" s="2" t="s">
        <v>244</v>
      </c>
      <c r="F83" s="2" t="s">
        <v>11</v>
      </c>
      <c r="G83" s="3" t="s">
        <v>267</v>
      </c>
      <c r="H83" s="1" t="s">
        <v>12</v>
      </c>
      <c r="I83" s="1" t="s">
        <v>47</v>
      </c>
      <c r="J83" s="1" t="s">
        <v>14</v>
      </c>
      <c r="Q83" s="1" t="s">
        <v>1885</v>
      </c>
    </row>
    <row r="84" spans="2:17" x14ac:dyDescent="0.3">
      <c r="B84" s="1" t="s">
        <v>243</v>
      </c>
      <c r="C84" s="1" t="s">
        <v>24</v>
      </c>
      <c r="D84" s="2" t="s">
        <v>268</v>
      </c>
      <c r="E84" s="2" t="s">
        <v>268</v>
      </c>
      <c r="F84" s="2" t="s">
        <v>11</v>
      </c>
      <c r="G84" s="3" t="s">
        <v>269</v>
      </c>
      <c r="H84" s="1" t="s">
        <v>12</v>
      </c>
      <c r="I84" s="1" t="s">
        <v>69</v>
      </c>
      <c r="J84" s="1" t="s">
        <v>14</v>
      </c>
      <c r="Q84" s="1" t="s">
        <v>1904</v>
      </c>
    </row>
    <row r="85" spans="2:17" x14ac:dyDescent="0.3">
      <c r="B85" s="1" t="s">
        <v>243</v>
      </c>
      <c r="C85" s="1" t="s">
        <v>38</v>
      </c>
      <c r="D85" s="2" t="s">
        <v>254</v>
      </c>
      <c r="E85" s="2" t="s">
        <v>254</v>
      </c>
      <c r="F85" s="2" t="s">
        <v>11</v>
      </c>
      <c r="G85" s="3" t="s">
        <v>270</v>
      </c>
      <c r="H85" s="1" t="s">
        <v>12</v>
      </c>
      <c r="I85" s="1" t="s">
        <v>70</v>
      </c>
      <c r="J85" s="1" t="s">
        <v>14</v>
      </c>
      <c r="Q85" s="1" t="s">
        <v>1922</v>
      </c>
    </row>
    <row r="86" spans="2:17" x14ac:dyDescent="0.3">
      <c r="B86" s="1" t="s">
        <v>271</v>
      </c>
      <c r="C86" s="1" t="s">
        <v>10</v>
      </c>
      <c r="D86" s="2" t="s">
        <v>272</v>
      </c>
      <c r="E86" s="2" t="s">
        <v>272</v>
      </c>
      <c r="F86" s="2" t="s">
        <v>11</v>
      </c>
      <c r="G86" s="3" t="s">
        <v>273</v>
      </c>
      <c r="H86" s="1" t="s">
        <v>12</v>
      </c>
      <c r="I86" s="1" t="s">
        <v>58</v>
      </c>
      <c r="J86" s="1" t="s">
        <v>14</v>
      </c>
      <c r="Q86" s="1" t="s">
        <v>1938</v>
      </c>
    </row>
    <row r="87" spans="2:17" x14ac:dyDescent="0.3">
      <c r="B87" s="1" t="s">
        <v>271</v>
      </c>
      <c r="C87" s="1" t="s">
        <v>41</v>
      </c>
      <c r="D87" s="2" t="s">
        <v>274</v>
      </c>
      <c r="E87" s="2" t="s">
        <v>274</v>
      </c>
      <c r="F87" s="2" t="s">
        <v>11</v>
      </c>
      <c r="G87" s="3" t="s">
        <v>275</v>
      </c>
      <c r="H87" s="1" t="s">
        <v>12</v>
      </c>
      <c r="I87" s="1" t="s">
        <v>62</v>
      </c>
      <c r="J87" s="1" t="s">
        <v>14</v>
      </c>
      <c r="Q87" s="1" t="s">
        <v>1953</v>
      </c>
    </row>
    <row r="88" spans="2:17" x14ac:dyDescent="0.3">
      <c r="B88" s="1" t="s">
        <v>271</v>
      </c>
      <c r="C88" s="1" t="s">
        <v>31</v>
      </c>
      <c r="D88" s="2" t="s">
        <v>274</v>
      </c>
      <c r="E88" s="2" t="s">
        <v>274</v>
      </c>
      <c r="F88" s="2" t="s">
        <v>11</v>
      </c>
      <c r="G88" s="3" t="s">
        <v>276</v>
      </c>
      <c r="H88" s="1" t="s">
        <v>12</v>
      </c>
      <c r="I88" s="1" t="s">
        <v>71</v>
      </c>
      <c r="J88" s="1" t="s">
        <v>14</v>
      </c>
      <c r="Q88" s="1" t="s">
        <v>1971</v>
      </c>
    </row>
    <row r="89" spans="2:17" x14ac:dyDescent="0.3">
      <c r="B89" s="1" t="s">
        <v>271</v>
      </c>
      <c r="C89" s="1" t="s">
        <v>24</v>
      </c>
      <c r="D89" s="2" t="s">
        <v>274</v>
      </c>
      <c r="E89" s="2" t="s">
        <v>274</v>
      </c>
      <c r="F89" s="2" t="s">
        <v>11</v>
      </c>
      <c r="G89" s="3" t="s">
        <v>277</v>
      </c>
      <c r="H89" s="1" t="s">
        <v>12</v>
      </c>
      <c r="I89" s="1" t="s">
        <v>72</v>
      </c>
      <c r="J89" s="1" t="s">
        <v>14</v>
      </c>
      <c r="Q89" s="1" t="s">
        <v>1985</v>
      </c>
    </row>
    <row r="90" spans="2:17" x14ac:dyDescent="0.3">
      <c r="B90" s="1" t="s">
        <v>271</v>
      </c>
      <c r="C90" s="1" t="s">
        <v>21</v>
      </c>
      <c r="D90" s="2" t="s">
        <v>278</v>
      </c>
      <c r="E90" s="2" t="s">
        <v>278</v>
      </c>
      <c r="F90" s="2" t="s">
        <v>11</v>
      </c>
      <c r="G90" s="3" t="s">
        <v>279</v>
      </c>
      <c r="H90" s="1" t="s">
        <v>12</v>
      </c>
      <c r="I90" s="1" t="s">
        <v>49</v>
      </c>
      <c r="J90" s="1" t="s">
        <v>14</v>
      </c>
      <c r="Q90" s="1" t="s">
        <v>1996</v>
      </c>
    </row>
    <row r="91" spans="2:17" x14ac:dyDescent="0.3">
      <c r="B91" s="1" t="s">
        <v>271</v>
      </c>
      <c r="C91" s="1" t="s">
        <v>43</v>
      </c>
      <c r="D91" s="2" t="s">
        <v>280</v>
      </c>
      <c r="E91" s="2" t="s">
        <v>280</v>
      </c>
      <c r="F91" s="2" t="s">
        <v>11</v>
      </c>
      <c r="G91" s="3" t="s">
        <v>281</v>
      </c>
      <c r="H91" s="1" t="s">
        <v>12</v>
      </c>
      <c r="I91" s="1" t="s">
        <v>65</v>
      </c>
      <c r="J91" s="1" t="s">
        <v>14</v>
      </c>
      <c r="Q91" s="1" t="s">
        <v>2012</v>
      </c>
    </row>
    <row r="92" spans="2:17" x14ac:dyDescent="0.3">
      <c r="B92" s="1" t="s">
        <v>271</v>
      </c>
      <c r="C92" s="1" t="s">
        <v>17</v>
      </c>
      <c r="D92" s="2" t="s">
        <v>282</v>
      </c>
      <c r="E92" s="2" t="s">
        <v>283</v>
      </c>
      <c r="F92" s="2" t="s">
        <v>11</v>
      </c>
      <c r="G92" s="3" t="s">
        <v>284</v>
      </c>
      <c r="H92" s="1" t="s">
        <v>12</v>
      </c>
      <c r="I92" s="1" t="s">
        <v>15</v>
      </c>
      <c r="J92" s="1" t="s">
        <v>52</v>
      </c>
      <c r="Q92" s="1" t="s">
        <v>2028</v>
      </c>
    </row>
    <row r="93" spans="2:17" x14ac:dyDescent="0.3">
      <c r="B93" s="1" t="s">
        <v>271</v>
      </c>
      <c r="C93" s="1" t="s">
        <v>33</v>
      </c>
      <c r="D93" s="2" t="s">
        <v>274</v>
      </c>
      <c r="E93" s="2" t="s">
        <v>274</v>
      </c>
      <c r="F93" s="2" t="s">
        <v>11</v>
      </c>
      <c r="G93" s="3" t="s">
        <v>285</v>
      </c>
      <c r="H93" s="1" t="s">
        <v>12</v>
      </c>
      <c r="I93" s="1" t="s">
        <v>30</v>
      </c>
      <c r="J93" s="1" t="s">
        <v>14</v>
      </c>
      <c r="Q93" s="1" t="s">
        <v>2052</v>
      </c>
    </row>
    <row r="94" spans="2:17" x14ac:dyDescent="0.3">
      <c r="B94" s="1" t="s">
        <v>271</v>
      </c>
      <c r="C94" s="1" t="s">
        <v>23</v>
      </c>
      <c r="D94" s="2" t="s">
        <v>286</v>
      </c>
      <c r="E94" s="2" t="s">
        <v>286</v>
      </c>
      <c r="F94" s="2" t="s">
        <v>11</v>
      </c>
      <c r="G94" s="3" t="s">
        <v>287</v>
      </c>
      <c r="H94" s="1" t="s">
        <v>12</v>
      </c>
      <c r="I94" s="1" t="s">
        <v>73</v>
      </c>
      <c r="J94" s="1" t="s">
        <v>14</v>
      </c>
      <c r="Q94" s="1" t="s">
        <v>2067</v>
      </c>
    </row>
    <row r="95" spans="2:17" x14ac:dyDescent="0.3">
      <c r="B95" s="1" t="s">
        <v>271</v>
      </c>
      <c r="C95" s="1" t="s">
        <v>35</v>
      </c>
      <c r="D95" s="2" t="s">
        <v>286</v>
      </c>
      <c r="E95" s="2" t="s">
        <v>286</v>
      </c>
      <c r="F95" s="2" t="s">
        <v>11</v>
      </c>
      <c r="G95" s="3" t="s">
        <v>288</v>
      </c>
      <c r="H95" s="1" t="s">
        <v>12</v>
      </c>
      <c r="I95" s="1" t="s">
        <v>67</v>
      </c>
      <c r="J95" s="1" t="s">
        <v>14</v>
      </c>
      <c r="Q95" s="1" t="s">
        <v>2087</v>
      </c>
    </row>
    <row r="96" spans="2:17" x14ac:dyDescent="0.3">
      <c r="B96" s="1" t="s">
        <v>271</v>
      </c>
      <c r="C96" s="1" t="s">
        <v>19</v>
      </c>
      <c r="D96" s="2" t="s">
        <v>274</v>
      </c>
      <c r="E96" s="2" t="s">
        <v>274</v>
      </c>
      <c r="F96" s="2" t="s">
        <v>11</v>
      </c>
      <c r="G96" s="3" t="s">
        <v>289</v>
      </c>
      <c r="H96" s="1" t="s">
        <v>12</v>
      </c>
      <c r="I96" s="1" t="s">
        <v>48</v>
      </c>
      <c r="J96" s="1" t="s">
        <v>14</v>
      </c>
      <c r="Q96" s="1" t="s">
        <v>2099</v>
      </c>
    </row>
    <row r="97" spans="2:17" x14ac:dyDescent="0.3">
      <c r="B97" s="1" t="s">
        <v>271</v>
      </c>
      <c r="C97" s="1" t="s">
        <v>36</v>
      </c>
      <c r="D97" s="2" t="s">
        <v>290</v>
      </c>
      <c r="E97" s="2" t="s">
        <v>290</v>
      </c>
      <c r="F97" s="2" t="s">
        <v>11</v>
      </c>
      <c r="G97" s="3" t="s">
        <v>291</v>
      </c>
      <c r="H97" s="1" t="s">
        <v>12</v>
      </c>
      <c r="I97" s="1" t="s">
        <v>74</v>
      </c>
      <c r="J97" s="1" t="s">
        <v>14</v>
      </c>
      <c r="Q97" s="1" t="s">
        <v>2120</v>
      </c>
    </row>
    <row r="98" spans="2:17" x14ac:dyDescent="0.3">
      <c r="B98" s="1" t="s">
        <v>271</v>
      </c>
      <c r="C98" s="1" t="s">
        <v>39</v>
      </c>
      <c r="D98" s="2" t="s">
        <v>292</v>
      </c>
      <c r="E98" s="2" t="s">
        <v>292</v>
      </c>
      <c r="F98" s="2" t="s">
        <v>11</v>
      </c>
      <c r="G98" s="3" t="s">
        <v>293</v>
      </c>
      <c r="H98" s="1" t="s">
        <v>12</v>
      </c>
      <c r="I98" s="1" t="s">
        <v>75</v>
      </c>
      <c r="J98" s="1" t="s">
        <v>14</v>
      </c>
      <c r="Q98" s="1" t="s">
        <v>2138</v>
      </c>
    </row>
    <row r="99" spans="2:17" x14ac:dyDescent="0.3">
      <c r="B99" s="1" t="s">
        <v>271</v>
      </c>
      <c r="C99" s="1" t="s">
        <v>38</v>
      </c>
      <c r="D99" s="2" t="s">
        <v>272</v>
      </c>
      <c r="E99" s="2" t="s">
        <v>272</v>
      </c>
      <c r="F99" s="2" t="s">
        <v>11</v>
      </c>
      <c r="G99" s="3" t="s">
        <v>294</v>
      </c>
      <c r="H99" s="1" t="s">
        <v>12</v>
      </c>
      <c r="I99" s="1" t="s">
        <v>56</v>
      </c>
      <c r="J99" s="1" t="s">
        <v>14</v>
      </c>
      <c r="Q99" s="1" t="s">
        <v>2154</v>
      </c>
    </row>
    <row r="100" spans="2:17" x14ac:dyDescent="0.3">
      <c r="B100" s="1" t="s">
        <v>271</v>
      </c>
      <c r="C100" s="1" t="s">
        <v>28</v>
      </c>
      <c r="D100" s="2" t="s">
        <v>295</v>
      </c>
      <c r="E100" s="2" t="s">
        <v>295</v>
      </c>
      <c r="F100" s="2" t="s">
        <v>11</v>
      </c>
      <c r="G100" s="3" t="s">
        <v>296</v>
      </c>
      <c r="H100" s="1" t="s">
        <v>12</v>
      </c>
      <c r="I100" s="1" t="s">
        <v>69</v>
      </c>
      <c r="J100" s="1" t="s">
        <v>14</v>
      </c>
      <c r="Q100" s="1" t="s">
        <v>2167</v>
      </c>
    </row>
    <row r="101" spans="2:17" x14ac:dyDescent="0.3">
      <c r="B101" s="1" t="s">
        <v>271</v>
      </c>
      <c r="C101" s="1" t="s">
        <v>45</v>
      </c>
      <c r="D101" s="2" t="s">
        <v>274</v>
      </c>
      <c r="E101" s="2" t="s">
        <v>274</v>
      </c>
      <c r="F101" s="2" t="s">
        <v>11</v>
      </c>
      <c r="G101" s="3" t="s">
        <v>255</v>
      </c>
      <c r="H101" s="1" t="s">
        <v>12</v>
      </c>
      <c r="I101" s="1" t="s">
        <v>56</v>
      </c>
      <c r="J101" s="1" t="s">
        <v>14</v>
      </c>
      <c r="Q101" s="1" t="s">
        <v>2180</v>
      </c>
    </row>
    <row r="102" spans="2:17" x14ac:dyDescent="0.3">
      <c r="B102" s="1" t="s">
        <v>271</v>
      </c>
      <c r="C102" s="1" t="s">
        <v>26</v>
      </c>
      <c r="D102" s="2" t="s">
        <v>297</v>
      </c>
      <c r="E102" s="2" t="s">
        <v>297</v>
      </c>
      <c r="F102" s="2" t="s">
        <v>11</v>
      </c>
      <c r="G102" s="3" t="s">
        <v>298</v>
      </c>
      <c r="H102" s="1" t="s">
        <v>12</v>
      </c>
      <c r="I102" s="1" t="s">
        <v>22</v>
      </c>
      <c r="J102" s="1" t="s">
        <v>14</v>
      </c>
      <c r="Q102" s="1" t="s">
        <v>2197</v>
      </c>
    </row>
    <row r="103" spans="2:17" x14ac:dyDescent="0.3">
      <c r="B103" s="1" t="s">
        <v>271</v>
      </c>
      <c r="C103" s="1" t="s">
        <v>46</v>
      </c>
      <c r="D103" s="2" t="s">
        <v>299</v>
      </c>
      <c r="E103" s="2" t="s">
        <v>300</v>
      </c>
      <c r="F103" s="2" t="s">
        <v>11</v>
      </c>
      <c r="G103" s="3" t="s">
        <v>301</v>
      </c>
      <c r="H103" s="1" t="s">
        <v>12</v>
      </c>
      <c r="I103" s="1" t="s">
        <v>35</v>
      </c>
      <c r="J103" s="1" t="s">
        <v>52</v>
      </c>
      <c r="Q103" s="1" t="s">
        <v>2213</v>
      </c>
    </row>
    <row r="104" spans="2:17" x14ac:dyDescent="0.3">
      <c r="B104" s="1" t="s">
        <v>271</v>
      </c>
      <c r="C104" s="1" t="s">
        <v>15</v>
      </c>
      <c r="D104" s="2" t="s">
        <v>302</v>
      </c>
      <c r="E104" s="2" t="s">
        <v>302</v>
      </c>
      <c r="F104" s="2" t="s">
        <v>11</v>
      </c>
      <c r="G104" s="3" t="s">
        <v>303</v>
      </c>
      <c r="H104" s="1" t="s">
        <v>12</v>
      </c>
      <c r="I104" s="1" t="s">
        <v>34</v>
      </c>
      <c r="J104" s="1" t="s">
        <v>14</v>
      </c>
      <c r="Q104" s="1" t="s">
        <v>2226</v>
      </c>
    </row>
    <row r="105" spans="2:17" x14ac:dyDescent="0.3">
      <c r="B105" s="1" t="s">
        <v>271</v>
      </c>
      <c r="C105" s="1" t="s">
        <v>29</v>
      </c>
      <c r="D105" s="2" t="s">
        <v>304</v>
      </c>
      <c r="E105" s="2" t="s">
        <v>305</v>
      </c>
      <c r="F105" s="2" t="s">
        <v>11</v>
      </c>
      <c r="G105" s="3" t="s">
        <v>306</v>
      </c>
      <c r="H105" s="1" t="s">
        <v>12</v>
      </c>
      <c r="I105" s="1" t="s">
        <v>15</v>
      </c>
      <c r="J105" s="1" t="s">
        <v>52</v>
      </c>
      <c r="Q105" s="1" t="s">
        <v>2243</v>
      </c>
    </row>
    <row r="106" spans="2:17" x14ac:dyDescent="0.3">
      <c r="B106" s="1" t="s">
        <v>307</v>
      </c>
      <c r="C106" s="1" t="s">
        <v>45</v>
      </c>
      <c r="D106" s="2" t="s">
        <v>308</v>
      </c>
      <c r="E106" s="2" t="s">
        <v>309</v>
      </c>
      <c r="F106" s="2" t="s">
        <v>11</v>
      </c>
      <c r="G106" s="3" t="s">
        <v>310</v>
      </c>
      <c r="H106" s="1" t="s">
        <v>12</v>
      </c>
      <c r="I106" s="1" t="s">
        <v>76</v>
      </c>
      <c r="J106" s="1" t="s">
        <v>52</v>
      </c>
      <c r="Q106" s="1" t="s">
        <v>2254</v>
      </c>
    </row>
    <row r="107" spans="2:17" x14ac:dyDescent="0.3">
      <c r="B107" s="1" t="s">
        <v>307</v>
      </c>
      <c r="C107" s="1" t="s">
        <v>15</v>
      </c>
      <c r="D107" s="2" t="s">
        <v>311</v>
      </c>
      <c r="E107" s="2" t="s">
        <v>311</v>
      </c>
      <c r="F107" s="2" t="s">
        <v>11</v>
      </c>
      <c r="G107" s="3" t="s">
        <v>312</v>
      </c>
      <c r="H107" s="1" t="s">
        <v>12</v>
      </c>
      <c r="I107" s="1" t="s">
        <v>63</v>
      </c>
      <c r="J107" s="1" t="s">
        <v>14</v>
      </c>
      <c r="Q107" s="1" t="s">
        <v>2269</v>
      </c>
    </row>
    <row r="108" spans="2:17" x14ac:dyDescent="0.3">
      <c r="B108" s="1" t="s">
        <v>307</v>
      </c>
      <c r="C108" s="1" t="s">
        <v>46</v>
      </c>
      <c r="D108" s="2" t="s">
        <v>311</v>
      </c>
      <c r="E108" s="2" t="s">
        <v>311</v>
      </c>
      <c r="F108" s="2" t="s">
        <v>11</v>
      </c>
      <c r="G108" s="3" t="s">
        <v>313</v>
      </c>
      <c r="H108" s="1" t="s">
        <v>12</v>
      </c>
      <c r="I108" s="1" t="s">
        <v>29</v>
      </c>
      <c r="J108" s="1" t="s">
        <v>14</v>
      </c>
      <c r="Q108" s="1" t="s">
        <v>2297</v>
      </c>
    </row>
    <row r="109" spans="2:17" x14ac:dyDescent="0.3">
      <c r="B109" s="1" t="s">
        <v>307</v>
      </c>
      <c r="C109" s="1" t="s">
        <v>19</v>
      </c>
      <c r="D109" s="2" t="s">
        <v>314</v>
      </c>
      <c r="E109" s="2" t="s">
        <v>314</v>
      </c>
      <c r="F109" s="2" t="s">
        <v>11</v>
      </c>
      <c r="G109" s="3" t="s">
        <v>315</v>
      </c>
      <c r="H109" s="1" t="s">
        <v>12</v>
      </c>
      <c r="I109" s="1" t="s">
        <v>47</v>
      </c>
      <c r="J109" s="1" t="s">
        <v>14</v>
      </c>
      <c r="Q109" s="1" t="s">
        <v>2307</v>
      </c>
    </row>
    <row r="110" spans="2:17" x14ac:dyDescent="0.3">
      <c r="B110" s="1" t="s">
        <v>307</v>
      </c>
      <c r="C110" s="1" t="s">
        <v>39</v>
      </c>
      <c r="D110" s="2" t="s">
        <v>316</v>
      </c>
      <c r="E110" s="2" t="s">
        <v>316</v>
      </c>
      <c r="F110" s="2" t="s">
        <v>11</v>
      </c>
      <c r="G110" s="3" t="s">
        <v>317</v>
      </c>
      <c r="H110" s="1" t="s">
        <v>12</v>
      </c>
      <c r="I110" s="1" t="s">
        <v>34</v>
      </c>
      <c r="J110" s="1" t="s">
        <v>14</v>
      </c>
      <c r="Q110" s="1" t="s">
        <v>2328</v>
      </c>
    </row>
    <row r="111" spans="2:17" x14ac:dyDescent="0.3">
      <c r="B111" s="1" t="s">
        <v>307</v>
      </c>
      <c r="C111" s="1" t="s">
        <v>35</v>
      </c>
      <c r="D111" s="2" t="s">
        <v>311</v>
      </c>
      <c r="E111" s="2" t="s">
        <v>311</v>
      </c>
      <c r="F111" s="2" t="s">
        <v>11</v>
      </c>
      <c r="G111" s="3" t="s">
        <v>318</v>
      </c>
      <c r="H111" s="1" t="s">
        <v>12</v>
      </c>
      <c r="I111" s="1" t="s">
        <v>77</v>
      </c>
      <c r="J111" s="1" t="s">
        <v>14</v>
      </c>
      <c r="Q111" s="1" t="s">
        <v>2347</v>
      </c>
    </row>
    <row r="112" spans="2:17" x14ac:dyDescent="0.3">
      <c r="B112" s="1" t="s">
        <v>307</v>
      </c>
      <c r="C112" s="1" t="s">
        <v>41</v>
      </c>
      <c r="D112" s="2" t="s">
        <v>319</v>
      </c>
      <c r="E112" s="2" t="s">
        <v>320</v>
      </c>
      <c r="F112" s="2" t="s">
        <v>11</v>
      </c>
      <c r="G112" s="3" t="s">
        <v>321</v>
      </c>
      <c r="H112" s="1" t="s">
        <v>12</v>
      </c>
      <c r="I112" s="1" t="s">
        <v>10</v>
      </c>
      <c r="J112" s="1" t="s">
        <v>52</v>
      </c>
      <c r="Q112" s="1" t="s">
        <v>2364</v>
      </c>
    </row>
    <row r="113" spans="2:17" x14ac:dyDescent="0.3">
      <c r="B113" s="1" t="s">
        <v>307</v>
      </c>
      <c r="C113" s="1" t="s">
        <v>43</v>
      </c>
      <c r="D113" s="2" t="s">
        <v>322</v>
      </c>
      <c r="E113" s="2" t="s">
        <v>322</v>
      </c>
      <c r="F113" s="2" t="s">
        <v>11</v>
      </c>
      <c r="G113" s="3" t="s">
        <v>323</v>
      </c>
      <c r="H113" s="1" t="s">
        <v>12</v>
      </c>
      <c r="I113" s="1" t="s">
        <v>74</v>
      </c>
      <c r="J113" s="1" t="s">
        <v>14</v>
      </c>
      <c r="Q113" s="1" t="s">
        <v>2378</v>
      </c>
    </row>
    <row r="114" spans="2:17" x14ac:dyDescent="0.3">
      <c r="B114" s="1" t="s">
        <v>307</v>
      </c>
      <c r="C114" s="1" t="s">
        <v>31</v>
      </c>
      <c r="D114" s="2" t="s">
        <v>314</v>
      </c>
      <c r="E114" s="2" t="s">
        <v>314</v>
      </c>
      <c r="F114" s="2" t="s">
        <v>11</v>
      </c>
      <c r="G114" s="3" t="s">
        <v>324</v>
      </c>
      <c r="H114" s="1" t="s">
        <v>12</v>
      </c>
      <c r="I114" s="1" t="s">
        <v>29</v>
      </c>
      <c r="J114" s="1" t="s">
        <v>14</v>
      </c>
      <c r="Q114" s="1" t="s">
        <v>2396</v>
      </c>
    </row>
    <row r="115" spans="2:17" x14ac:dyDescent="0.3">
      <c r="B115" s="1" t="s">
        <v>307</v>
      </c>
      <c r="C115" s="1" t="s">
        <v>36</v>
      </c>
      <c r="D115" s="2" t="s">
        <v>311</v>
      </c>
      <c r="E115" s="2" t="s">
        <v>311</v>
      </c>
      <c r="F115" s="2" t="s">
        <v>11</v>
      </c>
      <c r="G115" s="3" t="s">
        <v>325</v>
      </c>
      <c r="H115" s="1" t="s">
        <v>12</v>
      </c>
      <c r="I115" s="1" t="s">
        <v>78</v>
      </c>
      <c r="J115" s="1" t="s">
        <v>14</v>
      </c>
      <c r="Q115" s="1" t="s">
        <v>2412</v>
      </c>
    </row>
    <row r="116" spans="2:17" x14ac:dyDescent="0.3">
      <c r="B116" s="1" t="s">
        <v>307</v>
      </c>
      <c r="C116" s="1" t="s">
        <v>10</v>
      </c>
      <c r="D116" s="2" t="s">
        <v>316</v>
      </c>
      <c r="E116" s="2" t="s">
        <v>316</v>
      </c>
      <c r="F116" s="2" t="s">
        <v>11</v>
      </c>
      <c r="G116" s="3" t="s">
        <v>326</v>
      </c>
      <c r="H116" s="1" t="s">
        <v>12</v>
      </c>
      <c r="I116" s="1" t="s">
        <v>18</v>
      </c>
      <c r="J116" s="1" t="s">
        <v>14</v>
      </c>
      <c r="Q116" s="1"/>
    </row>
    <row r="117" spans="2:17" x14ac:dyDescent="0.3">
      <c r="B117" s="1" t="s">
        <v>307</v>
      </c>
      <c r="C117" s="1" t="s">
        <v>29</v>
      </c>
      <c r="D117" s="2" t="s">
        <v>190</v>
      </c>
      <c r="E117" s="2" t="s">
        <v>190</v>
      </c>
      <c r="F117" s="2" t="s">
        <v>11</v>
      </c>
      <c r="G117" s="3" t="s">
        <v>327</v>
      </c>
      <c r="H117" s="1" t="s">
        <v>12</v>
      </c>
      <c r="I117" s="1" t="s">
        <v>79</v>
      </c>
      <c r="J117" s="1" t="s">
        <v>14</v>
      </c>
    </row>
    <row r="118" spans="2:17" x14ac:dyDescent="0.3">
      <c r="B118" s="1" t="s">
        <v>307</v>
      </c>
      <c r="C118" s="1" t="s">
        <v>17</v>
      </c>
      <c r="D118" s="2" t="s">
        <v>316</v>
      </c>
      <c r="E118" s="2" t="s">
        <v>316</v>
      </c>
      <c r="F118" s="2" t="s">
        <v>11</v>
      </c>
      <c r="G118" s="3" t="s">
        <v>328</v>
      </c>
      <c r="H118" s="1" t="s">
        <v>12</v>
      </c>
      <c r="I118" s="1" t="s">
        <v>13</v>
      </c>
      <c r="J118" s="1" t="s">
        <v>14</v>
      </c>
    </row>
    <row r="119" spans="2:17" x14ac:dyDescent="0.3">
      <c r="B119" s="1" t="s">
        <v>307</v>
      </c>
      <c r="C119" s="1" t="s">
        <v>33</v>
      </c>
      <c r="D119" s="2" t="s">
        <v>311</v>
      </c>
      <c r="E119" s="2" t="s">
        <v>311</v>
      </c>
      <c r="F119" s="2" t="s">
        <v>11</v>
      </c>
      <c r="G119" s="3" t="s">
        <v>329</v>
      </c>
      <c r="H119" s="1" t="s">
        <v>12</v>
      </c>
      <c r="I119" s="1" t="s">
        <v>80</v>
      </c>
      <c r="J119" s="1" t="s">
        <v>14</v>
      </c>
    </row>
    <row r="120" spans="2:17" x14ac:dyDescent="0.3">
      <c r="B120" s="1" t="s">
        <v>307</v>
      </c>
      <c r="C120" s="1" t="s">
        <v>26</v>
      </c>
      <c r="D120" s="2" t="s">
        <v>316</v>
      </c>
      <c r="E120" s="2" t="s">
        <v>316</v>
      </c>
      <c r="F120" s="2" t="s">
        <v>11</v>
      </c>
      <c r="G120" s="3" t="s">
        <v>330</v>
      </c>
      <c r="H120" s="1" t="s">
        <v>12</v>
      </c>
      <c r="I120" s="1" t="s">
        <v>16</v>
      </c>
      <c r="J120" s="1" t="s">
        <v>14</v>
      </c>
    </row>
    <row r="121" spans="2:17" x14ac:dyDescent="0.3">
      <c r="B121" s="1" t="s">
        <v>307</v>
      </c>
      <c r="C121" s="1" t="s">
        <v>38</v>
      </c>
      <c r="D121" s="2" t="s">
        <v>331</v>
      </c>
      <c r="E121" s="2" t="s">
        <v>332</v>
      </c>
      <c r="F121" s="2" t="s">
        <v>11</v>
      </c>
      <c r="G121" s="3" t="s">
        <v>333</v>
      </c>
      <c r="H121" s="1" t="s">
        <v>12</v>
      </c>
      <c r="I121" s="1" t="s">
        <v>10</v>
      </c>
      <c r="J121" s="1" t="s">
        <v>52</v>
      </c>
    </row>
    <row r="122" spans="2:17" x14ac:dyDescent="0.3">
      <c r="B122" s="1" t="s">
        <v>307</v>
      </c>
      <c r="C122" s="1" t="s">
        <v>28</v>
      </c>
      <c r="D122" s="2" t="s">
        <v>316</v>
      </c>
      <c r="E122" s="2" t="s">
        <v>316</v>
      </c>
      <c r="F122" s="2" t="s">
        <v>11</v>
      </c>
      <c r="G122" s="3" t="s">
        <v>334</v>
      </c>
      <c r="H122" s="1" t="s">
        <v>12</v>
      </c>
      <c r="I122" s="1" t="s">
        <v>27</v>
      </c>
      <c r="J122" s="1" t="s">
        <v>14</v>
      </c>
    </row>
    <row r="123" spans="2:17" x14ac:dyDescent="0.3">
      <c r="B123" s="1" t="s">
        <v>307</v>
      </c>
      <c r="C123" s="1" t="s">
        <v>21</v>
      </c>
      <c r="D123" s="2" t="s">
        <v>311</v>
      </c>
      <c r="E123" s="2" t="s">
        <v>311</v>
      </c>
      <c r="F123" s="2" t="s">
        <v>11</v>
      </c>
      <c r="G123" s="3" t="s">
        <v>335</v>
      </c>
      <c r="H123" s="1" t="s">
        <v>12</v>
      </c>
      <c r="I123" s="1" t="s">
        <v>29</v>
      </c>
      <c r="J123" s="1" t="s">
        <v>14</v>
      </c>
    </row>
    <row r="124" spans="2:17" x14ac:dyDescent="0.3">
      <c r="B124" s="1" t="s">
        <v>307</v>
      </c>
      <c r="C124" s="1" t="s">
        <v>24</v>
      </c>
      <c r="D124" s="2" t="s">
        <v>314</v>
      </c>
      <c r="E124" s="2" t="s">
        <v>314</v>
      </c>
      <c r="F124" s="2" t="s">
        <v>11</v>
      </c>
      <c r="G124" s="3" t="s">
        <v>336</v>
      </c>
      <c r="H124" s="1" t="s">
        <v>12</v>
      </c>
      <c r="I124" s="1" t="s">
        <v>80</v>
      </c>
      <c r="J124" s="1" t="s">
        <v>14</v>
      </c>
    </row>
    <row r="125" spans="2:17" x14ac:dyDescent="0.3">
      <c r="B125" s="1" t="s">
        <v>307</v>
      </c>
      <c r="C125" s="1" t="s">
        <v>23</v>
      </c>
      <c r="D125" s="2" t="s">
        <v>337</v>
      </c>
      <c r="E125" s="2" t="s">
        <v>337</v>
      </c>
      <c r="F125" s="2" t="s">
        <v>11</v>
      </c>
      <c r="G125" s="3" t="s">
        <v>338</v>
      </c>
      <c r="H125" s="1" t="s">
        <v>12</v>
      </c>
      <c r="I125" s="1" t="s">
        <v>66</v>
      </c>
      <c r="J125" s="1" t="s">
        <v>14</v>
      </c>
    </row>
    <row r="126" spans="2:17" x14ac:dyDescent="0.3">
      <c r="B126" s="1" t="s">
        <v>339</v>
      </c>
      <c r="C126" s="1" t="s">
        <v>39</v>
      </c>
      <c r="D126" s="2" t="s">
        <v>340</v>
      </c>
      <c r="E126" s="2" t="s">
        <v>340</v>
      </c>
      <c r="F126" s="2" t="s">
        <v>11</v>
      </c>
      <c r="G126" s="3" t="s">
        <v>341</v>
      </c>
      <c r="H126" s="1" t="s">
        <v>12</v>
      </c>
      <c r="I126" s="1" t="s">
        <v>81</v>
      </c>
      <c r="J126" s="1" t="s">
        <v>14</v>
      </c>
    </row>
    <row r="127" spans="2:17" x14ac:dyDescent="0.3">
      <c r="B127" s="1" t="s">
        <v>339</v>
      </c>
      <c r="C127" s="1" t="s">
        <v>36</v>
      </c>
      <c r="D127" s="2" t="s">
        <v>342</v>
      </c>
      <c r="E127" s="2" t="s">
        <v>342</v>
      </c>
      <c r="F127" s="2" t="s">
        <v>11</v>
      </c>
      <c r="G127" s="3" t="s">
        <v>343</v>
      </c>
      <c r="H127" s="1" t="s">
        <v>12</v>
      </c>
      <c r="I127" s="1" t="s">
        <v>13</v>
      </c>
      <c r="J127" s="1" t="s">
        <v>14</v>
      </c>
    </row>
    <row r="128" spans="2:17" x14ac:dyDescent="0.3">
      <c r="B128" s="1" t="s">
        <v>339</v>
      </c>
      <c r="C128" s="1" t="s">
        <v>24</v>
      </c>
      <c r="D128" s="2" t="s">
        <v>344</v>
      </c>
      <c r="E128" s="2" t="s">
        <v>344</v>
      </c>
      <c r="F128" s="2" t="s">
        <v>11</v>
      </c>
      <c r="G128" s="3" t="s">
        <v>345</v>
      </c>
      <c r="H128" s="1" t="s">
        <v>12</v>
      </c>
      <c r="I128" s="1" t="s">
        <v>58</v>
      </c>
      <c r="J128" s="1" t="s">
        <v>14</v>
      </c>
    </row>
    <row r="129" spans="2:10" x14ac:dyDescent="0.3">
      <c r="B129" s="1" t="s">
        <v>339</v>
      </c>
      <c r="C129" s="1" t="s">
        <v>29</v>
      </c>
      <c r="D129" s="2" t="s">
        <v>342</v>
      </c>
      <c r="E129" s="2" t="s">
        <v>342</v>
      </c>
      <c r="F129" s="2" t="s">
        <v>11</v>
      </c>
      <c r="G129" s="3" t="s">
        <v>346</v>
      </c>
      <c r="H129" s="1" t="s">
        <v>12</v>
      </c>
      <c r="I129" s="1" t="s">
        <v>44</v>
      </c>
      <c r="J129" s="1" t="s">
        <v>14</v>
      </c>
    </row>
    <row r="130" spans="2:10" x14ac:dyDescent="0.3">
      <c r="B130" s="1" t="s">
        <v>339</v>
      </c>
      <c r="C130" s="1" t="s">
        <v>41</v>
      </c>
      <c r="D130" s="2" t="s">
        <v>304</v>
      </c>
      <c r="E130" s="2" t="s">
        <v>304</v>
      </c>
      <c r="F130" s="2" t="s">
        <v>11</v>
      </c>
      <c r="G130" s="3" t="s">
        <v>347</v>
      </c>
      <c r="H130" s="1" t="s">
        <v>12</v>
      </c>
      <c r="I130" s="1" t="s">
        <v>34</v>
      </c>
      <c r="J130" s="1" t="s">
        <v>14</v>
      </c>
    </row>
    <row r="131" spans="2:10" x14ac:dyDescent="0.3">
      <c r="B131" s="1" t="s">
        <v>339</v>
      </c>
      <c r="C131" s="1" t="s">
        <v>38</v>
      </c>
      <c r="D131" s="2" t="s">
        <v>304</v>
      </c>
      <c r="E131" s="2" t="s">
        <v>304</v>
      </c>
      <c r="F131" s="2" t="s">
        <v>11</v>
      </c>
      <c r="G131" s="3" t="s">
        <v>348</v>
      </c>
      <c r="H131" s="1" t="s">
        <v>12</v>
      </c>
      <c r="I131" s="1" t="s">
        <v>18</v>
      </c>
      <c r="J131" s="1" t="s">
        <v>14</v>
      </c>
    </row>
    <row r="132" spans="2:10" x14ac:dyDescent="0.3">
      <c r="B132" s="1" t="s">
        <v>339</v>
      </c>
      <c r="C132" s="1" t="s">
        <v>46</v>
      </c>
      <c r="D132" s="2" t="s">
        <v>349</v>
      </c>
      <c r="E132" s="2" t="s">
        <v>349</v>
      </c>
      <c r="F132" s="2" t="s">
        <v>11</v>
      </c>
      <c r="G132" s="3" t="s">
        <v>350</v>
      </c>
      <c r="H132" s="1" t="s">
        <v>12</v>
      </c>
      <c r="I132" s="1" t="s">
        <v>62</v>
      </c>
      <c r="J132" s="1" t="s">
        <v>14</v>
      </c>
    </row>
    <row r="133" spans="2:10" x14ac:dyDescent="0.3">
      <c r="B133" s="1" t="s">
        <v>339</v>
      </c>
      <c r="C133" s="1" t="s">
        <v>17</v>
      </c>
      <c r="D133" s="2" t="s">
        <v>351</v>
      </c>
      <c r="E133" s="2" t="s">
        <v>351</v>
      </c>
      <c r="F133" s="2" t="s">
        <v>11</v>
      </c>
      <c r="G133" s="3" t="s">
        <v>352</v>
      </c>
      <c r="H133" s="1" t="s">
        <v>12</v>
      </c>
      <c r="I133" s="1" t="s">
        <v>69</v>
      </c>
      <c r="J133" s="1" t="s">
        <v>14</v>
      </c>
    </row>
    <row r="134" spans="2:10" x14ac:dyDescent="0.3">
      <c r="B134" s="1" t="s">
        <v>339</v>
      </c>
      <c r="C134" s="1" t="s">
        <v>21</v>
      </c>
      <c r="D134" s="2" t="s">
        <v>353</v>
      </c>
      <c r="E134" s="2" t="s">
        <v>353</v>
      </c>
      <c r="F134" s="2" t="s">
        <v>11</v>
      </c>
      <c r="G134" s="3" t="s">
        <v>354</v>
      </c>
      <c r="H134" s="1" t="s">
        <v>12</v>
      </c>
      <c r="I134" s="1" t="s">
        <v>51</v>
      </c>
      <c r="J134" s="1" t="s">
        <v>14</v>
      </c>
    </row>
    <row r="135" spans="2:10" x14ac:dyDescent="0.3">
      <c r="B135" s="1" t="s">
        <v>339</v>
      </c>
      <c r="C135" s="1" t="s">
        <v>33</v>
      </c>
      <c r="D135" s="2" t="s">
        <v>355</v>
      </c>
      <c r="E135" s="2" t="s">
        <v>355</v>
      </c>
      <c r="F135" s="2" t="s">
        <v>11</v>
      </c>
      <c r="G135" s="3" t="s">
        <v>356</v>
      </c>
      <c r="H135" s="1" t="s">
        <v>12</v>
      </c>
      <c r="I135" s="1" t="s">
        <v>32</v>
      </c>
      <c r="J135" s="1" t="s">
        <v>14</v>
      </c>
    </row>
    <row r="136" spans="2:10" x14ac:dyDescent="0.3">
      <c r="B136" s="1" t="s">
        <v>339</v>
      </c>
      <c r="C136" s="1" t="s">
        <v>35</v>
      </c>
      <c r="D136" s="2" t="s">
        <v>304</v>
      </c>
      <c r="E136" s="2" t="s">
        <v>304</v>
      </c>
      <c r="F136" s="2" t="s">
        <v>11</v>
      </c>
      <c r="G136" s="3" t="s">
        <v>357</v>
      </c>
      <c r="H136" s="1" t="s">
        <v>12</v>
      </c>
      <c r="I136" s="1" t="s">
        <v>64</v>
      </c>
      <c r="J136" s="1" t="s">
        <v>14</v>
      </c>
    </row>
    <row r="137" spans="2:10" x14ac:dyDescent="0.3">
      <c r="B137" s="1" t="s">
        <v>339</v>
      </c>
      <c r="C137" s="1" t="s">
        <v>28</v>
      </c>
      <c r="D137" s="2" t="s">
        <v>304</v>
      </c>
      <c r="E137" s="2" t="s">
        <v>304</v>
      </c>
      <c r="F137" s="2" t="s">
        <v>11</v>
      </c>
      <c r="G137" s="3" t="s">
        <v>358</v>
      </c>
      <c r="H137" s="1" t="s">
        <v>12</v>
      </c>
      <c r="I137" s="1" t="s">
        <v>13</v>
      </c>
      <c r="J137" s="1" t="s">
        <v>14</v>
      </c>
    </row>
    <row r="138" spans="2:10" x14ac:dyDescent="0.3">
      <c r="B138" s="1" t="s">
        <v>339</v>
      </c>
      <c r="C138" s="1" t="s">
        <v>10</v>
      </c>
      <c r="D138" s="2" t="s">
        <v>359</v>
      </c>
      <c r="E138" s="2" t="s">
        <v>359</v>
      </c>
      <c r="F138" s="2" t="s">
        <v>11</v>
      </c>
      <c r="G138" s="3" t="s">
        <v>360</v>
      </c>
      <c r="H138" s="1" t="s">
        <v>12</v>
      </c>
      <c r="I138" s="1" t="s">
        <v>49</v>
      </c>
      <c r="J138" s="1" t="s">
        <v>14</v>
      </c>
    </row>
    <row r="139" spans="2:10" x14ac:dyDescent="0.3">
      <c r="B139" s="1" t="s">
        <v>339</v>
      </c>
      <c r="C139" s="1" t="s">
        <v>26</v>
      </c>
      <c r="D139" s="2" t="s">
        <v>361</v>
      </c>
      <c r="E139" s="2" t="s">
        <v>361</v>
      </c>
      <c r="F139" s="2" t="s">
        <v>11</v>
      </c>
      <c r="G139" s="3" t="s">
        <v>362</v>
      </c>
      <c r="H139" s="1" t="s">
        <v>12</v>
      </c>
      <c r="I139" s="1" t="s">
        <v>56</v>
      </c>
      <c r="J139" s="1" t="s">
        <v>14</v>
      </c>
    </row>
    <row r="140" spans="2:10" x14ac:dyDescent="0.3">
      <c r="B140" s="1" t="s">
        <v>339</v>
      </c>
      <c r="C140" s="1" t="s">
        <v>45</v>
      </c>
      <c r="D140" s="2" t="s">
        <v>304</v>
      </c>
      <c r="E140" s="2" t="s">
        <v>304</v>
      </c>
      <c r="F140" s="2" t="s">
        <v>11</v>
      </c>
      <c r="G140" s="3" t="s">
        <v>363</v>
      </c>
      <c r="H140" s="1" t="s">
        <v>12</v>
      </c>
      <c r="I140" s="1" t="s">
        <v>25</v>
      </c>
      <c r="J140" s="1" t="s">
        <v>14</v>
      </c>
    </row>
    <row r="141" spans="2:10" x14ac:dyDescent="0.3">
      <c r="B141" s="1" t="s">
        <v>339</v>
      </c>
      <c r="C141" s="1" t="s">
        <v>43</v>
      </c>
      <c r="D141" s="2" t="s">
        <v>304</v>
      </c>
      <c r="E141" s="2" t="s">
        <v>304</v>
      </c>
      <c r="F141" s="2" t="s">
        <v>11</v>
      </c>
      <c r="G141" s="3" t="s">
        <v>364</v>
      </c>
      <c r="H141" s="1" t="s">
        <v>12</v>
      </c>
      <c r="I141" s="1" t="s">
        <v>22</v>
      </c>
      <c r="J141" s="1" t="s">
        <v>14</v>
      </c>
    </row>
    <row r="142" spans="2:10" x14ac:dyDescent="0.3">
      <c r="B142" s="1" t="s">
        <v>339</v>
      </c>
      <c r="C142" s="1" t="s">
        <v>15</v>
      </c>
      <c r="D142" s="2" t="s">
        <v>359</v>
      </c>
      <c r="E142" s="2" t="s">
        <v>359</v>
      </c>
      <c r="F142" s="2" t="s">
        <v>11</v>
      </c>
      <c r="G142" s="3" t="s">
        <v>365</v>
      </c>
      <c r="H142" s="1" t="s">
        <v>12</v>
      </c>
      <c r="I142" s="1" t="s">
        <v>27</v>
      </c>
      <c r="J142" s="1" t="s">
        <v>14</v>
      </c>
    </row>
    <row r="143" spans="2:10" x14ac:dyDescent="0.3">
      <c r="B143" s="1" t="s">
        <v>339</v>
      </c>
      <c r="C143" s="1" t="s">
        <v>23</v>
      </c>
      <c r="D143" s="2" t="s">
        <v>353</v>
      </c>
      <c r="E143" s="2" t="s">
        <v>353</v>
      </c>
      <c r="F143" s="2" t="s">
        <v>11</v>
      </c>
      <c r="G143" s="3" t="s">
        <v>366</v>
      </c>
      <c r="H143" s="1" t="s">
        <v>12</v>
      </c>
      <c r="I143" s="1" t="s">
        <v>58</v>
      </c>
      <c r="J143" s="1" t="s">
        <v>14</v>
      </c>
    </row>
    <row r="144" spans="2:10" x14ac:dyDescent="0.3">
      <c r="B144" s="1" t="s">
        <v>339</v>
      </c>
      <c r="C144" s="1" t="s">
        <v>31</v>
      </c>
      <c r="D144" s="2" t="s">
        <v>367</v>
      </c>
      <c r="E144" s="2" t="s">
        <v>368</v>
      </c>
      <c r="F144" s="2" t="s">
        <v>11</v>
      </c>
      <c r="G144" s="3" t="s">
        <v>369</v>
      </c>
      <c r="H144" s="1" t="s">
        <v>12</v>
      </c>
      <c r="I144" s="1" t="s">
        <v>46</v>
      </c>
      <c r="J144" s="1" t="s">
        <v>52</v>
      </c>
    </row>
    <row r="145" spans="2:10" x14ac:dyDescent="0.3">
      <c r="B145" s="1" t="s">
        <v>339</v>
      </c>
      <c r="C145" s="1" t="s">
        <v>19</v>
      </c>
      <c r="D145" s="2" t="s">
        <v>344</v>
      </c>
      <c r="E145" s="2" t="s">
        <v>344</v>
      </c>
      <c r="F145" s="2" t="s">
        <v>11</v>
      </c>
      <c r="G145" s="3" t="s">
        <v>370</v>
      </c>
      <c r="H145" s="1" t="s">
        <v>12</v>
      </c>
      <c r="I145" s="1" t="s">
        <v>72</v>
      </c>
      <c r="J145" s="1" t="s">
        <v>14</v>
      </c>
    </row>
    <row r="146" spans="2:10" x14ac:dyDescent="0.3">
      <c r="B146" s="1" t="s">
        <v>371</v>
      </c>
      <c r="C146" s="1" t="s">
        <v>39</v>
      </c>
      <c r="D146" s="2" t="s">
        <v>227</v>
      </c>
      <c r="E146" s="2" t="s">
        <v>227</v>
      </c>
      <c r="F146" s="2" t="s">
        <v>11</v>
      </c>
      <c r="G146" s="3" t="s">
        <v>372</v>
      </c>
      <c r="H146" s="1" t="s">
        <v>12</v>
      </c>
      <c r="I146" s="1" t="s">
        <v>50</v>
      </c>
      <c r="J146" s="1" t="s">
        <v>14</v>
      </c>
    </row>
    <row r="147" spans="2:10" x14ac:dyDescent="0.3">
      <c r="B147" s="1" t="s">
        <v>371</v>
      </c>
      <c r="C147" s="1" t="s">
        <v>24</v>
      </c>
      <c r="D147" s="2" t="s">
        <v>373</v>
      </c>
      <c r="E147" s="2" t="s">
        <v>373</v>
      </c>
      <c r="F147" s="2" t="s">
        <v>11</v>
      </c>
      <c r="G147" s="3" t="s">
        <v>374</v>
      </c>
      <c r="H147" s="1" t="s">
        <v>12</v>
      </c>
      <c r="I147" s="1" t="s">
        <v>22</v>
      </c>
      <c r="J147" s="1" t="s">
        <v>14</v>
      </c>
    </row>
    <row r="148" spans="2:10" x14ac:dyDescent="0.3">
      <c r="B148" s="1" t="s">
        <v>371</v>
      </c>
      <c r="C148" s="1" t="s">
        <v>23</v>
      </c>
      <c r="D148" s="2" t="s">
        <v>227</v>
      </c>
      <c r="E148" s="2" t="s">
        <v>227</v>
      </c>
      <c r="F148" s="2" t="s">
        <v>11</v>
      </c>
      <c r="G148" s="3" t="s">
        <v>375</v>
      </c>
      <c r="H148" s="1" t="s">
        <v>12</v>
      </c>
      <c r="I148" s="1" t="s">
        <v>82</v>
      </c>
      <c r="J148" s="1" t="s">
        <v>14</v>
      </c>
    </row>
    <row r="149" spans="2:10" x14ac:dyDescent="0.3">
      <c r="B149" s="1" t="s">
        <v>371</v>
      </c>
      <c r="C149" s="1" t="s">
        <v>43</v>
      </c>
      <c r="D149" s="2" t="s">
        <v>376</v>
      </c>
      <c r="E149" s="2" t="s">
        <v>376</v>
      </c>
      <c r="F149" s="2" t="s">
        <v>11</v>
      </c>
      <c r="G149" s="3" t="s">
        <v>377</v>
      </c>
      <c r="H149" s="1" t="s">
        <v>12</v>
      </c>
      <c r="I149" s="1" t="s">
        <v>54</v>
      </c>
      <c r="J149" s="1" t="s">
        <v>14</v>
      </c>
    </row>
    <row r="150" spans="2:10" x14ac:dyDescent="0.3">
      <c r="B150" s="1" t="s">
        <v>371</v>
      </c>
      <c r="C150" s="1" t="s">
        <v>31</v>
      </c>
      <c r="D150" s="2" t="s">
        <v>378</v>
      </c>
      <c r="E150" s="2" t="s">
        <v>378</v>
      </c>
      <c r="F150" s="2" t="s">
        <v>11</v>
      </c>
      <c r="G150" s="3" t="s">
        <v>379</v>
      </c>
      <c r="H150" s="1" t="s">
        <v>12</v>
      </c>
      <c r="I150" s="1" t="s">
        <v>42</v>
      </c>
      <c r="J150" s="1" t="s">
        <v>14</v>
      </c>
    </row>
    <row r="151" spans="2:10" x14ac:dyDescent="0.3">
      <c r="B151" s="1" t="s">
        <v>371</v>
      </c>
      <c r="C151" s="1" t="s">
        <v>45</v>
      </c>
      <c r="D151" s="2" t="s">
        <v>380</v>
      </c>
      <c r="E151" s="2" t="s">
        <v>380</v>
      </c>
      <c r="F151" s="2" t="s">
        <v>11</v>
      </c>
      <c r="G151" s="3" t="s">
        <v>381</v>
      </c>
      <c r="H151" s="1" t="s">
        <v>12</v>
      </c>
      <c r="I151" s="1" t="s">
        <v>60</v>
      </c>
      <c r="J151" s="1" t="s">
        <v>14</v>
      </c>
    </row>
    <row r="152" spans="2:10" x14ac:dyDescent="0.3">
      <c r="B152" s="1" t="s">
        <v>371</v>
      </c>
      <c r="C152" s="1" t="s">
        <v>33</v>
      </c>
      <c r="D152" s="2" t="s">
        <v>382</v>
      </c>
      <c r="E152" s="2" t="s">
        <v>382</v>
      </c>
      <c r="F152" s="2" t="s">
        <v>11</v>
      </c>
      <c r="G152" s="3" t="s">
        <v>383</v>
      </c>
      <c r="H152" s="1" t="s">
        <v>12</v>
      </c>
      <c r="I152" s="1" t="s">
        <v>76</v>
      </c>
      <c r="J152" s="1" t="s">
        <v>14</v>
      </c>
    </row>
    <row r="153" spans="2:10" x14ac:dyDescent="0.3">
      <c r="B153" s="1" t="s">
        <v>371</v>
      </c>
      <c r="C153" s="1" t="s">
        <v>21</v>
      </c>
      <c r="D153" s="2" t="s">
        <v>380</v>
      </c>
      <c r="E153" s="2" t="s">
        <v>380</v>
      </c>
      <c r="F153" s="2" t="s">
        <v>11</v>
      </c>
      <c r="G153" s="3" t="s">
        <v>384</v>
      </c>
      <c r="H153" s="1" t="s">
        <v>12</v>
      </c>
      <c r="I153" s="1" t="s">
        <v>60</v>
      </c>
      <c r="J153" s="1" t="s">
        <v>14</v>
      </c>
    </row>
    <row r="154" spans="2:10" x14ac:dyDescent="0.3">
      <c r="B154" s="1" t="s">
        <v>371</v>
      </c>
      <c r="C154" s="1" t="s">
        <v>35</v>
      </c>
      <c r="D154" s="2" t="s">
        <v>378</v>
      </c>
      <c r="E154" s="2" t="s">
        <v>378</v>
      </c>
      <c r="F154" s="2" t="s">
        <v>11</v>
      </c>
      <c r="G154" s="3" t="s">
        <v>385</v>
      </c>
      <c r="H154" s="1" t="s">
        <v>12</v>
      </c>
      <c r="I154" s="1" t="s">
        <v>22</v>
      </c>
      <c r="J154" s="1" t="s">
        <v>14</v>
      </c>
    </row>
    <row r="155" spans="2:10" x14ac:dyDescent="0.3">
      <c r="B155" s="1" t="s">
        <v>371</v>
      </c>
      <c r="C155" s="1" t="s">
        <v>17</v>
      </c>
      <c r="D155" s="2" t="s">
        <v>227</v>
      </c>
      <c r="E155" s="2" t="s">
        <v>227</v>
      </c>
      <c r="F155" s="2" t="s">
        <v>11</v>
      </c>
      <c r="G155" s="3" t="s">
        <v>386</v>
      </c>
      <c r="H155" s="1" t="s">
        <v>12</v>
      </c>
      <c r="I155" s="1" t="s">
        <v>62</v>
      </c>
      <c r="J155" s="1" t="s">
        <v>14</v>
      </c>
    </row>
    <row r="156" spans="2:10" x14ac:dyDescent="0.3">
      <c r="B156" s="1" t="s">
        <v>371</v>
      </c>
      <c r="C156" s="1" t="s">
        <v>10</v>
      </c>
      <c r="D156" s="2" t="s">
        <v>387</v>
      </c>
      <c r="E156" s="2" t="s">
        <v>387</v>
      </c>
      <c r="F156" s="2" t="s">
        <v>11</v>
      </c>
      <c r="G156" s="3" t="s">
        <v>388</v>
      </c>
      <c r="H156" s="1" t="s">
        <v>12</v>
      </c>
      <c r="I156" s="1" t="s">
        <v>83</v>
      </c>
      <c r="J156" s="1" t="s">
        <v>14</v>
      </c>
    </row>
    <row r="157" spans="2:10" x14ac:dyDescent="0.3">
      <c r="B157" s="1" t="s">
        <v>371</v>
      </c>
      <c r="C157" s="1" t="s">
        <v>46</v>
      </c>
      <c r="D157" s="2" t="s">
        <v>380</v>
      </c>
      <c r="E157" s="2" t="s">
        <v>380</v>
      </c>
      <c r="F157" s="2" t="s">
        <v>11</v>
      </c>
      <c r="G157" s="3" t="s">
        <v>389</v>
      </c>
      <c r="H157" s="1" t="s">
        <v>12</v>
      </c>
      <c r="I157" s="1" t="s">
        <v>63</v>
      </c>
      <c r="J157" s="1" t="s">
        <v>14</v>
      </c>
    </row>
    <row r="158" spans="2:10" x14ac:dyDescent="0.3">
      <c r="B158" s="1" t="s">
        <v>371</v>
      </c>
      <c r="C158" s="1" t="s">
        <v>38</v>
      </c>
      <c r="D158" s="2" t="s">
        <v>390</v>
      </c>
      <c r="E158" s="2" t="s">
        <v>390</v>
      </c>
      <c r="F158" s="2" t="s">
        <v>11</v>
      </c>
      <c r="G158" s="3" t="s">
        <v>391</v>
      </c>
      <c r="H158" s="1" t="s">
        <v>12</v>
      </c>
      <c r="I158" s="1" t="s">
        <v>42</v>
      </c>
      <c r="J158" s="1" t="s">
        <v>14</v>
      </c>
    </row>
    <row r="159" spans="2:10" x14ac:dyDescent="0.3">
      <c r="B159" s="1" t="s">
        <v>371</v>
      </c>
      <c r="C159" s="1" t="s">
        <v>41</v>
      </c>
      <c r="D159" s="2" t="s">
        <v>378</v>
      </c>
      <c r="E159" s="2" t="s">
        <v>378</v>
      </c>
      <c r="F159" s="2" t="s">
        <v>11</v>
      </c>
      <c r="G159" s="3" t="s">
        <v>392</v>
      </c>
      <c r="H159" s="1" t="s">
        <v>12</v>
      </c>
      <c r="I159" s="1" t="s">
        <v>34</v>
      </c>
      <c r="J159" s="1" t="s">
        <v>14</v>
      </c>
    </row>
    <row r="160" spans="2:10" x14ac:dyDescent="0.3">
      <c r="B160" s="1" t="s">
        <v>371</v>
      </c>
      <c r="C160" s="1" t="s">
        <v>26</v>
      </c>
      <c r="D160" s="2" t="s">
        <v>393</v>
      </c>
      <c r="E160" s="2" t="s">
        <v>393</v>
      </c>
      <c r="F160" s="2" t="s">
        <v>11</v>
      </c>
      <c r="G160" s="3" t="s">
        <v>394</v>
      </c>
      <c r="H160" s="1" t="s">
        <v>12</v>
      </c>
      <c r="I160" s="1" t="s">
        <v>42</v>
      </c>
      <c r="J160" s="1" t="s">
        <v>14</v>
      </c>
    </row>
    <row r="161" spans="2:10" x14ac:dyDescent="0.3">
      <c r="B161" s="1" t="s">
        <v>371</v>
      </c>
      <c r="C161" s="1" t="s">
        <v>36</v>
      </c>
      <c r="D161" s="2" t="s">
        <v>380</v>
      </c>
      <c r="E161" s="2" t="s">
        <v>380</v>
      </c>
      <c r="F161" s="2" t="s">
        <v>11</v>
      </c>
      <c r="G161" s="3" t="s">
        <v>395</v>
      </c>
      <c r="H161" s="1" t="s">
        <v>12</v>
      </c>
      <c r="I161" s="1" t="s">
        <v>64</v>
      </c>
      <c r="J161" s="1" t="s">
        <v>14</v>
      </c>
    </row>
    <row r="162" spans="2:10" x14ac:dyDescent="0.3">
      <c r="B162" s="1" t="s">
        <v>371</v>
      </c>
      <c r="C162" s="1" t="s">
        <v>15</v>
      </c>
      <c r="D162" s="2" t="s">
        <v>382</v>
      </c>
      <c r="E162" s="2" t="s">
        <v>382</v>
      </c>
      <c r="F162" s="2" t="s">
        <v>11</v>
      </c>
      <c r="G162" s="3" t="s">
        <v>396</v>
      </c>
      <c r="H162" s="1" t="s">
        <v>12</v>
      </c>
      <c r="I162" s="1" t="s">
        <v>40</v>
      </c>
      <c r="J162" s="1" t="s">
        <v>14</v>
      </c>
    </row>
    <row r="163" spans="2:10" x14ac:dyDescent="0.3">
      <c r="B163" s="1" t="s">
        <v>371</v>
      </c>
      <c r="C163" s="1" t="s">
        <v>29</v>
      </c>
      <c r="D163" s="2" t="s">
        <v>397</v>
      </c>
      <c r="E163" s="2" t="s">
        <v>398</v>
      </c>
      <c r="F163" s="2" t="s">
        <v>11</v>
      </c>
      <c r="G163" s="3" t="s">
        <v>399</v>
      </c>
      <c r="H163" s="1" t="s">
        <v>12</v>
      </c>
      <c r="I163" s="1" t="s">
        <v>46</v>
      </c>
      <c r="J163" s="1" t="s">
        <v>52</v>
      </c>
    </row>
    <row r="164" spans="2:10" x14ac:dyDescent="0.3">
      <c r="B164" s="1" t="s">
        <v>371</v>
      </c>
      <c r="C164" s="1" t="s">
        <v>19</v>
      </c>
      <c r="D164" s="2" t="s">
        <v>373</v>
      </c>
      <c r="E164" s="2" t="s">
        <v>373</v>
      </c>
      <c r="F164" s="2" t="s">
        <v>11</v>
      </c>
      <c r="G164" s="3" t="s">
        <v>400</v>
      </c>
      <c r="H164" s="1" t="s">
        <v>12</v>
      </c>
      <c r="I164" s="1" t="s">
        <v>66</v>
      </c>
      <c r="J164" s="1" t="s">
        <v>14</v>
      </c>
    </row>
    <row r="165" spans="2:10" x14ac:dyDescent="0.3">
      <c r="B165" s="1" t="s">
        <v>371</v>
      </c>
      <c r="C165" s="1" t="s">
        <v>28</v>
      </c>
      <c r="D165" s="2" t="s">
        <v>242</v>
      </c>
      <c r="E165" s="2" t="s">
        <v>242</v>
      </c>
      <c r="F165" s="2" t="s">
        <v>11</v>
      </c>
      <c r="G165" s="3" t="s">
        <v>401</v>
      </c>
      <c r="H165" s="1" t="s">
        <v>12</v>
      </c>
      <c r="I165" s="1" t="s">
        <v>65</v>
      </c>
      <c r="J165" s="1" t="s">
        <v>14</v>
      </c>
    </row>
    <row r="166" spans="2:10" x14ac:dyDescent="0.3">
      <c r="B166" s="1" t="s">
        <v>402</v>
      </c>
      <c r="C166" s="1" t="s">
        <v>33</v>
      </c>
      <c r="D166" s="2" t="s">
        <v>403</v>
      </c>
      <c r="E166" s="2" t="s">
        <v>403</v>
      </c>
      <c r="F166" s="2" t="s">
        <v>11</v>
      </c>
      <c r="G166" s="3" t="s">
        <v>404</v>
      </c>
      <c r="H166" s="1" t="s">
        <v>12</v>
      </c>
      <c r="I166" s="1" t="s">
        <v>62</v>
      </c>
      <c r="J166" s="1" t="s">
        <v>14</v>
      </c>
    </row>
    <row r="167" spans="2:10" x14ac:dyDescent="0.3">
      <c r="B167" s="1" t="s">
        <v>402</v>
      </c>
      <c r="C167" s="1" t="s">
        <v>36</v>
      </c>
      <c r="D167" s="2" t="s">
        <v>405</v>
      </c>
      <c r="E167" s="2" t="s">
        <v>405</v>
      </c>
      <c r="F167" s="2" t="s">
        <v>11</v>
      </c>
      <c r="G167" s="3" t="s">
        <v>406</v>
      </c>
      <c r="H167" s="1" t="s">
        <v>12</v>
      </c>
      <c r="I167" s="1" t="s">
        <v>42</v>
      </c>
      <c r="J167" s="1" t="s">
        <v>14</v>
      </c>
    </row>
    <row r="168" spans="2:10" x14ac:dyDescent="0.3">
      <c r="B168" s="1" t="s">
        <v>402</v>
      </c>
      <c r="C168" s="1" t="s">
        <v>19</v>
      </c>
      <c r="D168" s="2" t="s">
        <v>292</v>
      </c>
      <c r="E168" s="2" t="s">
        <v>292</v>
      </c>
      <c r="F168" s="2" t="s">
        <v>11</v>
      </c>
      <c r="G168" s="3" t="s">
        <v>407</v>
      </c>
      <c r="H168" s="1" t="s">
        <v>12</v>
      </c>
      <c r="I168" s="1" t="s">
        <v>77</v>
      </c>
      <c r="J168" s="1" t="s">
        <v>14</v>
      </c>
    </row>
    <row r="169" spans="2:10" x14ac:dyDescent="0.3">
      <c r="B169" s="1" t="s">
        <v>402</v>
      </c>
      <c r="C169" s="1" t="s">
        <v>43</v>
      </c>
      <c r="D169" s="2" t="s">
        <v>286</v>
      </c>
      <c r="E169" s="2" t="s">
        <v>286</v>
      </c>
      <c r="F169" s="2" t="s">
        <v>11</v>
      </c>
      <c r="G169" s="3" t="s">
        <v>408</v>
      </c>
      <c r="H169" s="1" t="s">
        <v>12</v>
      </c>
      <c r="I169" s="1" t="s">
        <v>84</v>
      </c>
      <c r="J169" s="1" t="s">
        <v>14</v>
      </c>
    </row>
    <row r="170" spans="2:10" x14ac:dyDescent="0.3">
      <c r="B170" s="1" t="s">
        <v>402</v>
      </c>
      <c r="C170" s="1" t="s">
        <v>10</v>
      </c>
      <c r="D170" s="2" t="s">
        <v>409</v>
      </c>
      <c r="E170" s="2" t="s">
        <v>409</v>
      </c>
      <c r="F170" s="2" t="s">
        <v>11</v>
      </c>
      <c r="G170" s="3" t="s">
        <v>410</v>
      </c>
      <c r="H170" s="1" t="s">
        <v>12</v>
      </c>
      <c r="I170" s="1" t="s">
        <v>27</v>
      </c>
      <c r="J170" s="1" t="s">
        <v>14</v>
      </c>
    </row>
    <row r="171" spans="2:10" x14ac:dyDescent="0.3">
      <c r="B171" s="1" t="s">
        <v>402</v>
      </c>
      <c r="C171" s="1" t="s">
        <v>41</v>
      </c>
      <c r="D171" s="2" t="s">
        <v>274</v>
      </c>
      <c r="E171" s="2" t="s">
        <v>274</v>
      </c>
      <c r="F171" s="2" t="s">
        <v>11</v>
      </c>
      <c r="G171" s="3" t="s">
        <v>411</v>
      </c>
      <c r="H171" s="1" t="s">
        <v>12</v>
      </c>
      <c r="I171" s="1" t="s">
        <v>85</v>
      </c>
      <c r="J171" s="1" t="s">
        <v>14</v>
      </c>
    </row>
    <row r="172" spans="2:10" x14ac:dyDescent="0.3">
      <c r="B172" s="1" t="s">
        <v>402</v>
      </c>
      <c r="C172" s="1" t="s">
        <v>17</v>
      </c>
      <c r="D172" s="2" t="s">
        <v>361</v>
      </c>
      <c r="E172" s="2" t="s">
        <v>361</v>
      </c>
      <c r="F172" s="2" t="s">
        <v>11</v>
      </c>
      <c r="G172" s="3" t="s">
        <v>412</v>
      </c>
      <c r="H172" s="1" t="s">
        <v>12</v>
      </c>
      <c r="I172" s="1" t="s">
        <v>18</v>
      </c>
      <c r="J172" s="1" t="s">
        <v>14</v>
      </c>
    </row>
    <row r="173" spans="2:10" x14ac:dyDescent="0.3">
      <c r="B173" s="1" t="s">
        <v>402</v>
      </c>
      <c r="C173" s="1" t="s">
        <v>28</v>
      </c>
      <c r="D173" s="2" t="s">
        <v>413</v>
      </c>
      <c r="E173" s="2" t="s">
        <v>413</v>
      </c>
      <c r="F173" s="2" t="s">
        <v>11</v>
      </c>
      <c r="G173" s="3" t="s">
        <v>414</v>
      </c>
      <c r="H173" s="1" t="s">
        <v>12</v>
      </c>
      <c r="I173" s="1" t="s">
        <v>76</v>
      </c>
      <c r="J173" s="1" t="s">
        <v>14</v>
      </c>
    </row>
    <row r="174" spans="2:10" x14ac:dyDescent="0.3">
      <c r="B174" s="1" t="s">
        <v>402</v>
      </c>
      <c r="C174" s="1" t="s">
        <v>26</v>
      </c>
      <c r="D174" s="2" t="s">
        <v>361</v>
      </c>
      <c r="E174" s="2" t="s">
        <v>361</v>
      </c>
      <c r="F174" s="2" t="s">
        <v>11</v>
      </c>
      <c r="G174" s="3" t="s">
        <v>415</v>
      </c>
      <c r="H174" s="1" t="s">
        <v>12</v>
      </c>
      <c r="I174" s="1" t="s">
        <v>51</v>
      </c>
      <c r="J174" s="1" t="s">
        <v>14</v>
      </c>
    </row>
    <row r="175" spans="2:10" x14ac:dyDescent="0.3">
      <c r="B175" s="1" t="s">
        <v>402</v>
      </c>
      <c r="C175" s="1" t="s">
        <v>39</v>
      </c>
      <c r="D175" s="2" t="s">
        <v>416</v>
      </c>
      <c r="E175" s="2" t="s">
        <v>416</v>
      </c>
      <c r="F175" s="2" t="s">
        <v>11</v>
      </c>
      <c r="G175" s="3" t="s">
        <v>417</v>
      </c>
      <c r="H175" s="1" t="s">
        <v>12</v>
      </c>
      <c r="I175" s="1" t="s">
        <v>42</v>
      </c>
      <c r="J175" s="1" t="s">
        <v>14</v>
      </c>
    </row>
    <row r="176" spans="2:10" x14ac:dyDescent="0.3">
      <c r="B176" s="1" t="s">
        <v>402</v>
      </c>
      <c r="C176" s="1" t="s">
        <v>31</v>
      </c>
      <c r="D176" s="2" t="s">
        <v>418</v>
      </c>
      <c r="E176" s="2" t="s">
        <v>418</v>
      </c>
      <c r="F176" s="2" t="s">
        <v>11</v>
      </c>
      <c r="G176" s="3" t="s">
        <v>86</v>
      </c>
      <c r="H176" s="1" t="s">
        <v>12</v>
      </c>
      <c r="I176" s="1" t="s">
        <v>58</v>
      </c>
      <c r="J176" s="1" t="s">
        <v>14</v>
      </c>
    </row>
    <row r="177" spans="2:10" x14ac:dyDescent="0.3">
      <c r="B177" s="1" t="s">
        <v>402</v>
      </c>
      <c r="C177" s="1" t="s">
        <v>15</v>
      </c>
      <c r="D177" s="2" t="s">
        <v>416</v>
      </c>
      <c r="E177" s="2" t="s">
        <v>416</v>
      </c>
      <c r="F177" s="2" t="s">
        <v>11</v>
      </c>
      <c r="G177" s="3" t="s">
        <v>419</v>
      </c>
      <c r="H177" s="1" t="s">
        <v>12</v>
      </c>
      <c r="I177" s="1" t="s">
        <v>64</v>
      </c>
      <c r="J177" s="1" t="s">
        <v>14</v>
      </c>
    </row>
    <row r="178" spans="2:10" x14ac:dyDescent="0.3">
      <c r="B178" s="1" t="s">
        <v>402</v>
      </c>
      <c r="C178" s="1" t="s">
        <v>24</v>
      </c>
      <c r="D178" s="2" t="s">
        <v>420</v>
      </c>
      <c r="E178" s="2" t="s">
        <v>420</v>
      </c>
      <c r="F178" s="2" t="s">
        <v>11</v>
      </c>
      <c r="G178" s="3" t="s">
        <v>421</v>
      </c>
      <c r="H178" s="1" t="s">
        <v>12</v>
      </c>
      <c r="I178" s="1" t="s">
        <v>13</v>
      </c>
      <c r="J178" s="1" t="s">
        <v>14</v>
      </c>
    </row>
    <row r="179" spans="2:10" x14ac:dyDescent="0.3">
      <c r="B179" s="1" t="s">
        <v>402</v>
      </c>
      <c r="C179" s="1" t="s">
        <v>35</v>
      </c>
      <c r="D179" s="2" t="s">
        <v>274</v>
      </c>
      <c r="E179" s="2" t="s">
        <v>274</v>
      </c>
      <c r="F179" s="2" t="s">
        <v>11</v>
      </c>
      <c r="G179" s="3" t="s">
        <v>422</v>
      </c>
      <c r="H179" s="1" t="s">
        <v>12</v>
      </c>
      <c r="I179" s="1" t="s">
        <v>48</v>
      </c>
      <c r="J179" s="1" t="s">
        <v>14</v>
      </c>
    </row>
    <row r="180" spans="2:10" x14ac:dyDescent="0.3">
      <c r="B180" s="1" t="s">
        <v>402</v>
      </c>
      <c r="C180" s="1" t="s">
        <v>38</v>
      </c>
      <c r="D180" s="2" t="s">
        <v>423</v>
      </c>
      <c r="E180" s="2" t="s">
        <v>424</v>
      </c>
      <c r="F180" s="2" t="s">
        <v>11</v>
      </c>
      <c r="G180" s="3" t="s">
        <v>425</v>
      </c>
      <c r="H180" s="1" t="s">
        <v>12</v>
      </c>
      <c r="I180" s="1" t="s">
        <v>46</v>
      </c>
      <c r="J180" s="1" t="s">
        <v>52</v>
      </c>
    </row>
    <row r="181" spans="2:10" x14ac:dyDescent="0.3">
      <c r="B181" s="1" t="s">
        <v>402</v>
      </c>
      <c r="C181" s="1" t="s">
        <v>46</v>
      </c>
      <c r="D181" s="2" t="s">
        <v>416</v>
      </c>
      <c r="E181" s="2" t="s">
        <v>416</v>
      </c>
      <c r="F181" s="2" t="s">
        <v>11</v>
      </c>
      <c r="G181" s="3" t="s">
        <v>426</v>
      </c>
      <c r="H181" s="1" t="s">
        <v>12</v>
      </c>
      <c r="I181" s="1" t="s">
        <v>56</v>
      </c>
      <c r="J181" s="1" t="s">
        <v>14</v>
      </c>
    </row>
    <row r="182" spans="2:10" x14ac:dyDescent="0.3">
      <c r="B182" s="1" t="s">
        <v>402</v>
      </c>
      <c r="C182" s="1" t="s">
        <v>21</v>
      </c>
      <c r="D182" s="2" t="s">
        <v>286</v>
      </c>
      <c r="E182" s="2" t="s">
        <v>286</v>
      </c>
      <c r="F182" s="2" t="s">
        <v>11</v>
      </c>
      <c r="G182" s="3" t="s">
        <v>427</v>
      </c>
      <c r="H182" s="1" t="s">
        <v>12</v>
      </c>
      <c r="I182" s="1" t="s">
        <v>69</v>
      </c>
      <c r="J182" s="1" t="s">
        <v>14</v>
      </c>
    </row>
    <row r="183" spans="2:10" x14ac:dyDescent="0.3">
      <c r="B183" s="1" t="s">
        <v>402</v>
      </c>
      <c r="C183" s="1" t="s">
        <v>23</v>
      </c>
      <c r="D183" s="2" t="s">
        <v>405</v>
      </c>
      <c r="E183" s="2" t="s">
        <v>405</v>
      </c>
      <c r="F183" s="2" t="s">
        <v>11</v>
      </c>
      <c r="G183" s="3" t="s">
        <v>428</v>
      </c>
      <c r="H183" s="1" t="s">
        <v>12</v>
      </c>
      <c r="I183" s="1" t="s">
        <v>87</v>
      </c>
      <c r="J183" s="1" t="s">
        <v>14</v>
      </c>
    </row>
    <row r="184" spans="2:10" x14ac:dyDescent="0.3">
      <c r="B184" s="1" t="s">
        <v>402</v>
      </c>
      <c r="C184" s="1" t="s">
        <v>45</v>
      </c>
      <c r="D184" s="2" t="s">
        <v>429</v>
      </c>
      <c r="E184" s="2" t="s">
        <v>282</v>
      </c>
      <c r="F184" s="2" t="s">
        <v>11</v>
      </c>
      <c r="G184" s="3" t="s">
        <v>430</v>
      </c>
      <c r="H184" s="1" t="s">
        <v>12</v>
      </c>
      <c r="I184" s="1" t="s">
        <v>10</v>
      </c>
      <c r="J184" s="1" t="s">
        <v>52</v>
      </c>
    </row>
    <row r="185" spans="2:10" x14ac:dyDescent="0.3">
      <c r="B185" s="1" t="s">
        <v>402</v>
      </c>
      <c r="C185" s="1" t="s">
        <v>29</v>
      </c>
      <c r="D185" s="2" t="s">
        <v>416</v>
      </c>
      <c r="E185" s="2" t="s">
        <v>416</v>
      </c>
      <c r="F185" s="2" t="s">
        <v>11</v>
      </c>
      <c r="G185" s="3" t="s">
        <v>431</v>
      </c>
      <c r="H185" s="1" t="s">
        <v>12</v>
      </c>
      <c r="I185" s="1" t="s">
        <v>13</v>
      </c>
      <c r="J185" s="1" t="s">
        <v>14</v>
      </c>
    </row>
    <row r="186" spans="2:10" x14ac:dyDescent="0.3">
      <c r="B186" s="1" t="s">
        <v>432</v>
      </c>
      <c r="C186" s="1" t="s">
        <v>35</v>
      </c>
      <c r="D186" s="2" t="s">
        <v>433</v>
      </c>
      <c r="E186" s="2" t="s">
        <v>433</v>
      </c>
      <c r="F186" s="2" t="s">
        <v>11</v>
      </c>
      <c r="G186" s="3" t="s">
        <v>434</v>
      </c>
      <c r="H186" s="1" t="s">
        <v>12</v>
      </c>
      <c r="I186" s="1" t="s">
        <v>34</v>
      </c>
      <c r="J186" s="1" t="s">
        <v>14</v>
      </c>
    </row>
    <row r="187" spans="2:10" x14ac:dyDescent="0.3">
      <c r="B187" s="1" t="s">
        <v>432</v>
      </c>
      <c r="C187" s="1" t="s">
        <v>17</v>
      </c>
      <c r="D187" s="2" t="s">
        <v>433</v>
      </c>
      <c r="E187" s="2" t="s">
        <v>433</v>
      </c>
      <c r="F187" s="2" t="s">
        <v>11</v>
      </c>
      <c r="G187" s="3" t="s">
        <v>435</v>
      </c>
      <c r="H187" s="1" t="s">
        <v>12</v>
      </c>
      <c r="I187" s="1" t="s">
        <v>64</v>
      </c>
      <c r="J187" s="1" t="s">
        <v>14</v>
      </c>
    </row>
    <row r="188" spans="2:10" x14ac:dyDescent="0.3">
      <c r="B188" s="1" t="s">
        <v>432</v>
      </c>
      <c r="C188" s="1" t="s">
        <v>31</v>
      </c>
      <c r="D188" s="2" t="s">
        <v>433</v>
      </c>
      <c r="E188" s="2" t="s">
        <v>433</v>
      </c>
      <c r="F188" s="2" t="s">
        <v>11</v>
      </c>
      <c r="G188" s="3" t="s">
        <v>436</v>
      </c>
      <c r="H188" s="1" t="s">
        <v>12</v>
      </c>
      <c r="I188" s="1" t="s">
        <v>62</v>
      </c>
      <c r="J188" s="1" t="s">
        <v>14</v>
      </c>
    </row>
    <row r="189" spans="2:10" x14ac:dyDescent="0.3">
      <c r="B189" s="1" t="s">
        <v>432</v>
      </c>
      <c r="C189" s="1" t="s">
        <v>45</v>
      </c>
      <c r="D189" s="2" t="s">
        <v>251</v>
      </c>
      <c r="E189" s="2" t="s">
        <v>251</v>
      </c>
      <c r="F189" s="2" t="s">
        <v>11</v>
      </c>
      <c r="G189" s="3" t="s">
        <v>437</v>
      </c>
      <c r="H189" s="1" t="s">
        <v>12</v>
      </c>
      <c r="I189" s="1" t="s">
        <v>53</v>
      </c>
      <c r="J189" s="1" t="s">
        <v>14</v>
      </c>
    </row>
    <row r="190" spans="2:10" x14ac:dyDescent="0.3">
      <c r="B190" s="1" t="s">
        <v>432</v>
      </c>
      <c r="C190" s="1" t="s">
        <v>24</v>
      </c>
      <c r="D190" s="2" t="s">
        <v>438</v>
      </c>
      <c r="E190" s="2" t="s">
        <v>438</v>
      </c>
      <c r="F190" s="2" t="s">
        <v>11</v>
      </c>
      <c r="G190" s="3" t="s">
        <v>88</v>
      </c>
      <c r="H190" s="1" t="s">
        <v>12</v>
      </c>
      <c r="I190" s="1" t="s">
        <v>30</v>
      </c>
      <c r="J190" s="1" t="s">
        <v>14</v>
      </c>
    </row>
    <row r="191" spans="2:10" x14ac:dyDescent="0.3">
      <c r="B191" s="1" t="s">
        <v>432</v>
      </c>
      <c r="C191" s="1" t="s">
        <v>46</v>
      </c>
      <c r="D191" s="2" t="s">
        <v>439</v>
      </c>
      <c r="E191" s="2" t="s">
        <v>439</v>
      </c>
      <c r="F191" s="2" t="s">
        <v>11</v>
      </c>
      <c r="G191" s="3" t="s">
        <v>440</v>
      </c>
      <c r="H191" s="1" t="s">
        <v>12</v>
      </c>
      <c r="I191" s="1" t="s">
        <v>34</v>
      </c>
      <c r="J191" s="1" t="s">
        <v>14</v>
      </c>
    </row>
    <row r="192" spans="2:10" x14ac:dyDescent="0.3">
      <c r="B192" s="1" t="s">
        <v>432</v>
      </c>
      <c r="C192" s="1" t="s">
        <v>28</v>
      </c>
      <c r="D192" s="2" t="s">
        <v>185</v>
      </c>
      <c r="E192" s="2" t="s">
        <v>185</v>
      </c>
      <c r="F192" s="2" t="s">
        <v>11</v>
      </c>
      <c r="G192" s="3" t="s">
        <v>441</v>
      </c>
      <c r="H192" s="1" t="s">
        <v>12</v>
      </c>
      <c r="I192" s="1" t="s">
        <v>66</v>
      </c>
      <c r="J192" s="1" t="s">
        <v>14</v>
      </c>
    </row>
    <row r="193" spans="2:10" x14ac:dyDescent="0.3">
      <c r="B193" s="1" t="s">
        <v>432</v>
      </c>
      <c r="C193" s="1" t="s">
        <v>21</v>
      </c>
      <c r="D193" s="2" t="s">
        <v>251</v>
      </c>
      <c r="E193" s="2" t="s">
        <v>251</v>
      </c>
      <c r="F193" s="2" t="s">
        <v>11</v>
      </c>
      <c r="G193" s="3" t="s">
        <v>442</v>
      </c>
      <c r="H193" s="1" t="s">
        <v>12</v>
      </c>
      <c r="I193" s="1" t="s">
        <v>13</v>
      </c>
      <c r="J193" s="1" t="s">
        <v>14</v>
      </c>
    </row>
    <row r="194" spans="2:10" x14ac:dyDescent="0.3">
      <c r="B194" s="1" t="s">
        <v>432</v>
      </c>
      <c r="C194" s="1" t="s">
        <v>41</v>
      </c>
      <c r="D194" s="2" t="s">
        <v>443</v>
      </c>
      <c r="E194" s="2" t="s">
        <v>443</v>
      </c>
      <c r="F194" s="2" t="s">
        <v>11</v>
      </c>
      <c r="G194" s="3" t="s">
        <v>444</v>
      </c>
      <c r="H194" s="1" t="s">
        <v>12</v>
      </c>
      <c r="I194" s="1" t="s">
        <v>62</v>
      </c>
      <c r="J194" s="1" t="s">
        <v>14</v>
      </c>
    </row>
    <row r="195" spans="2:10" x14ac:dyDescent="0.3">
      <c r="B195" s="1" t="s">
        <v>432</v>
      </c>
      <c r="C195" s="1" t="s">
        <v>38</v>
      </c>
      <c r="D195" s="2" t="s">
        <v>443</v>
      </c>
      <c r="E195" s="2" t="s">
        <v>443</v>
      </c>
      <c r="F195" s="2" t="s">
        <v>11</v>
      </c>
      <c r="G195" s="3" t="s">
        <v>445</v>
      </c>
      <c r="H195" s="1" t="s">
        <v>12</v>
      </c>
      <c r="I195" s="1" t="s">
        <v>56</v>
      </c>
      <c r="J195" s="1" t="s">
        <v>14</v>
      </c>
    </row>
    <row r="196" spans="2:10" x14ac:dyDescent="0.3">
      <c r="B196" s="1" t="s">
        <v>432</v>
      </c>
      <c r="C196" s="1" t="s">
        <v>26</v>
      </c>
      <c r="D196" s="2" t="s">
        <v>251</v>
      </c>
      <c r="E196" s="2" t="s">
        <v>251</v>
      </c>
      <c r="F196" s="2" t="s">
        <v>11</v>
      </c>
      <c r="G196" s="3" t="s">
        <v>446</v>
      </c>
      <c r="H196" s="1" t="s">
        <v>12</v>
      </c>
      <c r="I196" s="1" t="s">
        <v>51</v>
      </c>
      <c r="J196" s="1" t="s">
        <v>14</v>
      </c>
    </row>
    <row r="197" spans="2:10" x14ac:dyDescent="0.3">
      <c r="B197" s="1" t="s">
        <v>432</v>
      </c>
      <c r="C197" s="1" t="s">
        <v>33</v>
      </c>
      <c r="D197" s="2" t="s">
        <v>251</v>
      </c>
      <c r="E197" s="2" t="s">
        <v>251</v>
      </c>
      <c r="F197" s="2" t="s">
        <v>11</v>
      </c>
      <c r="G197" s="3" t="s">
        <v>447</v>
      </c>
      <c r="H197" s="1" t="s">
        <v>12</v>
      </c>
      <c r="I197" s="1" t="s">
        <v>13</v>
      </c>
      <c r="J197" s="1" t="s">
        <v>14</v>
      </c>
    </row>
    <row r="198" spans="2:10" x14ac:dyDescent="0.3">
      <c r="B198" s="1" t="s">
        <v>432</v>
      </c>
      <c r="C198" s="1" t="s">
        <v>39</v>
      </c>
      <c r="D198" s="2" t="s">
        <v>448</v>
      </c>
      <c r="E198" s="2" t="s">
        <v>448</v>
      </c>
      <c r="F198" s="2" t="s">
        <v>11</v>
      </c>
      <c r="G198" s="3" t="s">
        <v>449</v>
      </c>
      <c r="H198" s="1" t="s">
        <v>12</v>
      </c>
      <c r="I198" s="1" t="s">
        <v>30</v>
      </c>
      <c r="J198" s="1" t="s">
        <v>14</v>
      </c>
    </row>
    <row r="199" spans="2:10" x14ac:dyDescent="0.3">
      <c r="B199" s="1" t="s">
        <v>432</v>
      </c>
      <c r="C199" s="1" t="s">
        <v>29</v>
      </c>
      <c r="D199" s="2" t="s">
        <v>439</v>
      </c>
      <c r="E199" s="2" t="s">
        <v>439</v>
      </c>
      <c r="F199" s="2" t="s">
        <v>11</v>
      </c>
      <c r="G199" s="3" t="s">
        <v>450</v>
      </c>
      <c r="H199" s="1" t="s">
        <v>12</v>
      </c>
      <c r="I199" s="1" t="s">
        <v>76</v>
      </c>
      <c r="J199" s="1" t="s">
        <v>14</v>
      </c>
    </row>
    <row r="200" spans="2:10" x14ac:dyDescent="0.3">
      <c r="B200" s="1" t="s">
        <v>432</v>
      </c>
      <c r="C200" s="1" t="s">
        <v>43</v>
      </c>
      <c r="D200" s="2" t="s">
        <v>443</v>
      </c>
      <c r="E200" s="2" t="s">
        <v>443</v>
      </c>
      <c r="F200" s="2" t="s">
        <v>11</v>
      </c>
      <c r="G200" s="3" t="s">
        <v>451</v>
      </c>
      <c r="H200" s="1" t="s">
        <v>12</v>
      </c>
      <c r="I200" s="1" t="s">
        <v>22</v>
      </c>
      <c r="J200" s="1" t="s">
        <v>14</v>
      </c>
    </row>
    <row r="201" spans="2:10" x14ac:dyDescent="0.3">
      <c r="B201" s="1" t="s">
        <v>432</v>
      </c>
      <c r="C201" s="1" t="s">
        <v>36</v>
      </c>
      <c r="D201" s="2" t="s">
        <v>452</v>
      </c>
      <c r="E201" s="2" t="s">
        <v>453</v>
      </c>
      <c r="F201" s="2" t="s">
        <v>11</v>
      </c>
      <c r="G201" s="3" t="s">
        <v>454</v>
      </c>
      <c r="H201" s="1" t="s">
        <v>12</v>
      </c>
      <c r="I201" s="1" t="s">
        <v>63</v>
      </c>
      <c r="J201" s="1" t="s">
        <v>52</v>
      </c>
    </row>
    <row r="202" spans="2:10" x14ac:dyDescent="0.3">
      <c r="B202" s="1" t="s">
        <v>432</v>
      </c>
      <c r="C202" s="1" t="s">
        <v>23</v>
      </c>
      <c r="D202" s="2" t="s">
        <v>455</v>
      </c>
      <c r="E202" s="2" t="s">
        <v>455</v>
      </c>
      <c r="F202" s="2" t="s">
        <v>11</v>
      </c>
      <c r="G202" s="3" t="s">
        <v>456</v>
      </c>
      <c r="H202" s="1" t="s">
        <v>12</v>
      </c>
      <c r="I202" s="1" t="s">
        <v>89</v>
      </c>
      <c r="J202" s="1" t="s">
        <v>14</v>
      </c>
    </row>
    <row r="203" spans="2:10" x14ac:dyDescent="0.3">
      <c r="B203" s="1" t="s">
        <v>432</v>
      </c>
      <c r="C203" s="1" t="s">
        <v>10</v>
      </c>
      <c r="D203" s="2" t="s">
        <v>433</v>
      </c>
      <c r="E203" s="2" t="s">
        <v>433</v>
      </c>
      <c r="F203" s="2" t="s">
        <v>11</v>
      </c>
      <c r="G203" s="3" t="s">
        <v>457</v>
      </c>
      <c r="H203" s="1" t="s">
        <v>12</v>
      </c>
      <c r="I203" s="1" t="s">
        <v>66</v>
      </c>
      <c r="J203" s="1" t="s">
        <v>14</v>
      </c>
    </row>
    <row r="204" spans="2:10" x14ac:dyDescent="0.3">
      <c r="B204" s="1" t="s">
        <v>432</v>
      </c>
      <c r="C204" s="1" t="s">
        <v>15</v>
      </c>
      <c r="D204" s="2" t="s">
        <v>458</v>
      </c>
      <c r="E204" s="2" t="s">
        <v>458</v>
      </c>
      <c r="F204" s="2" t="s">
        <v>11</v>
      </c>
      <c r="G204" s="3" t="s">
        <v>459</v>
      </c>
      <c r="H204" s="1" t="s">
        <v>12</v>
      </c>
      <c r="I204" s="1" t="s">
        <v>29</v>
      </c>
      <c r="J204" s="1" t="s">
        <v>14</v>
      </c>
    </row>
    <row r="205" spans="2:10" x14ac:dyDescent="0.3">
      <c r="B205" s="1" t="s">
        <v>432</v>
      </c>
      <c r="C205" s="1" t="s">
        <v>19</v>
      </c>
      <c r="D205" s="2" t="s">
        <v>443</v>
      </c>
      <c r="E205" s="2" t="s">
        <v>443</v>
      </c>
      <c r="F205" s="2" t="s">
        <v>11</v>
      </c>
      <c r="G205" s="3" t="s">
        <v>460</v>
      </c>
      <c r="H205" s="1" t="s">
        <v>12</v>
      </c>
      <c r="I205" s="1" t="s">
        <v>13</v>
      </c>
      <c r="J205" s="1" t="s">
        <v>14</v>
      </c>
    </row>
    <row r="206" spans="2:10" x14ac:dyDescent="0.3">
      <c r="B206" s="1" t="s">
        <v>461</v>
      </c>
      <c r="C206" s="1" t="s">
        <v>31</v>
      </c>
      <c r="D206" s="2" t="s">
        <v>462</v>
      </c>
      <c r="E206" s="2" t="s">
        <v>462</v>
      </c>
      <c r="F206" s="2" t="s">
        <v>11</v>
      </c>
      <c r="G206" s="3" t="s">
        <v>463</v>
      </c>
      <c r="H206" s="1" t="s">
        <v>12</v>
      </c>
      <c r="I206" s="1" t="s">
        <v>44</v>
      </c>
      <c r="J206" s="1" t="s">
        <v>14</v>
      </c>
    </row>
    <row r="207" spans="2:10" x14ac:dyDescent="0.3">
      <c r="B207" s="1" t="s">
        <v>461</v>
      </c>
      <c r="C207" s="1" t="s">
        <v>33</v>
      </c>
      <c r="D207" s="2" t="s">
        <v>464</v>
      </c>
      <c r="E207" s="2" t="s">
        <v>464</v>
      </c>
      <c r="F207" s="2" t="s">
        <v>11</v>
      </c>
      <c r="G207" s="3" t="s">
        <v>465</v>
      </c>
      <c r="H207" s="1" t="s">
        <v>12</v>
      </c>
      <c r="I207" s="1" t="s">
        <v>13</v>
      </c>
      <c r="J207" s="1" t="s">
        <v>14</v>
      </c>
    </row>
    <row r="208" spans="2:10" x14ac:dyDescent="0.3">
      <c r="B208" s="1" t="s">
        <v>461</v>
      </c>
      <c r="C208" s="1" t="s">
        <v>43</v>
      </c>
      <c r="D208" s="2" t="s">
        <v>462</v>
      </c>
      <c r="E208" s="2" t="s">
        <v>462</v>
      </c>
      <c r="F208" s="2" t="s">
        <v>11</v>
      </c>
      <c r="G208" s="3" t="s">
        <v>466</v>
      </c>
      <c r="H208" s="1" t="s">
        <v>12</v>
      </c>
      <c r="I208" s="1" t="s">
        <v>69</v>
      </c>
      <c r="J208" s="1" t="s">
        <v>14</v>
      </c>
    </row>
    <row r="209" spans="2:10" x14ac:dyDescent="0.3">
      <c r="B209" s="1" t="s">
        <v>461</v>
      </c>
      <c r="C209" s="1" t="s">
        <v>38</v>
      </c>
      <c r="D209" s="2" t="s">
        <v>467</v>
      </c>
      <c r="E209" s="2" t="s">
        <v>467</v>
      </c>
      <c r="F209" s="2" t="s">
        <v>11</v>
      </c>
      <c r="G209" s="3" t="s">
        <v>468</v>
      </c>
      <c r="H209" s="1" t="s">
        <v>12</v>
      </c>
      <c r="I209" s="1" t="s">
        <v>22</v>
      </c>
      <c r="J209" s="1" t="s">
        <v>14</v>
      </c>
    </row>
    <row r="210" spans="2:10" x14ac:dyDescent="0.3">
      <c r="B210" s="1" t="s">
        <v>461</v>
      </c>
      <c r="C210" s="1" t="s">
        <v>23</v>
      </c>
      <c r="D210" s="2" t="s">
        <v>462</v>
      </c>
      <c r="E210" s="2" t="s">
        <v>462</v>
      </c>
      <c r="F210" s="2" t="s">
        <v>11</v>
      </c>
      <c r="G210" s="3" t="s">
        <v>469</v>
      </c>
      <c r="H210" s="1" t="s">
        <v>12</v>
      </c>
      <c r="I210" s="1" t="s">
        <v>44</v>
      </c>
      <c r="J210" s="1" t="s">
        <v>14</v>
      </c>
    </row>
    <row r="211" spans="2:10" x14ac:dyDescent="0.3">
      <c r="B211" s="1" t="s">
        <v>461</v>
      </c>
      <c r="C211" s="1" t="s">
        <v>15</v>
      </c>
      <c r="D211" s="2" t="s">
        <v>462</v>
      </c>
      <c r="E211" s="2" t="s">
        <v>462</v>
      </c>
      <c r="F211" s="2" t="s">
        <v>11</v>
      </c>
      <c r="G211" s="3" t="s">
        <v>470</v>
      </c>
      <c r="H211" s="1" t="s">
        <v>12</v>
      </c>
      <c r="I211" s="1" t="s">
        <v>90</v>
      </c>
      <c r="J211" s="1" t="s">
        <v>14</v>
      </c>
    </row>
    <row r="212" spans="2:10" x14ac:dyDescent="0.3">
      <c r="B212" s="1" t="s">
        <v>461</v>
      </c>
      <c r="C212" s="1" t="s">
        <v>35</v>
      </c>
      <c r="D212" s="2" t="s">
        <v>467</v>
      </c>
      <c r="E212" s="2" t="s">
        <v>467</v>
      </c>
      <c r="F212" s="2" t="s">
        <v>11</v>
      </c>
      <c r="G212" s="3" t="s">
        <v>471</v>
      </c>
      <c r="H212" s="1" t="s">
        <v>12</v>
      </c>
      <c r="I212" s="1" t="s">
        <v>55</v>
      </c>
      <c r="J212" s="1" t="s">
        <v>14</v>
      </c>
    </row>
    <row r="213" spans="2:10" x14ac:dyDescent="0.3">
      <c r="B213" s="1" t="s">
        <v>461</v>
      </c>
      <c r="C213" s="1" t="s">
        <v>41</v>
      </c>
      <c r="D213" s="2" t="s">
        <v>467</v>
      </c>
      <c r="E213" s="2" t="s">
        <v>467</v>
      </c>
      <c r="F213" s="2" t="s">
        <v>11</v>
      </c>
      <c r="G213" s="3" t="s">
        <v>472</v>
      </c>
      <c r="H213" s="1" t="s">
        <v>12</v>
      </c>
      <c r="I213" s="1" t="s">
        <v>58</v>
      </c>
      <c r="J213" s="1" t="s">
        <v>14</v>
      </c>
    </row>
    <row r="214" spans="2:10" x14ac:dyDescent="0.3">
      <c r="B214" s="1" t="s">
        <v>461</v>
      </c>
      <c r="C214" s="1" t="s">
        <v>10</v>
      </c>
      <c r="D214" s="2" t="s">
        <v>467</v>
      </c>
      <c r="E214" s="2" t="s">
        <v>467</v>
      </c>
      <c r="F214" s="2" t="s">
        <v>11</v>
      </c>
      <c r="G214" s="3" t="s">
        <v>473</v>
      </c>
      <c r="H214" s="1" t="s">
        <v>12</v>
      </c>
      <c r="I214" s="1" t="s">
        <v>27</v>
      </c>
      <c r="J214" s="1" t="s">
        <v>14</v>
      </c>
    </row>
    <row r="215" spans="2:10" x14ac:dyDescent="0.3">
      <c r="B215" s="1" t="s">
        <v>461</v>
      </c>
      <c r="C215" s="1" t="s">
        <v>24</v>
      </c>
      <c r="D215" s="2" t="s">
        <v>467</v>
      </c>
      <c r="E215" s="2" t="s">
        <v>467</v>
      </c>
      <c r="F215" s="2" t="s">
        <v>11</v>
      </c>
      <c r="G215" s="3" t="s">
        <v>474</v>
      </c>
      <c r="H215" s="1" t="s">
        <v>12</v>
      </c>
      <c r="I215" s="1" t="s">
        <v>27</v>
      </c>
      <c r="J215" s="1" t="s">
        <v>14</v>
      </c>
    </row>
    <row r="216" spans="2:10" x14ac:dyDescent="0.3">
      <c r="B216" s="1" t="s">
        <v>461</v>
      </c>
      <c r="C216" s="1" t="s">
        <v>36</v>
      </c>
      <c r="D216" s="2" t="s">
        <v>475</v>
      </c>
      <c r="E216" s="2" t="s">
        <v>476</v>
      </c>
      <c r="F216" s="2" t="s">
        <v>11</v>
      </c>
      <c r="G216" s="3" t="s">
        <v>477</v>
      </c>
      <c r="H216" s="1" t="s">
        <v>12</v>
      </c>
      <c r="I216" s="1" t="s">
        <v>15</v>
      </c>
      <c r="J216" s="1" t="s">
        <v>52</v>
      </c>
    </row>
    <row r="217" spans="2:10" x14ac:dyDescent="0.3">
      <c r="B217" s="1" t="s">
        <v>461</v>
      </c>
      <c r="C217" s="1" t="s">
        <v>21</v>
      </c>
      <c r="D217" s="2" t="s">
        <v>467</v>
      </c>
      <c r="E217" s="2" t="s">
        <v>467</v>
      </c>
      <c r="F217" s="2" t="s">
        <v>11</v>
      </c>
      <c r="G217" s="3" t="s">
        <v>478</v>
      </c>
      <c r="H217" s="1" t="s">
        <v>12</v>
      </c>
      <c r="I217" s="1" t="s">
        <v>70</v>
      </c>
      <c r="J217" s="1" t="s">
        <v>14</v>
      </c>
    </row>
    <row r="218" spans="2:10" x14ac:dyDescent="0.3">
      <c r="B218" s="1" t="s">
        <v>461</v>
      </c>
      <c r="C218" s="1" t="s">
        <v>26</v>
      </c>
      <c r="D218" s="2" t="s">
        <v>467</v>
      </c>
      <c r="E218" s="2" t="s">
        <v>467</v>
      </c>
      <c r="F218" s="2" t="s">
        <v>11</v>
      </c>
      <c r="G218" s="3" t="s">
        <v>479</v>
      </c>
      <c r="H218" s="1" t="s">
        <v>12</v>
      </c>
      <c r="I218" s="1" t="s">
        <v>32</v>
      </c>
      <c r="J218" s="1" t="s">
        <v>14</v>
      </c>
    </row>
    <row r="219" spans="2:10" x14ac:dyDescent="0.3">
      <c r="B219" s="1" t="s">
        <v>461</v>
      </c>
      <c r="C219" s="1" t="s">
        <v>46</v>
      </c>
      <c r="D219" s="2" t="s">
        <v>462</v>
      </c>
      <c r="E219" s="2" t="s">
        <v>462</v>
      </c>
      <c r="F219" s="2" t="s">
        <v>11</v>
      </c>
      <c r="G219" s="3" t="s">
        <v>480</v>
      </c>
      <c r="H219" s="1" t="s">
        <v>12</v>
      </c>
      <c r="I219" s="1" t="s">
        <v>51</v>
      </c>
      <c r="J219" s="1" t="s">
        <v>14</v>
      </c>
    </row>
    <row r="220" spans="2:10" x14ac:dyDescent="0.3">
      <c r="B220" s="1" t="s">
        <v>461</v>
      </c>
      <c r="C220" s="1" t="s">
        <v>19</v>
      </c>
      <c r="D220" s="2" t="s">
        <v>462</v>
      </c>
      <c r="E220" s="2" t="s">
        <v>462</v>
      </c>
      <c r="F220" s="2" t="s">
        <v>11</v>
      </c>
      <c r="G220" s="3" t="s">
        <v>481</v>
      </c>
      <c r="H220" s="1" t="s">
        <v>12</v>
      </c>
      <c r="I220" s="1" t="s">
        <v>44</v>
      </c>
      <c r="J220" s="1" t="s">
        <v>14</v>
      </c>
    </row>
    <row r="221" spans="2:10" x14ac:dyDescent="0.3">
      <c r="B221" s="1" t="s">
        <v>461</v>
      </c>
      <c r="C221" s="1" t="s">
        <v>28</v>
      </c>
      <c r="D221" s="2" t="s">
        <v>462</v>
      </c>
      <c r="E221" s="2" t="s">
        <v>462</v>
      </c>
      <c r="F221" s="2" t="s">
        <v>11</v>
      </c>
      <c r="G221" s="3" t="s">
        <v>482</v>
      </c>
      <c r="H221" s="1" t="s">
        <v>12</v>
      </c>
      <c r="I221" s="1" t="s">
        <v>91</v>
      </c>
      <c r="J221" s="1" t="s">
        <v>14</v>
      </c>
    </row>
    <row r="222" spans="2:10" x14ac:dyDescent="0.3">
      <c r="B222" s="1" t="s">
        <v>461</v>
      </c>
      <c r="C222" s="1" t="s">
        <v>29</v>
      </c>
      <c r="D222" s="2" t="s">
        <v>483</v>
      </c>
      <c r="E222" s="2" t="s">
        <v>483</v>
      </c>
      <c r="F222" s="2" t="s">
        <v>11</v>
      </c>
      <c r="G222" s="3" t="s">
        <v>484</v>
      </c>
      <c r="H222" s="1" t="s">
        <v>12</v>
      </c>
      <c r="I222" s="1" t="s">
        <v>27</v>
      </c>
      <c r="J222" s="1" t="s">
        <v>14</v>
      </c>
    </row>
    <row r="223" spans="2:10" x14ac:dyDescent="0.3">
      <c r="B223" s="1" t="s">
        <v>461</v>
      </c>
      <c r="C223" s="1" t="s">
        <v>17</v>
      </c>
      <c r="D223" s="2" t="s">
        <v>464</v>
      </c>
      <c r="E223" s="2" t="s">
        <v>464</v>
      </c>
      <c r="F223" s="2" t="s">
        <v>11</v>
      </c>
      <c r="G223" s="3" t="s">
        <v>485</v>
      </c>
      <c r="H223" s="1" t="s">
        <v>12</v>
      </c>
      <c r="I223" s="1" t="s">
        <v>50</v>
      </c>
      <c r="J223" s="1" t="s">
        <v>14</v>
      </c>
    </row>
    <row r="224" spans="2:10" x14ac:dyDescent="0.3">
      <c r="B224" s="1" t="s">
        <v>461</v>
      </c>
      <c r="C224" s="1" t="s">
        <v>39</v>
      </c>
      <c r="D224" s="2" t="s">
        <v>462</v>
      </c>
      <c r="E224" s="2" t="s">
        <v>462</v>
      </c>
      <c r="F224" s="2" t="s">
        <v>11</v>
      </c>
      <c r="G224" s="3" t="s">
        <v>486</v>
      </c>
      <c r="H224" s="1" t="s">
        <v>12</v>
      </c>
      <c r="I224" s="1" t="s">
        <v>64</v>
      </c>
      <c r="J224" s="1" t="s">
        <v>14</v>
      </c>
    </row>
    <row r="225" spans="2:10" x14ac:dyDescent="0.3">
      <c r="B225" s="1" t="s">
        <v>461</v>
      </c>
      <c r="C225" s="1" t="s">
        <v>45</v>
      </c>
      <c r="D225" s="2" t="s">
        <v>462</v>
      </c>
      <c r="E225" s="2" t="s">
        <v>462</v>
      </c>
      <c r="F225" s="2" t="s">
        <v>11</v>
      </c>
      <c r="G225" s="3" t="s">
        <v>487</v>
      </c>
      <c r="H225" s="1" t="s">
        <v>12</v>
      </c>
      <c r="I225" s="1" t="s">
        <v>27</v>
      </c>
      <c r="J225" s="1" t="s">
        <v>14</v>
      </c>
    </row>
    <row r="226" spans="2:10" x14ac:dyDescent="0.3">
      <c r="B226" s="1" t="s">
        <v>488</v>
      </c>
      <c r="C226" s="1" t="s">
        <v>19</v>
      </c>
      <c r="D226" s="2" t="s">
        <v>489</v>
      </c>
      <c r="E226" s="2" t="s">
        <v>489</v>
      </c>
      <c r="F226" s="2" t="s">
        <v>11</v>
      </c>
      <c r="G226" s="3" t="s">
        <v>490</v>
      </c>
      <c r="H226" s="1" t="s">
        <v>12</v>
      </c>
      <c r="I226" s="1" t="s">
        <v>34</v>
      </c>
      <c r="J226" s="1" t="s">
        <v>14</v>
      </c>
    </row>
    <row r="227" spans="2:10" x14ac:dyDescent="0.3">
      <c r="B227" s="1" t="s">
        <v>488</v>
      </c>
      <c r="C227" s="1" t="s">
        <v>21</v>
      </c>
      <c r="D227" s="2" t="s">
        <v>489</v>
      </c>
      <c r="E227" s="2" t="s">
        <v>489</v>
      </c>
      <c r="F227" s="2" t="s">
        <v>11</v>
      </c>
      <c r="G227" s="3" t="s">
        <v>92</v>
      </c>
      <c r="H227" s="1" t="s">
        <v>12</v>
      </c>
      <c r="I227" s="1" t="s">
        <v>64</v>
      </c>
      <c r="J227" s="1" t="s">
        <v>14</v>
      </c>
    </row>
    <row r="228" spans="2:10" x14ac:dyDescent="0.3">
      <c r="B228" s="1" t="s">
        <v>488</v>
      </c>
      <c r="C228" s="1" t="s">
        <v>24</v>
      </c>
      <c r="D228" s="2" t="s">
        <v>491</v>
      </c>
      <c r="E228" s="2" t="s">
        <v>491</v>
      </c>
      <c r="F228" s="2" t="s">
        <v>11</v>
      </c>
      <c r="G228" s="3" t="s">
        <v>492</v>
      </c>
      <c r="H228" s="1" t="s">
        <v>12</v>
      </c>
      <c r="I228" s="1" t="s">
        <v>49</v>
      </c>
      <c r="J228" s="1" t="s">
        <v>14</v>
      </c>
    </row>
    <row r="229" spans="2:10" x14ac:dyDescent="0.3">
      <c r="B229" s="1" t="s">
        <v>488</v>
      </c>
      <c r="C229" s="1" t="s">
        <v>41</v>
      </c>
      <c r="D229" s="2" t="s">
        <v>489</v>
      </c>
      <c r="E229" s="2" t="s">
        <v>489</v>
      </c>
      <c r="F229" s="2" t="s">
        <v>11</v>
      </c>
      <c r="G229" s="3" t="s">
        <v>493</v>
      </c>
      <c r="H229" s="1" t="s">
        <v>12</v>
      </c>
      <c r="I229" s="1" t="s">
        <v>42</v>
      </c>
      <c r="J229" s="1" t="s">
        <v>14</v>
      </c>
    </row>
    <row r="230" spans="2:10" x14ac:dyDescent="0.3">
      <c r="B230" s="1" t="s">
        <v>488</v>
      </c>
      <c r="C230" s="1" t="s">
        <v>38</v>
      </c>
      <c r="D230" s="2" t="s">
        <v>489</v>
      </c>
      <c r="E230" s="2" t="s">
        <v>489</v>
      </c>
      <c r="F230" s="2" t="s">
        <v>11</v>
      </c>
      <c r="G230" s="3" t="s">
        <v>494</v>
      </c>
      <c r="H230" s="1" t="s">
        <v>12</v>
      </c>
      <c r="I230" s="1" t="s">
        <v>58</v>
      </c>
      <c r="J230" s="1" t="s">
        <v>14</v>
      </c>
    </row>
    <row r="231" spans="2:10" x14ac:dyDescent="0.3">
      <c r="B231" s="1" t="s">
        <v>488</v>
      </c>
      <c r="C231" s="1" t="s">
        <v>28</v>
      </c>
      <c r="D231" s="2" t="s">
        <v>185</v>
      </c>
      <c r="E231" s="2" t="s">
        <v>495</v>
      </c>
      <c r="F231" s="2" t="s">
        <v>11</v>
      </c>
      <c r="G231" s="3" t="s">
        <v>496</v>
      </c>
      <c r="H231" s="1" t="s">
        <v>12</v>
      </c>
      <c r="I231" s="1" t="s">
        <v>15</v>
      </c>
      <c r="J231" s="1" t="s">
        <v>52</v>
      </c>
    </row>
    <row r="232" spans="2:10" x14ac:dyDescent="0.3">
      <c r="B232" s="1" t="s">
        <v>488</v>
      </c>
      <c r="C232" s="1" t="s">
        <v>43</v>
      </c>
      <c r="D232" s="2" t="s">
        <v>224</v>
      </c>
      <c r="E232" s="2" t="s">
        <v>224</v>
      </c>
      <c r="F232" s="2" t="s">
        <v>11</v>
      </c>
      <c r="G232" s="3" t="s">
        <v>497</v>
      </c>
      <c r="H232" s="1" t="s">
        <v>12</v>
      </c>
      <c r="I232" s="1" t="s">
        <v>47</v>
      </c>
      <c r="J232" s="1" t="s">
        <v>14</v>
      </c>
    </row>
    <row r="233" spans="2:10" x14ac:dyDescent="0.3">
      <c r="B233" s="1" t="s">
        <v>488</v>
      </c>
      <c r="C233" s="1" t="s">
        <v>35</v>
      </c>
      <c r="D233" s="2" t="s">
        <v>498</v>
      </c>
      <c r="E233" s="2" t="s">
        <v>499</v>
      </c>
      <c r="F233" s="2" t="s">
        <v>11</v>
      </c>
      <c r="G233" s="3" t="s">
        <v>500</v>
      </c>
      <c r="H233" s="1" t="s">
        <v>12</v>
      </c>
      <c r="I233" s="1" t="s">
        <v>10</v>
      </c>
      <c r="J233" s="1" t="s">
        <v>52</v>
      </c>
    </row>
    <row r="234" spans="2:10" x14ac:dyDescent="0.3">
      <c r="B234" s="1" t="s">
        <v>488</v>
      </c>
      <c r="C234" s="1" t="s">
        <v>23</v>
      </c>
      <c r="D234" s="2" t="s">
        <v>390</v>
      </c>
      <c r="E234" s="2" t="s">
        <v>390</v>
      </c>
      <c r="F234" s="2" t="s">
        <v>11</v>
      </c>
      <c r="G234" s="3" t="s">
        <v>501</v>
      </c>
      <c r="H234" s="1" t="s">
        <v>12</v>
      </c>
      <c r="I234" s="1" t="s">
        <v>22</v>
      </c>
      <c r="J234" s="1" t="s">
        <v>14</v>
      </c>
    </row>
    <row r="235" spans="2:10" x14ac:dyDescent="0.3">
      <c r="B235" s="1" t="s">
        <v>488</v>
      </c>
      <c r="C235" s="1" t="s">
        <v>26</v>
      </c>
      <c r="D235" s="2" t="s">
        <v>502</v>
      </c>
      <c r="E235" s="2" t="s">
        <v>502</v>
      </c>
      <c r="F235" s="2" t="s">
        <v>11</v>
      </c>
      <c r="G235" s="3" t="s">
        <v>503</v>
      </c>
      <c r="H235" s="1" t="s">
        <v>12</v>
      </c>
      <c r="I235" s="1" t="s">
        <v>93</v>
      </c>
      <c r="J235" s="1" t="s">
        <v>14</v>
      </c>
    </row>
    <row r="236" spans="2:10" x14ac:dyDescent="0.3">
      <c r="B236" s="1" t="s">
        <v>488</v>
      </c>
      <c r="C236" s="1" t="s">
        <v>10</v>
      </c>
      <c r="D236" s="2" t="s">
        <v>502</v>
      </c>
      <c r="E236" s="2" t="s">
        <v>502</v>
      </c>
      <c r="F236" s="2" t="s">
        <v>11</v>
      </c>
      <c r="G236" s="3" t="s">
        <v>504</v>
      </c>
      <c r="H236" s="1" t="s">
        <v>12</v>
      </c>
      <c r="I236" s="1" t="s">
        <v>93</v>
      </c>
      <c r="J236" s="1" t="s">
        <v>14</v>
      </c>
    </row>
    <row r="237" spans="2:10" x14ac:dyDescent="0.3">
      <c r="B237" s="1" t="s">
        <v>488</v>
      </c>
      <c r="C237" s="1" t="s">
        <v>17</v>
      </c>
      <c r="D237" s="2" t="s">
        <v>390</v>
      </c>
      <c r="E237" s="2" t="s">
        <v>390</v>
      </c>
      <c r="F237" s="2" t="s">
        <v>11</v>
      </c>
      <c r="G237" s="3" t="s">
        <v>505</v>
      </c>
      <c r="H237" s="1" t="s">
        <v>12</v>
      </c>
      <c r="I237" s="1" t="s">
        <v>20</v>
      </c>
      <c r="J237" s="1" t="s">
        <v>14</v>
      </c>
    </row>
    <row r="238" spans="2:10" x14ac:dyDescent="0.3">
      <c r="B238" s="1" t="s">
        <v>488</v>
      </c>
      <c r="C238" s="1" t="s">
        <v>31</v>
      </c>
      <c r="D238" s="2" t="s">
        <v>506</v>
      </c>
      <c r="E238" s="2" t="s">
        <v>506</v>
      </c>
      <c r="F238" s="2" t="s">
        <v>11</v>
      </c>
      <c r="G238" s="3" t="s">
        <v>338</v>
      </c>
      <c r="H238" s="1" t="s">
        <v>12</v>
      </c>
      <c r="I238" s="1" t="s">
        <v>48</v>
      </c>
      <c r="J238" s="1" t="s">
        <v>14</v>
      </c>
    </row>
    <row r="239" spans="2:10" x14ac:dyDescent="0.3">
      <c r="B239" s="1" t="s">
        <v>488</v>
      </c>
      <c r="C239" s="1" t="s">
        <v>15</v>
      </c>
      <c r="D239" s="2" t="s">
        <v>499</v>
      </c>
      <c r="E239" s="2" t="s">
        <v>499</v>
      </c>
      <c r="F239" s="2" t="s">
        <v>11</v>
      </c>
      <c r="G239" s="3" t="s">
        <v>507</v>
      </c>
      <c r="H239" s="1" t="s">
        <v>12</v>
      </c>
      <c r="I239" s="1" t="s">
        <v>44</v>
      </c>
      <c r="J239" s="1" t="s">
        <v>14</v>
      </c>
    </row>
    <row r="240" spans="2:10" x14ac:dyDescent="0.3">
      <c r="B240" s="1" t="s">
        <v>488</v>
      </c>
      <c r="C240" s="1" t="s">
        <v>36</v>
      </c>
      <c r="D240" s="2" t="s">
        <v>224</v>
      </c>
      <c r="E240" s="2" t="s">
        <v>224</v>
      </c>
      <c r="F240" s="2" t="s">
        <v>11</v>
      </c>
      <c r="G240" s="3" t="s">
        <v>508</v>
      </c>
      <c r="H240" s="1" t="s">
        <v>12</v>
      </c>
      <c r="I240" s="1" t="s">
        <v>72</v>
      </c>
      <c r="J240" s="1" t="s">
        <v>14</v>
      </c>
    </row>
    <row r="241" spans="2:10" x14ac:dyDescent="0.3">
      <c r="B241" s="1" t="s">
        <v>488</v>
      </c>
      <c r="C241" s="1" t="s">
        <v>29</v>
      </c>
      <c r="D241" s="2" t="s">
        <v>397</v>
      </c>
      <c r="E241" s="2" t="s">
        <v>397</v>
      </c>
      <c r="F241" s="2" t="s">
        <v>11</v>
      </c>
      <c r="G241" s="3" t="s">
        <v>509</v>
      </c>
      <c r="H241" s="1" t="s">
        <v>12</v>
      </c>
      <c r="I241" s="1" t="s">
        <v>60</v>
      </c>
      <c r="J241" s="1" t="s">
        <v>14</v>
      </c>
    </row>
    <row r="242" spans="2:10" x14ac:dyDescent="0.3">
      <c r="B242" s="1" t="s">
        <v>488</v>
      </c>
      <c r="C242" s="1" t="s">
        <v>46</v>
      </c>
      <c r="D242" s="2" t="s">
        <v>502</v>
      </c>
      <c r="E242" s="2" t="s">
        <v>502</v>
      </c>
      <c r="F242" s="2" t="s">
        <v>11</v>
      </c>
      <c r="G242" s="3" t="s">
        <v>510</v>
      </c>
      <c r="H242" s="1" t="s">
        <v>12</v>
      </c>
      <c r="I242" s="1" t="s">
        <v>47</v>
      </c>
      <c r="J242" s="1" t="s">
        <v>14</v>
      </c>
    </row>
    <row r="243" spans="2:10" x14ac:dyDescent="0.3">
      <c r="B243" s="1" t="s">
        <v>488</v>
      </c>
      <c r="C243" s="1" t="s">
        <v>33</v>
      </c>
      <c r="D243" s="2" t="s">
        <v>390</v>
      </c>
      <c r="E243" s="2" t="s">
        <v>390</v>
      </c>
      <c r="F243" s="2" t="s">
        <v>11</v>
      </c>
      <c r="G243" s="3" t="s">
        <v>511</v>
      </c>
      <c r="H243" s="1" t="s">
        <v>12</v>
      </c>
      <c r="I243" s="1" t="s">
        <v>44</v>
      </c>
      <c r="J243" s="1" t="s">
        <v>14</v>
      </c>
    </row>
    <row r="244" spans="2:10" x14ac:dyDescent="0.3">
      <c r="B244" s="1" t="s">
        <v>488</v>
      </c>
      <c r="C244" s="1" t="s">
        <v>39</v>
      </c>
      <c r="D244" s="2" t="s">
        <v>512</v>
      </c>
      <c r="E244" s="2" t="s">
        <v>512</v>
      </c>
      <c r="F244" s="2" t="s">
        <v>11</v>
      </c>
      <c r="G244" s="3" t="s">
        <v>513</v>
      </c>
      <c r="H244" s="1" t="s">
        <v>12</v>
      </c>
      <c r="I244" s="1" t="s">
        <v>49</v>
      </c>
      <c r="J244" s="1" t="s">
        <v>14</v>
      </c>
    </row>
    <row r="245" spans="2:10" x14ac:dyDescent="0.3">
      <c r="B245" s="1" t="s">
        <v>488</v>
      </c>
      <c r="C245" s="1" t="s">
        <v>45</v>
      </c>
      <c r="D245" s="2" t="s">
        <v>514</v>
      </c>
      <c r="E245" s="2" t="s">
        <v>515</v>
      </c>
      <c r="F245" s="2" t="s">
        <v>11</v>
      </c>
      <c r="G245" s="3" t="s">
        <v>516</v>
      </c>
      <c r="H245" s="1" t="s">
        <v>12</v>
      </c>
      <c r="I245" s="1" t="s">
        <v>46</v>
      </c>
      <c r="J245" s="1" t="s">
        <v>52</v>
      </c>
    </row>
    <row r="246" spans="2:10" x14ac:dyDescent="0.3">
      <c r="B246" s="1" t="s">
        <v>517</v>
      </c>
      <c r="C246" s="1" t="s">
        <v>17</v>
      </c>
      <c r="D246" s="2" t="s">
        <v>491</v>
      </c>
      <c r="E246" s="2" t="s">
        <v>491</v>
      </c>
      <c r="F246" s="2" t="s">
        <v>11</v>
      </c>
      <c r="G246" s="3" t="s">
        <v>518</v>
      </c>
      <c r="H246" s="1" t="s">
        <v>12</v>
      </c>
      <c r="I246" s="1" t="s">
        <v>62</v>
      </c>
      <c r="J246" s="1" t="s">
        <v>14</v>
      </c>
    </row>
    <row r="247" spans="2:10" x14ac:dyDescent="0.3">
      <c r="B247" s="1" t="s">
        <v>517</v>
      </c>
      <c r="C247" s="1" t="s">
        <v>36</v>
      </c>
      <c r="D247" s="2" t="s">
        <v>519</v>
      </c>
      <c r="E247" s="2" t="s">
        <v>520</v>
      </c>
      <c r="F247" s="2" t="s">
        <v>11</v>
      </c>
      <c r="G247" s="3" t="s">
        <v>521</v>
      </c>
      <c r="H247" s="1" t="s">
        <v>12</v>
      </c>
      <c r="I247" s="1" t="s">
        <v>35</v>
      </c>
      <c r="J247" s="1" t="s">
        <v>52</v>
      </c>
    </row>
    <row r="248" spans="2:10" x14ac:dyDescent="0.3">
      <c r="B248" s="1" t="s">
        <v>517</v>
      </c>
      <c r="C248" s="1" t="s">
        <v>31</v>
      </c>
      <c r="D248" s="2" t="s">
        <v>506</v>
      </c>
      <c r="E248" s="2" t="s">
        <v>506</v>
      </c>
      <c r="F248" s="2" t="s">
        <v>11</v>
      </c>
      <c r="G248" s="3" t="s">
        <v>325</v>
      </c>
      <c r="H248" s="1" t="s">
        <v>12</v>
      </c>
      <c r="I248" s="1" t="s">
        <v>44</v>
      </c>
      <c r="J248" s="1" t="s">
        <v>14</v>
      </c>
    </row>
    <row r="249" spans="2:10" x14ac:dyDescent="0.3">
      <c r="B249" s="1" t="s">
        <v>517</v>
      </c>
      <c r="C249" s="1" t="s">
        <v>43</v>
      </c>
      <c r="D249" s="2" t="s">
        <v>522</v>
      </c>
      <c r="E249" s="2" t="s">
        <v>522</v>
      </c>
      <c r="F249" s="2" t="s">
        <v>11</v>
      </c>
      <c r="G249" s="3" t="s">
        <v>523</v>
      </c>
      <c r="H249" s="1" t="s">
        <v>12</v>
      </c>
      <c r="I249" s="1" t="s">
        <v>50</v>
      </c>
      <c r="J249" s="1" t="s">
        <v>14</v>
      </c>
    </row>
    <row r="250" spans="2:10" x14ac:dyDescent="0.3">
      <c r="B250" s="1" t="s">
        <v>517</v>
      </c>
      <c r="C250" s="1" t="s">
        <v>21</v>
      </c>
      <c r="D250" s="2" t="s">
        <v>522</v>
      </c>
      <c r="E250" s="2" t="s">
        <v>522</v>
      </c>
      <c r="F250" s="2" t="s">
        <v>11</v>
      </c>
      <c r="G250" s="3" t="s">
        <v>524</v>
      </c>
      <c r="H250" s="1" t="s">
        <v>12</v>
      </c>
      <c r="I250" s="1" t="s">
        <v>22</v>
      </c>
      <c r="J250" s="1" t="s">
        <v>14</v>
      </c>
    </row>
    <row r="251" spans="2:10" x14ac:dyDescent="0.3">
      <c r="B251" s="1" t="s">
        <v>517</v>
      </c>
      <c r="C251" s="1" t="s">
        <v>15</v>
      </c>
      <c r="D251" s="2" t="s">
        <v>218</v>
      </c>
      <c r="E251" s="2" t="s">
        <v>218</v>
      </c>
      <c r="F251" s="2" t="s">
        <v>11</v>
      </c>
      <c r="G251" s="3" t="s">
        <v>525</v>
      </c>
      <c r="H251" s="1" t="s">
        <v>12</v>
      </c>
      <c r="I251" s="1" t="s">
        <v>58</v>
      </c>
      <c r="J251" s="1" t="s">
        <v>14</v>
      </c>
    </row>
    <row r="252" spans="2:10" x14ac:dyDescent="0.3">
      <c r="B252" s="1" t="s">
        <v>517</v>
      </c>
      <c r="C252" s="1" t="s">
        <v>28</v>
      </c>
      <c r="D252" s="2" t="s">
        <v>526</v>
      </c>
      <c r="E252" s="2" t="s">
        <v>526</v>
      </c>
      <c r="F252" s="2" t="s">
        <v>11</v>
      </c>
      <c r="G252" s="3" t="s">
        <v>527</v>
      </c>
      <c r="H252" s="1" t="s">
        <v>12</v>
      </c>
      <c r="I252" s="1" t="s">
        <v>32</v>
      </c>
      <c r="J252" s="1" t="s">
        <v>14</v>
      </c>
    </row>
    <row r="253" spans="2:10" x14ac:dyDescent="0.3">
      <c r="B253" s="1" t="s">
        <v>517</v>
      </c>
      <c r="C253" s="1" t="s">
        <v>24</v>
      </c>
      <c r="D253" s="2" t="s">
        <v>526</v>
      </c>
      <c r="E253" s="2" t="s">
        <v>526</v>
      </c>
      <c r="F253" s="2" t="s">
        <v>11</v>
      </c>
      <c r="G253" s="3" t="s">
        <v>528</v>
      </c>
      <c r="H253" s="1" t="s">
        <v>12</v>
      </c>
      <c r="I253" s="1" t="s">
        <v>49</v>
      </c>
      <c r="J253" s="1" t="s">
        <v>14</v>
      </c>
    </row>
    <row r="254" spans="2:10" x14ac:dyDescent="0.3">
      <c r="B254" s="1" t="s">
        <v>517</v>
      </c>
      <c r="C254" s="1" t="s">
        <v>45</v>
      </c>
      <c r="D254" s="2" t="s">
        <v>529</v>
      </c>
      <c r="E254" s="2" t="s">
        <v>529</v>
      </c>
      <c r="F254" s="2" t="s">
        <v>11</v>
      </c>
      <c r="G254" s="3" t="s">
        <v>312</v>
      </c>
      <c r="H254" s="1" t="s">
        <v>12</v>
      </c>
      <c r="I254" s="1" t="s">
        <v>94</v>
      </c>
      <c r="J254" s="1" t="s">
        <v>14</v>
      </c>
    </row>
    <row r="255" spans="2:10" x14ac:dyDescent="0.3">
      <c r="B255" s="1" t="s">
        <v>517</v>
      </c>
      <c r="C255" s="1" t="s">
        <v>29</v>
      </c>
      <c r="D255" s="2" t="s">
        <v>214</v>
      </c>
      <c r="E255" s="2" t="s">
        <v>214</v>
      </c>
      <c r="F255" s="2" t="s">
        <v>11</v>
      </c>
      <c r="G255" s="3" t="s">
        <v>530</v>
      </c>
      <c r="H255" s="1" t="s">
        <v>12</v>
      </c>
      <c r="I255" s="1" t="s">
        <v>27</v>
      </c>
      <c r="J255" s="1" t="s">
        <v>14</v>
      </c>
    </row>
    <row r="256" spans="2:10" x14ac:dyDescent="0.3">
      <c r="B256" s="1" t="s">
        <v>517</v>
      </c>
      <c r="C256" s="1" t="s">
        <v>19</v>
      </c>
      <c r="D256" s="2" t="s">
        <v>254</v>
      </c>
      <c r="E256" s="2" t="s">
        <v>254</v>
      </c>
      <c r="F256" s="2" t="s">
        <v>11</v>
      </c>
      <c r="G256" s="3" t="s">
        <v>531</v>
      </c>
      <c r="H256" s="1" t="s">
        <v>12</v>
      </c>
      <c r="I256" s="1" t="s">
        <v>34</v>
      </c>
      <c r="J256" s="1" t="s">
        <v>14</v>
      </c>
    </row>
    <row r="257" spans="2:10" x14ac:dyDescent="0.3">
      <c r="B257" s="1" t="s">
        <v>517</v>
      </c>
      <c r="C257" s="1" t="s">
        <v>10</v>
      </c>
      <c r="D257" s="2" t="s">
        <v>532</v>
      </c>
      <c r="E257" s="2" t="s">
        <v>532</v>
      </c>
      <c r="F257" s="2" t="s">
        <v>11</v>
      </c>
      <c r="G257" s="3" t="s">
        <v>533</v>
      </c>
      <c r="H257" s="1" t="s">
        <v>12</v>
      </c>
      <c r="I257" s="1" t="s">
        <v>89</v>
      </c>
      <c r="J257" s="1" t="s">
        <v>14</v>
      </c>
    </row>
    <row r="258" spans="2:10" x14ac:dyDescent="0.3">
      <c r="B258" s="1" t="s">
        <v>517</v>
      </c>
      <c r="C258" s="1" t="s">
        <v>46</v>
      </c>
      <c r="D258" s="2" t="s">
        <v>522</v>
      </c>
      <c r="E258" s="2" t="s">
        <v>522</v>
      </c>
      <c r="F258" s="2" t="s">
        <v>11</v>
      </c>
      <c r="G258" s="3" t="s">
        <v>534</v>
      </c>
      <c r="H258" s="1" t="s">
        <v>12</v>
      </c>
      <c r="I258" s="1" t="s">
        <v>50</v>
      </c>
      <c r="J258" s="1" t="s">
        <v>14</v>
      </c>
    </row>
    <row r="259" spans="2:10" x14ac:dyDescent="0.3">
      <c r="B259" s="1" t="s">
        <v>517</v>
      </c>
      <c r="C259" s="1" t="s">
        <v>33</v>
      </c>
      <c r="D259" s="2" t="s">
        <v>522</v>
      </c>
      <c r="E259" s="2" t="s">
        <v>522</v>
      </c>
      <c r="F259" s="2" t="s">
        <v>11</v>
      </c>
      <c r="G259" s="3" t="s">
        <v>535</v>
      </c>
      <c r="H259" s="1" t="s">
        <v>12</v>
      </c>
      <c r="I259" s="1" t="s">
        <v>27</v>
      </c>
      <c r="J259" s="1" t="s">
        <v>14</v>
      </c>
    </row>
    <row r="260" spans="2:10" x14ac:dyDescent="0.3">
      <c r="B260" s="1" t="s">
        <v>517</v>
      </c>
      <c r="C260" s="1" t="s">
        <v>38</v>
      </c>
      <c r="D260" s="2" t="s">
        <v>398</v>
      </c>
      <c r="E260" s="2" t="s">
        <v>398</v>
      </c>
      <c r="F260" s="2" t="s">
        <v>11</v>
      </c>
      <c r="G260" s="3" t="s">
        <v>536</v>
      </c>
      <c r="H260" s="1" t="s">
        <v>12</v>
      </c>
      <c r="I260" s="1" t="s">
        <v>34</v>
      </c>
      <c r="J260" s="1" t="s">
        <v>14</v>
      </c>
    </row>
    <row r="261" spans="2:10" x14ac:dyDescent="0.3">
      <c r="B261" s="1" t="s">
        <v>517</v>
      </c>
      <c r="C261" s="1" t="s">
        <v>23</v>
      </c>
      <c r="D261" s="2" t="s">
        <v>532</v>
      </c>
      <c r="E261" s="2" t="s">
        <v>532</v>
      </c>
      <c r="F261" s="2" t="s">
        <v>11</v>
      </c>
      <c r="G261" s="3" t="s">
        <v>537</v>
      </c>
      <c r="H261" s="1" t="s">
        <v>12</v>
      </c>
      <c r="I261" s="1" t="s">
        <v>87</v>
      </c>
      <c r="J261" s="1" t="s">
        <v>14</v>
      </c>
    </row>
    <row r="262" spans="2:10" x14ac:dyDescent="0.3">
      <c r="B262" s="1" t="s">
        <v>517</v>
      </c>
      <c r="C262" s="1" t="s">
        <v>26</v>
      </c>
      <c r="D262" s="2" t="s">
        <v>220</v>
      </c>
      <c r="E262" s="2" t="s">
        <v>220</v>
      </c>
      <c r="F262" s="2" t="s">
        <v>11</v>
      </c>
      <c r="G262" s="3" t="s">
        <v>538</v>
      </c>
      <c r="H262" s="1" t="s">
        <v>12</v>
      </c>
      <c r="I262" s="1" t="s">
        <v>64</v>
      </c>
      <c r="J262" s="1" t="s">
        <v>14</v>
      </c>
    </row>
    <row r="263" spans="2:10" x14ac:dyDescent="0.3">
      <c r="B263" s="1" t="s">
        <v>517</v>
      </c>
      <c r="C263" s="1" t="s">
        <v>41</v>
      </c>
      <c r="D263" s="2" t="s">
        <v>522</v>
      </c>
      <c r="E263" s="2" t="s">
        <v>522</v>
      </c>
      <c r="F263" s="2" t="s">
        <v>11</v>
      </c>
      <c r="G263" s="3" t="s">
        <v>539</v>
      </c>
      <c r="H263" s="1" t="s">
        <v>12</v>
      </c>
      <c r="I263" s="1" t="s">
        <v>50</v>
      </c>
      <c r="J263" s="1" t="s">
        <v>14</v>
      </c>
    </row>
    <row r="264" spans="2:10" x14ac:dyDescent="0.3">
      <c r="B264" s="1" t="s">
        <v>517</v>
      </c>
      <c r="C264" s="1" t="s">
        <v>35</v>
      </c>
      <c r="D264" s="2" t="s">
        <v>540</v>
      </c>
      <c r="E264" s="2" t="s">
        <v>540</v>
      </c>
      <c r="F264" s="2" t="s">
        <v>11</v>
      </c>
      <c r="G264" s="3" t="s">
        <v>394</v>
      </c>
      <c r="H264" s="1" t="s">
        <v>12</v>
      </c>
      <c r="I264" s="1" t="s">
        <v>74</v>
      </c>
      <c r="J264" s="1" t="s">
        <v>14</v>
      </c>
    </row>
    <row r="265" spans="2:10" x14ac:dyDescent="0.3">
      <c r="B265" s="1" t="s">
        <v>517</v>
      </c>
      <c r="C265" s="1" t="s">
        <v>39</v>
      </c>
      <c r="D265" s="2" t="s">
        <v>214</v>
      </c>
      <c r="E265" s="2" t="s">
        <v>214</v>
      </c>
      <c r="F265" s="2" t="s">
        <v>11</v>
      </c>
      <c r="G265" s="3" t="s">
        <v>541</v>
      </c>
      <c r="H265" s="1" t="s">
        <v>12</v>
      </c>
      <c r="I265" s="1" t="s">
        <v>95</v>
      </c>
      <c r="J265" s="1" t="s">
        <v>14</v>
      </c>
    </row>
    <row r="266" spans="2:10" x14ac:dyDescent="0.3">
      <c r="B266" s="1" t="s">
        <v>542</v>
      </c>
      <c r="C266" s="1" t="s">
        <v>29</v>
      </c>
      <c r="D266" s="2" t="s">
        <v>543</v>
      </c>
      <c r="E266" s="2" t="s">
        <v>543</v>
      </c>
      <c r="F266" s="2" t="s">
        <v>11</v>
      </c>
      <c r="G266" s="3" t="s">
        <v>96</v>
      </c>
      <c r="H266" s="1" t="s">
        <v>12</v>
      </c>
      <c r="I266" s="1" t="s">
        <v>97</v>
      </c>
      <c r="J266" s="1" t="s">
        <v>14</v>
      </c>
    </row>
    <row r="267" spans="2:10" x14ac:dyDescent="0.3">
      <c r="B267" s="1" t="s">
        <v>542</v>
      </c>
      <c r="C267" s="1" t="s">
        <v>36</v>
      </c>
      <c r="D267" s="2" t="s">
        <v>544</v>
      </c>
      <c r="E267" s="2" t="s">
        <v>544</v>
      </c>
      <c r="F267" s="2" t="s">
        <v>11</v>
      </c>
      <c r="G267" s="3" t="s">
        <v>545</v>
      </c>
      <c r="H267" s="1" t="s">
        <v>12</v>
      </c>
      <c r="I267" s="1" t="s">
        <v>34</v>
      </c>
      <c r="J267" s="1" t="s">
        <v>14</v>
      </c>
    </row>
    <row r="268" spans="2:10" x14ac:dyDescent="0.3">
      <c r="B268" s="1" t="s">
        <v>542</v>
      </c>
      <c r="C268" s="1" t="s">
        <v>33</v>
      </c>
      <c r="D268" s="2" t="s">
        <v>544</v>
      </c>
      <c r="E268" s="2" t="s">
        <v>544</v>
      </c>
      <c r="F268" s="2" t="s">
        <v>11</v>
      </c>
      <c r="G268" s="3" t="s">
        <v>546</v>
      </c>
      <c r="H268" s="1" t="s">
        <v>12</v>
      </c>
      <c r="I268" s="1" t="s">
        <v>40</v>
      </c>
      <c r="J268" s="1" t="s">
        <v>14</v>
      </c>
    </row>
    <row r="269" spans="2:10" x14ac:dyDescent="0.3">
      <c r="B269" s="1" t="s">
        <v>542</v>
      </c>
      <c r="C269" s="1" t="s">
        <v>15</v>
      </c>
      <c r="D269" s="2" t="s">
        <v>547</v>
      </c>
      <c r="E269" s="2" t="s">
        <v>547</v>
      </c>
      <c r="F269" s="2" t="s">
        <v>11</v>
      </c>
      <c r="G269" s="3" t="s">
        <v>548</v>
      </c>
      <c r="H269" s="1" t="s">
        <v>12</v>
      </c>
      <c r="I269" s="1" t="s">
        <v>13</v>
      </c>
      <c r="J269" s="1" t="s">
        <v>14</v>
      </c>
    </row>
    <row r="270" spans="2:10" x14ac:dyDescent="0.3">
      <c r="B270" s="1" t="s">
        <v>542</v>
      </c>
      <c r="C270" s="1" t="s">
        <v>43</v>
      </c>
      <c r="D270" s="2" t="s">
        <v>547</v>
      </c>
      <c r="E270" s="2" t="s">
        <v>547</v>
      </c>
      <c r="F270" s="2" t="s">
        <v>11</v>
      </c>
      <c r="G270" s="3" t="s">
        <v>549</v>
      </c>
      <c r="H270" s="1" t="s">
        <v>12</v>
      </c>
      <c r="I270" s="1" t="s">
        <v>58</v>
      </c>
      <c r="J270" s="1" t="s">
        <v>14</v>
      </c>
    </row>
    <row r="271" spans="2:10" x14ac:dyDescent="0.3">
      <c r="B271" s="1" t="s">
        <v>542</v>
      </c>
      <c r="C271" s="1" t="s">
        <v>28</v>
      </c>
      <c r="D271" s="2" t="s">
        <v>543</v>
      </c>
      <c r="E271" s="2" t="s">
        <v>543</v>
      </c>
      <c r="F271" s="2" t="s">
        <v>11</v>
      </c>
      <c r="G271" s="3" t="s">
        <v>550</v>
      </c>
      <c r="H271" s="1" t="s">
        <v>12</v>
      </c>
      <c r="I271" s="1" t="s">
        <v>70</v>
      </c>
      <c r="J271" s="1" t="s">
        <v>14</v>
      </c>
    </row>
    <row r="272" spans="2:10" x14ac:dyDescent="0.3">
      <c r="B272" s="1" t="s">
        <v>542</v>
      </c>
      <c r="C272" s="1" t="s">
        <v>21</v>
      </c>
      <c r="D272" s="2" t="s">
        <v>543</v>
      </c>
      <c r="E272" s="2" t="s">
        <v>543</v>
      </c>
      <c r="F272" s="2" t="s">
        <v>11</v>
      </c>
      <c r="G272" s="3" t="s">
        <v>551</v>
      </c>
      <c r="H272" s="1" t="s">
        <v>12</v>
      </c>
      <c r="I272" s="1" t="s">
        <v>18</v>
      </c>
      <c r="J272" s="1" t="s">
        <v>14</v>
      </c>
    </row>
    <row r="273" spans="2:10" x14ac:dyDescent="0.3">
      <c r="B273" s="1" t="s">
        <v>542</v>
      </c>
      <c r="C273" s="1" t="s">
        <v>38</v>
      </c>
      <c r="D273" s="2" t="s">
        <v>552</v>
      </c>
      <c r="E273" s="2" t="s">
        <v>552</v>
      </c>
      <c r="F273" s="2" t="s">
        <v>11</v>
      </c>
      <c r="G273" s="3" t="s">
        <v>553</v>
      </c>
      <c r="H273" s="1" t="s">
        <v>12</v>
      </c>
      <c r="I273" s="1" t="s">
        <v>25</v>
      </c>
      <c r="J273" s="1" t="s">
        <v>14</v>
      </c>
    </row>
    <row r="274" spans="2:10" x14ac:dyDescent="0.3">
      <c r="B274" s="1" t="s">
        <v>542</v>
      </c>
      <c r="C274" s="1" t="s">
        <v>31</v>
      </c>
      <c r="D274" s="2" t="s">
        <v>554</v>
      </c>
      <c r="E274" s="2" t="s">
        <v>554</v>
      </c>
      <c r="F274" s="2" t="s">
        <v>11</v>
      </c>
      <c r="G274" s="3" t="s">
        <v>555</v>
      </c>
      <c r="H274" s="1" t="s">
        <v>12</v>
      </c>
      <c r="I274" s="1" t="s">
        <v>53</v>
      </c>
      <c r="J274" s="1" t="s">
        <v>14</v>
      </c>
    </row>
    <row r="275" spans="2:10" x14ac:dyDescent="0.3">
      <c r="B275" s="1" t="s">
        <v>542</v>
      </c>
      <c r="C275" s="1" t="s">
        <v>41</v>
      </c>
      <c r="D275" s="2" t="s">
        <v>547</v>
      </c>
      <c r="E275" s="2" t="s">
        <v>547</v>
      </c>
      <c r="F275" s="2" t="s">
        <v>11</v>
      </c>
      <c r="G275" s="3" t="s">
        <v>556</v>
      </c>
      <c r="H275" s="1" t="s">
        <v>12</v>
      </c>
      <c r="I275" s="1" t="s">
        <v>13</v>
      </c>
      <c r="J275" s="1" t="s">
        <v>14</v>
      </c>
    </row>
    <row r="276" spans="2:10" x14ac:dyDescent="0.3">
      <c r="B276" s="1" t="s">
        <v>542</v>
      </c>
      <c r="C276" s="1" t="s">
        <v>24</v>
      </c>
      <c r="D276" s="2" t="s">
        <v>554</v>
      </c>
      <c r="E276" s="2" t="s">
        <v>554</v>
      </c>
      <c r="F276" s="2" t="s">
        <v>11</v>
      </c>
      <c r="G276" s="3" t="s">
        <v>557</v>
      </c>
      <c r="H276" s="1" t="s">
        <v>12</v>
      </c>
      <c r="I276" s="1" t="s">
        <v>27</v>
      </c>
      <c r="J276" s="1" t="s">
        <v>14</v>
      </c>
    </row>
    <row r="277" spans="2:10" x14ac:dyDescent="0.3">
      <c r="B277" s="1" t="s">
        <v>542</v>
      </c>
      <c r="C277" s="1" t="s">
        <v>10</v>
      </c>
      <c r="D277" s="2" t="s">
        <v>543</v>
      </c>
      <c r="E277" s="2" t="s">
        <v>543</v>
      </c>
      <c r="F277" s="2" t="s">
        <v>11</v>
      </c>
      <c r="G277" s="3" t="s">
        <v>229</v>
      </c>
      <c r="H277" s="1" t="s">
        <v>12</v>
      </c>
      <c r="I277" s="1" t="s">
        <v>66</v>
      </c>
      <c r="J277" s="1" t="s">
        <v>14</v>
      </c>
    </row>
    <row r="278" spans="2:10" x14ac:dyDescent="0.3">
      <c r="B278" s="1" t="s">
        <v>542</v>
      </c>
      <c r="C278" s="1" t="s">
        <v>35</v>
      </c>
      <c r="D278" s="2" t="s">
        <v>543</v>
      </c>
      <c r="E278" s="2" t="s">
        <v>543</v>
      </c>
      <c r="F278" s="2" t="s">
        <v>11</v>
      </c>
      <c r="G278" s="3" t="s">
        <v>558</v>
      </c>
      <c r="H278" s="1" t="s">
        <v>12</v>
      </c>
      <c r="I278" s="1" t="s">
        <v>27</v>
      </c>
      <c r="J278" s="1" t="s">
        <v>14</v>
      </c>
    </row>
    <row r="279" spans="2:10" x14ac:dyDescent="0.3">
      <c r="B279" s="1" t="s">
        <v>542</v>
      </c>
      <c r="C279" s="1" t="s">
        <v>23</v>
      </c>
      <c r="D279" s="2" t="s">
        <v>554</v>
      </c>
      <c r="E279" s="2" t="s">
        <v>554</v>
      </c>
      <c r="F279" s="2" t="s">
        <v>11</v>
      </c>
      <c r="G279" s="3" t="s">
        <v>559</v>
      </c>
      <c r="H279" s="1" t="s">
        <v>12</v>
      </c>
      <c r="I279" s="1" t="s">
        <v>79</v>
      </c>
      <c r="J279" s="1" t="s">
        <v>14</v>
      </c>
    </row>
    <row r="280" spans="2:10" x14ac:dyDescent="0.3">
      <c r="B280" s="1" t="s">
        <v>542</v>
      </c>
      <c r="C280" s="1" t="s">
        <v>17</v>
      </c>
      <c r="D280" s="2" t="s">
        <v>560</v>
      </c>
      <c r="E280" s="2" t="s">
        <v>560</v>
      </c>
      <c r="F280" s="2" t="s">
        <v>11</v>
      </c>
      <c r="G280" s="3" t="s">
        <v>561</v>
      </c>
      <c r="H280" s="1" t="s">
        <v>12</v>
      </c>
      <c r="I280" s="1" t="s">
        <v>69</v>
      </c>
      <c r="J280" s="1" t="s">
        <v>14</v>
      </c>
    </row>
    <row r="281" spans="2:10" x14ac:dyDescent="0.3">
      <c r="B281" s="1" t="s">
        <v>542</v>
      </c>
      <c r="C281" s="1" t="s">
        <v>26</v>
      </c>
      <c r="D281" s="2" t="s">
        <v>543</v>
      </c>
      <c r="E281" s="2" t="s">
        <v>543</v>
      </c>
      <c r="F281" s="2" t="s">
        <v>11</v>
      </c>
      <c r="G281" s="3" t="s">
        <v>562</v>
      </c>
      <c r="H281" s="1" t="s">
        <v>12</v>
      </c>
      <c r="I281" s="1" t="s">
        <v>44</v>
      </c>
      <c r="J281" s="1" t="s">
        <v>14</v>
      </c>
    </row>
    <row r="282" spans="2:10" x14ac:dyDescent="0.3">
      <c r="B282" s="1" t="s">
        <v>542</v>
      </c>
      <c r="C282" s="1" t="s">
        <v>45</v>
      </c>
      <c r="D282" s="2" t="s">
        <v>544</v>
      </c>
      <c r="E282" s="2" t="s">
        <v>544</v>
      </c>
      <c r="F282" s="2" t="s">
        <v>11</v>
      </c>
      <c r="G282" s="3" t="s">
        <v>466</v>
      </c>
      <c r="H282" s="1" t="s">
        <v>12</v>
      </c>
      <c r="I282" s="1" t="s">
        <v>22</v>
      </c>
      <c r="J282" s="1" t="s">
        <v>14</v>
      </c>
    </row>
    <row r="283" spans="2:10" x14ac:dyDescent="0.3">
      <c r="B283" s="1" t="s">
        <v>542</v>
      </c>
      <c r="C283" s="1" t="s">
        <v>46</v>
      </c>
      <c r="D283" s="2" t="s">
        <v>547</v>
      </c>
      <c r="E283" s="2" t="s">
        <v>547</v>
      </c>
      <c r="F283" s="2" t="s">
        <v>11</v>
      </c>
      <c r="G283" s="3" t="s">
        <v>563</v>
      </c>
      <c r="H283" s="1" t="s">
        <v>12</v>
      </c>
      <c r="I283" s="1" t="s">
        <v>79</v>
      </c>
      <c r="J283" s="1" t="s">
        <v>14</v>
      </c>
    </row>
    <row r="284" spans="2:10" x14ac:dyDescent="0.3">
      <c r="B284" s="1" t="s">
        <v>542</v>
      </c>
      <c r="C284" s="1" t="s">
        <v>39</v>
      </c>
      <c r="D284" s="2" t="s">
        <v>547</v>
      </c>
      <c r="E284" s="2" t="s">
        <v>547</v>
      </c>
      <c r="F284" s="2" t="s">
        <v>11</v>
      </c>
      <c r="G284" s="3" t="s">
        <v>564</v>
      </c>
      <c r="H284" s="1" t="s">
        <v>12</v>
      </c>
      <c r="I284" s="1" t="s">
        <v>73</v>
      </c>
      <c r="J284" s="1" t="s">
        <v>14</v>
      </c>
    </row>
    <row r="285" spans="2:10" x14ac:dyDescent="0.3">
      <c r="B285" s="1" t="s">
        <v>542</v>
      </c>
      <c r="C285" s="1" t="s">
        <v>19</v>
      </c>
      <c r="D285" s="2" t="s">
        <v>543</v>
      </c>
      <c r="E285" s="2" t="s">
        <v>543</v>
      </c>
      <c r="F285" s="2" t="s">
        <v>11</v>
      </c>
      <c r="G285" s="3" t="s">
        <v>565</v>
      </c>
      <c r="H285" s="1" t="s">
        <v>12</v>
      </c>
      <c r="I285" s="1" t="s">
        <v>62</v>
      </c>
      <c r="J285" s="1" t="s">
        <v>14</v>
      </c>
    </row>
    <row r="286" spans="2:10" x14ac:dyDescent="0.3">
      <c r="B286" s="1" t="s">
        <v>566</v>
      </c>
      <c r="C286" s="1" t="s">
        <v>46</v>
      </c>
      <c r="D286" s="2" t="s">
        <v>182</v>
      </c>
      <c r="E286" s="2" t="s">
        <v>182</v>
      </c>
      <c r="F286" s="2" t="s">
        <v>11</v>
      </c>
      <c r="G286" s="3" t="s">
        <v>523</v>
      </c>
      <c r="H286" s="1" t="s">
        <v>12</v>
      </c>
      <c r="I286" s="1" t="s">
        <v>79</v>
      </c>
      <c r="J286" s="1" t="s">
        <v>14</v>
      </c>
    </row>
    <row r="287" spans="2:10" x14ac:dyDescent="0.3">
      <c r="B287" s="1" t="s">
        <v>566</v>
      </c>
      <c r="C287" s="1" t="s">
        <v>29</v>
      </c>
      <c r="D287" s="2" t="s">
        <v>314</v>
      </c>
      <c r="E287" s="2" t="s">
        <v>314</v>
      </c>
      <c r="F287" s="2" t="s">
        <v>11</v>
      </c>
      <c r="G287" s="3" t="s">
        <v>567</v>
      </c>
      <c r="H287" s="1" t="s">
        <v>12</v>
      </c>
      <c r="I287" s="1" t="s">
        <v>53</v>
      </c>
      <c r="J287" s="1" t="s">
        <v>14</v>
      </c>
    </row>
    <row r="288" spans="2:10" x14ac:dyDescent="0.3">
      <c r="B288" s="1" t="s">
        <v>566</v>
      </c>
      <c r="C288" s="1" t="s">
        <v>36</v>
      </c>
      <c r="D288" s="2" t="s">
        <v>568</v>
      </c>
      <c r="E288" s="2" t="s">
        <v>569</v>
      </c>
      <c r="F288" s="2" t="s">
        <v>11</v>
      </c>
      <c r="G288" s="3" t="s">
        <v>570</v>
      </c>
      <c r="H288" s="1" t="s">
        <v>12</v>
      </c>
      <c r="I288" s="1" t="s">
        <v>10</v>
      </c>
      <c r="J288" s="1" t="s">
        <v>52</v>
      </c>
    </row>
    <row r="289" spans="2:10" x14ac:dyDescent="0.3">
      <c r="B289" s="1" t="s">
        <v>566</v>
      </c>
      <c r="C289" s="1" t="s">
        <v>43</v>
      </c>
      <c r="D289" s="2" t="s">
        <v>455</v>
      </c>
      <c r="E289" s="2" t="s">
        <v>455</v>
      </c>
      <c r="F289" s="2" t="s">
        <v>11</v>
      </c>
      <c r="G289" s="3" t="s">
        <v>571</v>
      </c>
      <c r="H289" s="1" t="s">
        <v>12</v>
      </c>
      <c r="I289" s="1" t="s">
        <v>69</v>
      </c>
      <c r="J289" s="1" t="s">
        <v>14</v>
      </c>
    </row>
    <row r="290" spans="2:10" x14ac:dyDescent="0.3">
      <c r="B290" s="1" t="s">
        <v>566</v>
      </c>
      <c r="C290" s="1" t="s">
        <v>31</v>
      </c>
      <c r="D290" s="2" t="s">
        <v>572</v>
      </c>
      <c r="E290" s="2" t="s">
        <v>572</v>
      </c>
      <c r="F290" s="2" t="s">
        <v>11</v>
      </c>
      <c r="G290" s="3" t="s">
        <v>573</v>
      </c>
      <c r="H290" s="1" t="s">
        <v>12</v>
      </c>
      <c r="I290" s="1" t="s">
        <v>18</v>
      </c>
      <c r="J290" s="1" t="s">
        <v>14</v>
      </c>
    </row>
    <row r="291" spans="2:10" x14ac:dyDescent="0.3">
      <c r="B291" s="1" t="s">
        <v>566</v>
      </c>
      <c r="C291" s="1" t="s">
        <v>41</v>
      </c>
      <c r="D291" s="2" t="s">
        <v>185</v>
      </c>
      <c r="E291" s="2" t="s">
        <v>185</v>
      </c>
      <c r="F291" s="2" t="s">
        <v>11</v>
      </c>
      <c r="G291" s="3" t="s">
        <v>574</v>
      </c>
      <c r="H291" s="1" t="s">
        <v>12</v>
      </c>
      <c r="I291" s="1" t="s">
        <v>62</v>
      </c>
      <c r="J291" s="1" t="s">
        <v>14</v>
      </c>
    </row>
    <row r="292" spans="2:10" x14ac:dyDescent="0.3">
      <c r="B292" s="1" t="s">
        <v>566</v>
      </c>
      <c r="C292" s="1" t="s">
        <v>38</v>
      </c>
      <c r="D292" s="2" t="s">
        <v>200</v>
      </c>
      <c r="E292" s="2" t="s">
        <v>200</v>
      </c>
      <c r="F292" s="2" t="s">
        <v>11</v>
      </c>
      <c r="G292" s="3" t="s">
        <v>575</v>
      </c>
      <c r="H292" s="1" t="s">
        <v>12</v>
      </c>
      <c r="I292" s="1" t="s">
        <v>83</v>
      </c>
      <c r="J292" s="1" t="s">
        <v>14</v>
      </c>
    </row>
    <row r="293" spans="2:10" x14ac:dyDescent="0.3">
      <c r="B293" s="1" t="s">
        <v>566</v>
      </c>
      <c r="C293" s="1" t="s">
        <v>15</v>
      </c>
      <c r="D293" s="2" t="s">
        <v>190</v>
      </c>
      <c r="E293" s="2" t="s">
        <v>190</v>
      </c>
      <c r="F293" s="2" t="s">
        <v>11</v>
      </c>
      <c r="G293" s="3" t="s">
        <v>576</v>
      </c>
      <c r="H293" s="1" t="s">
        <v>12</v>
      </c>
      <c r="I293" s="1" t="s">
        <v>55</v>
      </c>
      <c r="J293" s="1" t="s">
        <v>14</v>
      </c>
    </row>
    <row r="294" spans="2:10" x14ac:dyDescent="0.3">
      <c r="B294" s="1" t="s">
        <v>566</v>
      </c>
      <c r="C294" s="1" t="s">
        <v>21</v>
      </c>
      <c r="D294" s="2" t="s">
        <v>185</v>
      </c>
      <c r="E294" s="2" t="s">
        <v>185</v>
      </c>
      <c r="F294" s="2" t="s">
        <v>11</v>
      </c>
      <c r="G294" s="3" t="s">
        <v>577</v>
      </c>
      <c r="H294" s="1" t="s">
        <v>12</v>
      </c>
      <c r="I294" s="1" t="s">
        <v>87</v>
      </c>
      <c r="J294" s="1" t="s">
        <v>14</v>
      </c>
    </row>
    <row r="295" spans="2:10" x14ac:dyDescent="0.3">
      <c r="B295" s="1" t="s">
        <v>566</v>
      </c>
      <c r="C295" s="1" t="s">
        <v>39</v>
      </c>
      <c r="D295" s="2" t="s">
        <v>578</v>
      </c>
      <c r="E295" s="2" t="s">
        <v>578</v>
      </c>
      <c r="F295" s="2" t="s">
        <v>11</v>
      </c>
      <c r="G295" s="3" t="s">
        <v>579</v>
      </c>
      <c r="H295" s="1" t="s">
        <v>12</v>
      </c>
      <c r="I295" s="1" t="s">
        <v>40</v>
      </c>
      <c r="J295" s="1" t="s">
        <v>14</v>
      </c>
    </row>
    <row r="296" spans="2:10" x14ac:dyDescent="0.3">
      <c r="B296" s="1" t="s">
        <v>566</v>
      </c>
      <c r="C296" s="1" t="s">
        <v>26</v>
      </c>
      <c r="D296" s="2" t="s">
        <v>314</v>
      </c>
      <c r="E296" s="2" t="s">
        <v>314</v>
      </c>
      <c r="F296" s="2" t="s">
        <v>11</v>
      </c>
      <c r="G296" s="3" t="s">
        <v>580</v>
      </c>
      <c r="H296" s="1" t="s">
        <v>12</v>
      </c>
      <c r="I296" s="1" t="s">
        <v>75</v>
      </c>
      <c r="J296" s="1" t="s">
        <v>14</v>
      </c>
    </row>
    <row r="297" spans="2:10" x14ac:dyDescent="0.3">
      <c r="B297" s="1" t="s">
        <v>566</v>
      </c>
      <c r="C297" s="1" t="s">
        <v>28</v>
      </c>
      <c r="D297" s="2" t="s">
        <v>581</v>
      </c>
      <c r="E297" s="2" t="s">
        <v>582</v>
      </c>
      <c r="F297" s="2" t="s">
        <v>11</v>
      </c>
      <c r="G297" s="3" t="s">
        <v>583</v>
      </c>
      <c r="H297" s="1" t="s">
        <v>12</v>
      </c>
      <c r="I297" s="1" t="s">
        <v>15</v>
      </c>
      <c r="J297" s="1" t="s">
        <v>52</v>
      </c>
    </row>
    <row r="298" spans="2:10" x14ac:dyDescent="0.3">
      <c r="B298" s="1" t="s">
        <v>566</v>
      </c>
      <c r="C298" s="1" t="s">
        <v>33</v>
      </c>
      <c r="D298" s="2" t="s">
        <v>584</v>
      </c>
      <c r="E298" s="2" t="s">
        <v>584</v>
      </c>
      <c r="F298" s="2" t="s">
        <v>11</v>
      </c>
      <c r="G298" s="3" t="s">
        <v>585</v>
      </c>
      <c r="H298" s="1" t="s">
        <v>12</v>
      </c>
      <c r="I298" s="1" t="s">
        <v>69</v>
      </c>
      <c r="J298" s="1" t="s">
        <v>14</v>
      </c>
    </row>
    <row r="299" spans="2:10" x14ac:dyDescent="0.3">
      <c r="B299" s="1" t="s">
        <v>566</v>
      </c>
      <c r="C299" s="1" t="s">
        <v>23</v>
      </c>
      <c r="D299" s="2" t="s">
        <v>182</v>
      </c>
      <c r="E299" s="2" t="s">
        <v>182</v>
      </c>
      <c r="F299" s="2" t="s">
        <v>11</v>
      </c>
      <c r="G299" s="3" t="s">
        <v>586</v>
      </c>
      <c r="H299" s="1" t="s">
        <v>12</v>
      </c>
      <c r="I299" s="1" t="s">
        <v>30</v>
      </c>
      <c r="J299" s="1" t="s">
        <v>14</v>
      </c>
    </row>
    <row r="300" spans="2:10" x14ac:dyDescent="0.3">
      <c r="B300" s="1" t="s">
        <v>566</v>
      </c>
      <c r="C300" s="1" t="s">
        <v>19</v>
      </c>
      <c r="D300" s="2" t="s">
        <v>185</v>
      </c>
      <c r="E300" s="2" t="s">
        <v>185</v>
      </c>
      <c r="F300" s="2" t="s">
        <v>11</v>
      </c>
      <c r="G300" s="3" t="s">
        <v>587</v>
      </c>
      <c r="H300" s="1" t="s">
        <v>12</v>
      </c>
      <c r="I300" s="1" t="s">
        <v>65</v>
      </c>
      <c r="J300" s="1" t="s">
        <v>14</v>
      </c>
    </row>
    <row r="301" spans="2:10" x14ac:dyDescent="0.3">
      <c r="B301" s="1" t="s">
        <v>566</v>
      </c>
      <c r="C301" s="1" t="s">
        <v>35</v>
      </c>
      <c r="D301" s="2" t="s">
        <v>314</v>
      </c>
      <c r="E301" s="2" t="s">
        <v>314</v>
      </c>
      <c r="F301" s="2" t="s">
        <v>11</v>
      </c>
      <c r="G301" s="3" t="s">
        <v>588</v>
      </c>
      <c r="H301" s="1" t="s">
        <v>12</v>
      </c>
      <c r="I301" s="1" t="s">
        <v>79</v>
      </c>
      <c r="J301" s="1" t="s">
        <v>14</v>
      </c>
    </row>
    <row r="302" spans="2:10" x14ac:dyDescent="0.3">
      <c r="B302" s="1" t="s">
        <v>566</v>
      </c>
      <c r="C302" s="1" t="s">
        <v>45</v>
      </c>
      <c r="D302" s="2" t="s">
        <v>185</v>
      </c>
      <c r="E302" s="2" t="s">
        <v>185</v>
      </c>
      <c r="F302" s="2" t="s">
        <v>11</v>
      </c>
      <c r="G302" s="3" t="s">
        <v>589</v>
      </c>
      <c r="H302" s="1" t="s">
        <v>12</v>
      </c>
      <c r="I302" s="1" t="s">
        <v>68</v>
      </c>
      <c r="J302" s="1" t="s">
        <v>14</v>
      </c>
    </row>
    <row r="303" spans="2:10" x14ac:dyDescent="0.3">
      <c r="B303" s="1" t="s">
        <v>566</v>
      </c>
      <c r="C303" s="1" t="s">
        <v>24</v>
      </c>
      <c r="D303" s="2" t="s">
        <v>314</v>
      </c>
      <c r="E303" s="2" t="s">
        <v>314</v>
      </c>
      <c r="F303" s="2" t="s">
        <v>11</v>
      </c>
      <c r="G303" s="3" t="s">
        <v>590</v>
      </c>
      <c r="H303" s="1" t="s">
        <v>12</v>
      </c>
      <c r="I303" s="1" t="s">
        <v>65</v>
      </c>
      <c r="J303" s="1" t="s">
        <v>14</v>
      </c>
    </row>
    <row r="304" spans="2:10" x14ac:dyDescent="0.3">
      <c r="B304" s="1" t="s">
        <v>566</v>
      </c>
      <c r="C304" s="1" t="s">
        <v>17</v>
      </c>
      <c r="D304" s="2" t="s">
        <v>314</v>
      </c>
      <c r="E304" s="2" t="s">
        <v>314</v>
      </c>
      <c r="F304" s="2" t="s">
        <v>11</v>
      </c>
      <c r="G304" s="3" t="s">
        <v>591</v>
      </c>
      <c r="H304" s="1" t="s">
        <v>12</v>
      </c>
      <c r="I304" s="1" t="s">
        <v>98</v>
      </c>
      <c r="J304" s="1" t="s">
        <v>14</v>
      </c>
    </row>
    <row r="305" spans="2:10" x14ac:dyDescent="0.3">
      <c r="B305" s="1" t="s">
        <v>566</v>
      </c>
      <c r="C305" s="1" t="s">
        <v>10</v>
      </c>
      <c r="D305" s="2" t="s">
        <v>314</v>
      </c>
      <c r="E305" s="2" t="s">
        <v>314</v>
      </c>
      <c r="F305" s="2" t="s">
        <v>11</v>
      </c>
      <c r="G305" s="3" t="s">
        <v>592</v>
      </c>
      <c r="H305" s="1" t="s">
        <v>12</v>
      </c>
      <c r="I305" s="1" t="s">
        <v>99</v>
      </c>
      <c r="J305" s="1" t="s">
        <v>14</v>
      </c>
    </row>
    <row r="306" spans="2:10" x14ac:dyDescent="0.3">
      <c r="B306" s="1" t="s">
        <v>593</v>
      </c>
      <c r="C306" s="1" t="s">
        <v>31</v>
      </c>
      <c r="D306" s="2" t="s">
        <v>594</v>
      </c>
      <c r="E306" s="2" t="s">
        <v>594</v>
      </c>
      <c r="F306" s="2" t="s">
        <v>11</v>
      </c>
      <c r="G306" s="3" t="s">
        <v>595</v>
      </c>
      <c r="H306" s="1" t="s">
        <v>12</v>
      </c>
      <c r="I306" s="1" t="s">
        <v>66</v>
      </c>
      <c r="J306" s="1" t="s">
        <v>14</v>
      </c>
    </row>
    <row r="307" spans="2:10" x14ac:dyDescent="0.3">
      <c r="B307" s="1" t="s">
        <v>593</v>
      </c>
      <c r="C307" s="1" t="s">
        <v>38</v>
      </c>
      <c r="D307" s="2" t="s">
        <v>596</v>
      </c>
      <c r="E307" s="2" t="s">
        <v>596</v>
      </c>
      <c r="F307" s="2" t="s">
        <v>11</v>
      </c>
      <c r="G307" s="3" t="s">
        <v>597</v>
      </c>
      <c r="H307" s="1" t="s">
        <v>12</v>
      </c>
      <c r="I307" s="1" t="s">
        <v>58</v>
      </c>
      <c r="J307" s="1" t="s">
        <v>14</v>
      </c>
    </row>
    <row r="308" spans="2:10" x14ac:dyDescent="0.3">
      <c r="B308" s="1" t="s">
        <v>593</v>
      </c>
      <c r="C308" s="1" t="s">
        <v>28</v>
      </c>
      <c r="D308" s="2" t="s">
        <v>594</v>
      </c>
      <c r="E308" s="2" t="s">
        <v>594</v>
      </c>
      <c r="F308" s="2" t="s">
        <v>11</v>
      </c>
      <c r="G308" s="3" t="s">
        <v>168</v>
      </c>
      <c r="H308" s="1" t="s">
        <v>12</v>
      </c>
      <c r="I308" s="1" t="s">
        <v>55</v>
      </c>
      <c r="J308" s="1" t="s">
        <v>14</v>
      </c>
    </row>
    <row r="309" spans="2:10" x14ac:dyDescent="0.3">
      <c r="B309" s="1" t="s">
        <v>593</v>
      </c>
      <c r="C309" s="1" t="s">
        <v>33</v>
      </c>
      <c r="D309" s="2" t="s">
        <v>596</v>
      </c>
      <c r="E309" s="2" t="s">
        <v>596</v>
      </c>
      <c r="F309" s="2" t="s">
        <v>11</v>
      </c>
      <c r="G309" s="3" t="s">
        <v>598</v>
      </c>
      <c r="H309" s="1" t="s">
        <v>12</v>
      </c>
      <c r="I309" s="1" t="s">
        <v>16</v>
      </c>
      <c r="J309" s="1" t="s">
        <v>14</v>
      </c>
    </row>
    <row r="310" spans="2:10" x14ac:dyDescent="0.3">
      <c r="B310" s="1" t="s">
        <v>593</v>
      </c>
      <c r="C310" s="1" t="s">
        <v>43</v>
      </c>
      <c r="D310" s="2" t="s">
        <v>594</v>
      </c>
      <c r="E310" s="2" t="s">
        <v>594</v>
      </c>
      <c r="F310" s="2" t="s">
        <v>11</v>
      </c>
      <c r="G310" s="3" t="s">
        <v>100</v>
      </c>
      <c r="H310" s="1" t="s">
        <v>12</v>
      </c>
      <c r="I310" s="1" t="s">
        <v>67</v>
      </c>
      <c r="J310" s="1" t="s">
        <v>14</v>
      </c>
    </row>
    <row r="311" spans="2:10" x14ac:dyDescent="0.3">
      <c r="B311" s="1" t="s">
        <v>593</v>
      </c>
      <c r="C311" s="1" t="s">
        <v>15</v>
      </c>
      <c r="D311" s="2" t="s">
        <v>594</v>
      </c>
      <c r="E311" s="2" t="s">
        <v>594</v>
      </c>
      <c r="F311" s="2" t="s">
        <v>11</v>
      </c>
      <c r="G311" s="3" t="s">
        <v>315</v>
      </c>
      <c r="H311" s="1" t="s">
        <v>12</v>
      </c>
      <c r="I311" s="1" t="s">
        <v>61</v>
      </c>
      <c r="J311" s="1" t="s">
        <v>14</v>
      </c>
    </row>
    <row r="312" spans="2:10" x14ac:dyDescent="0.3">
      <c r="B312" s="1" t="s">
        <v>593</v>
      </c>
      <c r="C312" s="1" t="s">
        <v>36</v>
      </c>
      <c r="D312" s="2" t="s">
        <v>599</v>
      </c>
      <c r="E312" s="2" t="s">
        <v>599</v>
      </c>
      <c r="F312" s="2" t="s">
        <v>11</v>
      </c>
      <c r="G312" s="3" t="s">
        <v>600</v>
      </c>
      <c r="H312" s="1" t="s">
        <v>12</v>
      </c>
      <c r="I312" s="1" t="s">
        <v>32</v>
      </c>
      <c r="J312" s="1" t="s">
        <v>14</v>
      </c>
    </row>
    <row r="313" spans="2:10" x14ac:dyDescent="0.3">
      <c r="B313" s="1" t="s">
        <v>593</v>
      </c>
      <c r="C313" s="1" t="s">
        <v>46</v>
      </c>
      <c r="D313" s="2" t="s">
        <v>594</v>
      </c>
      <c r="E313" s="2" t="s">
        <v>594</v>
      </c>
      <c r="F313" s="2" t="s">
        <v>11</v>
      </c>
      <c r="G313" s="3" t="s">
        <v>601</v>
      </c>
      <c r="H313" s="1" t="s">
        <v>12</v>
      </c>
      <c r="I313" s="1" t="s">
        <v>60</v>
      </c>
      <c r="J313" s="1" t="s">
        <v>14</v>
      </c>
    </row>
    <row r="314" spans="2:10" x14ac:dyDescent="0.3">
      <c r="B314" s="1" t="s">
        <v>593</v>
      </c>
      <c r="C314" s="1" t="s">
        <v>29</v>
      </c>
      <c r="D314" s="2" t="s">
        <v>596</v>
      </c>
      <c r="E314" s="2" t="s">
        <v>596</v>
      </c>
      <c r="F314" s="2" t="s">
        <v>11</v>
      </c>
      <c r="G314" s="3" t="s">
        <v>602</v>
      </c>
      <c r="H314" s="1" t="s">
        <v>12</v>
      </c>
      <c r="I314" s="1" t="s">
        <v>25</v>
      </c>
      <c r="J314" s="1" t="s">
        <v>14</v>
      </c>
    </row>
    <row r="315" spans="2:10" x14ac:dyDescent="0.3">
      <c r="B315" s="1" t="s">
        <v>593</v>
      </c>
      <c r="C315" s="1" t="s">
        <v>24</v>
      </c>
      <c r="D315" s="2" t="s">
        <v>603</v>
      </c>
      <c r="E315" s="2" t="s">
        <v>603</v>
      </c>
      <c r="F315" s="2" t="s">
        <v>11</v>
      </c>
      <c r="G315" s="3" t="s">
        <v>604</v>
      </c>
      <c r="H315" s="1" t="s">
        <v>12</v>
      </c>
      <c r="I315" s="1" t="s">
        <v>36</v>
      </c>
      <c r="J315" s="1" t="s">
        <v>14</v>
      </c>
    </row>
    <row r="316" spans="2:10" x14ac:dyDescent="0.3">
      <c r="B316" s="1" t="s">
        <v>593</v>
      </c>
      <c r="C316" s="1" t="s">
        <v>35</v>
      </c>
      <c r="D316" s="2" t="s">
        <v>596</v>
      </c>
      <c r="E316" s="2" t="s">
        <v>596</v>
      </c>
      <c r="F316" s="2" t="s">
        <v>11</v>
      </c>
      <c r="G316" s="3" t="s">
        <v>605</v>
      </c>
      <c r="H316" s="1" t="s">
        <v>12</v>
      </c>
      <c r="I316" s="1" t="s">
        <v>66</v>
      </c>
      <c r="J316" s="1" t="s">
        <v>14</v>
      </c>
    </row>
    <row r="317" spans="2:10" x14ac:dyDescent="0.3">
      <c r="B317" s="1" t="s">
        <v>593</v>
      </c>
      <c r="C317" s="1" t="s">
        <v>21</v>
      </c>
      <c r="D317" s="2" t="s">
        <v>594</v>
      </c>
      <c r="E317" s="2" t="s">
        <v>594</v>
      </c>
      <c r="F317" s="2" t="s">
        <v>11</v>
      </c>
      <c r="G317" s="3" t="s">
        <v>606</v>
      </c>
      <c r="H317" s="1" t="s">
        <v>12</v>
      </c>
      <c r="I317" s="1" t="s">
        <v>55</v>
      </c>
      <c r="J317" s="1" t="s">
        <v>14</v>
      </c>
    </row>
    <row r="318" spans="2:10" x14ac:dyDescent="0.3">
      <c r="B318" s="1" t="s">
        <v>593</v>
      </c>
      <c r="C318" s="1" t="s">
        <v>45</v>
      </c>
      <c r="D318" s="2" t="s">
        <v>594</v>
      </c>
      <c r="E318" s="2" t="s">
        <v>594</v>
      </c>
      <c r="F318" s="2" t="s">
        <v>11</v>
      </c>
      <c r="G318" s="3" t="s">
        <v>607</v>
      </c>
      <c r="H318" s="1" t="s">
        <v>12</v>
      </c>
      <c r="I318" s="1" t="s">
        <v>42</v>
      </c>
      <c r="J318" s="1" t="s">
        <v>14</v>
      </c>
    </row>
    <row r="319" spans="2:10" x14ac:dyDescent="0.3">
      <c r="B319" s="1" t="s">
        <v>593</v>
      </c>
      <c r="C319" s="1" t="s">
        <v>26</v>
      </c>
      <c r="D319" s="2" t="s">
        <v>594</v>
      </c>
      <c r="E319" s="2" t="s">
        <v>594</v>
      </c>
      <c r="F319" s="2" t="s">
        <v>11</v>
      </c>
      <c r="G319" s="3" t="s">
        <v>608</v>
      </c>
      <c r="H319" s="1" t="s">
        <v>12</v>
      </c>
      <c r="I319" s="1" t="s">
        <v>61</v>
      </c>
      <c r="J319" s="1" t="s">
        <v>14</v>
      </c>
    </row>
    <row r="320" spans="2:10" x14ac:dyDescent="0.3">
      <c r="B320" s="1" t="s">
        <v>593</v>
      </c>
      <c r="C320" s="1" t="s">
        <v>17</v>
      </c>
      <c r="D320" s="2" t="s">
        <v>609</v>
      </c>
      <c r="E320" s="2" t="s">
        <v>610</v>
      </c>
      <c r="F320" s="2" t="s">
        <v>11</v>
      </c>
      <c r="G320" s="3" t="s">
        <v>611</v>
      </c>
      <c r="H320" s="1" t="s">
        <v>12</v>
      </c>
      <c r="I320" s="1" t="s">
        <v>10</v>
      </c>
      <c r="J320" s="1" t="s">
        <v>52</v>
      </c>
    </row>
    <row r="321" spans="2:10" x14ac:dyDescent="0.3">
      <c r="B321" s="1" t="s">
        <v>593</v>
      </c>
      <c r="C321" s="1" t="s">
        <v>10</v>
      </c>
      <c r="D321" s="2" t="s">
        <v>596</v>
      </c>
      <c r="E321" s="2" t="s">
        <v>596</v>
      </c>
      <c r="F321" s="2" t="s">
        <v>11</v>
      </c>
      <c r="G321" s="3" t="s">
        <v>612</v>
      </c>
      <c r="H321" s="1" t="s">
        <v>12</v>
      </c>
      <c r="I321" s="1" t="s">
        <v>80</v>
      </c>
      <c r="J321" s="1" t="s">
        <v>14</v>
      </c>
    </row>
    <row r="322" spans="2:10" x14ac:dyDescent="0.3">
      <c r="B322" s="1" t="s">
        <v>593</v>
      </c>
      <c r="C322" s="1" t="s">
        <v>23</v>
      </c>
      <c r="D322" s="2" t="s">
        <v>594</v>
      </c>
      <c r="E322" s="2" t="s">
        <v>594</v>
      </c>
      <c r="F322" s="2" t="s">
        <v>11</v>
      </c>
      <c r="G322" s="3" t="s">
        <v>613</v>
      </c>
      <c r="H322" s="1" t="s">
        <v>12</v>
      </c>
      <c r="I322" s="1" t="s">
        <v>16</v>
      </c>
      <c r="J322" s="1" t="s">
        <v>14</v>
      </c>
    </row>
    <row r="323" spans="2:10" x14ac:dyDescent="0.3">
      <c r="B323" s="1" t="s">
        <v>593</v>
      </c>
      <c r="C323" s="1" t="s">
        <v>41</v>
      </c>
      <c r="D323" s="2" t="s">
        <v>614</v>
      </c>
      <c r="E323" s="2" t="s">
        <v>614</v>
      </c>
      <c r="F323" s="2" t="s">
        <v>11</v>
      </c>
      <c r="G323" s="3" t="s">
        <v>615</v>
      </c>
      <c r="H323" s="1" t="s">
        <v>12</v>
      </c>
      <c r="I323" s="1" t="s">
        <v>101</v>
      </c>
      <c r="J323" s="1" t="s">
        <v>14</v>
      </c>
    </row>
    <row r="324" spans="2:10" x14ac:dyDescent="0.3">
      <c r="B324" s="1" t="s">
        <v>593</v>
      </c>
      <c r="C324" s="1" t="s">
        <v>39</v>
      </c>
      <c r="D324" s="2" t="s">
        <v>616</v>
      </c>
      <c r="E324" s="2" t="s">
        <v>617</v>
      </c>
      <c r="F324" s="2" t="s">
        <v>11</v>
      </c>
      <c r="G324" s="3" t="s">
        <v>315</v>
      </c>
      <c r="H324" s="1" t="s">
        <v>12</v>
      </c>
      <c r="I324" s="1" t="s">
        <v>35</v>
      </c>
      <c r="J324" s="1" t="s">
        <v>52</v>
      </c>
    </row>
    <row r="325" spans="2:10" x14ac:dyDescent="0.3">
      <c r="B325" s="1" t="s">
        <v>593</v>
      </c>
      <c r="C325" s="1" t="s">
        <v>19</v>
      </c>
      <c r="D325" s="2" t="s">
        <v>596</v>
      </c>
      <c r="E325" s="2" t="s">
        <v>596</v>
      </c>
      <c r="F325" s="2" t="s">
        <v>11</v>
      </c>
      <c r="G325" s="3" t="s">
        <v>618</v>
      </c>
      <c r="H325" s="1" t="s">
        <v>12</v>
      </c>
      <c r="I325" s="1" t="s">
        <v>79</v>
      </c>
      <c r="J325" s="1" t="s">
        <v>14</v>
      </c>
    </row>
    <row r="326" spans="2:10" x14ac:dyDescent="0.3">
      <c r="B326" s="1" t="s">
        <v>619</v>
      </c>
      <c r="C326" s="1" t="s">
        <v>33</v>
      </c>
      <c r="D326" s="2" t="s">
        <v>620</v>
      </c>
      <c r="E326" s="2" t="s">
        <v>620</v>
      </c>
      <c r="F326" s="2" t="s">
        <v>11</v>
      </c>
      <c r="G326" s="3" t="s">
        <v>621</v>
      </c>
      <c r="H326" s="1" t="s">
        <v>12</v>
      </c>
      <c r="I326" s="1" t="s">
        <v>42</v>
      </c>
      <c r="J326" s="1" t="s">
        <v>14</v>
      </c>
    </row>
    <row r="327" spans="2:10" x14ac:dyDescent="0.3">
      <c r="B327" s="1" t="s">
        <v>619</v>
      </c>
      <c r="C327" s="1" t="s">
        <v>15</v>
      </c>
      <c r="D327" s="2" t="s">
        <v>622</v>
      </c>
      <c r="E327" s="2" t="s">
        <v>622</v>
      </c>
      <c r="F327" s="2" t="s">
        <v>11</v>
      </c>
      <c r="G327" s="3" t="s">
        <v>623</v>
      </c>
      <c r="H327" s="1" t="s">
        <v>12</v>
      </c>
      <c r="I327" s="1" t="s">
        <v>51</v>
      </c>
      <c r="J327" s="1" t="s">
        <v>14</v>
      </c>
    </row>
    <row r="328" spans="2:10" x14ac:dyDescent="0.3">
      <c r="B328" s="1" t="s">
        <v>619</v>
      </c>
      <c r="C328" s="1" t="s">
        <v>29</v>
      </c>
      <c r="D328" s="2" t="s">
        <v>624</v>
      </c>
      <c r="E328" s="2" t="s">
        <v>625</v>
      </c>
      <c r="F328" s="2" t="s">
        <v>11</v>
      </c>
      <c r="G328" s="3" t="s">
        <v>626</v>
      </c>
      <c r="H328" s="1" t="s">
        <v>12</v>
      </c>
      <c r="I328" s="1" t="s">
        <v>23</v>
      </c>
      <c r="J328" s="1" t="s">
        <v>52</v>
      </c>
    </row>
    <row r="329" spans="2:10" x14ac:dyDescent="0.3">
      <c r="B329" s="1" t="s">
        <v>619</v>
      </c>
      <c r="C329" s="1" t="s">
        <v>28</v>
      </c>
      <c r="D329" s="2" t="s">
        <v>197</v>
      </c>
      <c r="E329" s="2" t="s">
        <v>197</v>
      </c>
      <c r="F329" s="2" t="s">
        <v>11</v>
      </c>
      <c r="G329" s="3" t="s">
        <v>627</v>
      </c>
      <c r="H329" s="1" t="s">
        <v>12</v>
      </c>
      <c r="I329" s="1" t="s">
        <v>78</v>
      </c>
      <c r="J329" s="1" t="s">
        <v>14</v>
      </c>
    </row>
    <row r="330" spans="2:10" x14ac:dyDescent="0.3">
      <c r="B330" s="1" t="s">
        <v>619</v>
      </c>
      <c r="C330" s="1" t="s">
        <v>21</v>
      </c>
      <c r="D330" s="2" t="s">
        <v>628</v>
      </c>
      <c r="E330" s="2" t="s">
        <v>628</v>
      </c>
      <c r="F330" s="2" t="s">
        <v>11</v>
      </c>
      <c r="G330" s="3" t="s">
        <v>629</v>
      </c>
      <c r="H330" s="1" t="s">
        <v>12</v>
      </c>
      <c r="I330" s="1" t="s">
        <v>42</v>
      </c>
      <c r="J330" s="1" t="s">
        <v>14</v>
      </c>
    </row>
    <row r="331" spans="2:10" x14ac:dyDescent="0.3">
      <c r="B331" s="1" t="s">
        <v>619</v>
      </c>
      <c r="C331" s="1" t="s">
        <v>31</v>
      </c>
      <c r="D331" s="2" t="s">
        <v>630</v>
      </c>
      <c r="E331" s="2" t="s">
        <v>630</v>
      </c>
      <c r="F331" s="2" t="s">
        <v>11</v>
      </c>
      <c r="G331" s="3" t="s">
        <v>631</v>
      </c>
      <c r="H331" s="1" t="s">
        <v>12</v>
      </c>
      <c r="I331" s="1" t="s">
        <v>44</v>
      </c>
      <c r="J331" s="1" t="s">
        <v>14</v>
      </c>
    </row>
    <row r="332" spans="2:10" x14ac:dyDescent="0.3">
      <c r="B332" s="1" t="s">
        <v>619</v>
      </c>
      <c r="C332" s="1" t="s">
        <v>17</v>
      </c>
      <c r="D332" s="2" t="s">
        <v>632</v>
      </c>
      <c r="E332" s="2" t="s">
        <v>632</v>
      </c>
      <c r="F332" s="2" t="s">
        <v>11</v>
      </c>
      <c r="G332" s="3" t="s">
        <v>633</v>
      </c>
      <c r="H332" s="1" t="s">
        <v>12</v>
      </c>
      <c r="I332" s="1" t="s">
        <v>30</v>
      </c>
      <c r="J332" s="1" t="s">
        <v>14</v>
      </c>
    </row>
    <row r="333" spans="2:10" x14ac:dyDescent="0.3">
      <c r="B333" s="1" t="s">
        <v>619</v>
      </c>
      <c r="C333" s="1" t="s">
        <v>24</v>
      </c>
      <c r="D333" s="2" t="s">
        <v>628</v>
      </c>
      <c r="E333" s="2" t="s">
        <v>628</v>
      </c>
      <c r="F333" s="2" t="s">
        <v>11</v>
      </c>
      <c r="G333" s="3" t="s">
        <v>634</v>
      </c>
      <c r="H333" s="1" t="s">
        <v>12</v>
      </c>
      <c r="I333" s="1" t="s">
        <v>50</v>
      </c>
      <c r="J333" s="1" t="s">
        <v>14</v>
      </c>
    </row>
    <row r="334" spans="2:10" x14ac:dyDescent="0.3">
      <c r="B334" s="1" t="s">
        <v>619</v>
      </c>
      <c r="C334" s="1" t="s">
        <v>39</v>
      </c>
      <c r="D334" s="2" t="s">
        <v>635</v>
      </c>
      <c r="E334" s="2" t="s">
        <v>635</v>
      </c>
      <c r="F334" s="2" t="s">
        <v>11</v>
      </c>
      <c r="G334" s="3" t="s">
        <v>636</v>
      </c>
      <c r="H334" s="1" t="s">
        <v>12</v>
      </c>
      <c r="I334" s="1" t="s">
        <v>30</v>
      </c>
      <c r="J334" s="1" t="s">
        <v>52</v>
      </c>
    </row>
    <row r="335" spans="2:10" x14ac:dyDescent="0.3">
      <c r="B335" s="1" t="s">
        <v>619</v>
      </c>
      <c r="C335" s="1" t="s">
        <v>19</v>
      </c>
      <c r="D335" s="2" t="s">
        <v>632</v>
      </c>
      <c r="E335" s="2" t="s">
        <v>632</v>
      </c>
      <c r="F335" s="2" t="s">
        <v>11</v>
      </c>
      <c r="G335" s="3" t="s">
        <v>637</v>
      </c>
      <c r="H335" s="1" t="s">
        <v>12</v>
      </c>
      <c r="I335" s="1" t="s">
        <v>66</v>
      </c>
      <c r="J335" s="1" t="s">
        <v>14</v>
      </c>
    </row>
    <row r="336" spans="2:10" x14ac:dyDescent="0.3">
      <c r="B336" s="1" t="s">
        <v>619</v>
      </c>
      <c r="C336" s="1" t="s">
        <v>36</v>
      </c>
      <c r="D336" s="2" t="s">
        <v>638</v>
      </c>
      <c r="E336" s="2" t="s">
        <v>638</v>
      </c>
      <c r="F336" s="2" t="s">
        <v>11</v>
      </c>
      <c r="G336" s="3" t="s">
        <v>639</v>
      </c>
      <c r="H336" s="1" t="s">
        <v>12</v>
      </c>
      <c r="I336" s="1" t="s">
        <v>63</v>
      </c>
      <c r="J336" s="1" t="s">
        <v>14</v>
      </c>
    </row>
    <row r="337" spans="2:10" x14ac:dyDescent="0.3">
      <c r="B337" s="1" t="s">
        <v>619</v>
      </c>
      <c r="C337" s="1" t="s">
        <v>46</v>
      </c>
      <c r="D337" s="2" t="s">
        <v>638</v>
      </c>
      <c r="E337" s="2" t="s">
        <v>638</v>
      </c>
      <c r="F337" s="2" t="s">
        <v>11</v>
      </c>
      <c r="G337" s="3" t="s">
        <v>640</v>
      </c>
      <c r="H337" s="1" t="s">
        <v>12</v>
      </c>
      <c r="I337" s="1" t="s">
        <v>44</v>
      </c>
      <c r="J337" s="1" t="s">
        <v>14</v>
      </c>
    </row>
    <row r="338" spans="2:10" x14ac:dyDescent="0.3">
      <c r="B338" s="1" t="s">
        <v>619</v>
      </c>
      <c r="C338" s="1" t="s">
        <v>43</v>
      </c>
      <c r="D338" s="2" t="s">
        <v>625</v>
      </c>
      <c r="E338" s="2" t="s">
        <v>625</v>
      </c>
      <c r="F338" s="2" t="s">
        <v>11</v>
      </c>
      <c r="G338" s="3" t="s">
        <v>641</v>
      </c>
      <c r="H338" s="1" t="s">
        <v>12</v>
      </c>
      <c r="I338" s="1" t="s">
        <v>13</v>
      </c>
      <c r="J338" s="1" t="s">
        <v>14</v>
      </c>
    </row>
    <row r="339" spans="2:10" x14ac:dyDescent="0.3">
      <c r="B339" s="1" t="s">
        <v>619</v>
      </c>
      <c r="C339" s="1" t="s">
        <v>23</v>
      </c>
      <c r="D339" s="2" t="s">
        <v>632</v>
      </c>
      <c r="E339" s="2" t="s">
        <v>632</v>
      </c>
      <c r="F339" s="2" t="s">
        <v>11</v>
      </c>
      <c r="G339" s="3" t="s">
        <v>510</v>
      </c>
      <c r="H339" s="1" t="s">
        <v>12</v>
      </c>
      <c r="I339" s="1" t="s">
        <v>39</v>
      </c>
      <c r="J339" s="1" t="s">
        <v>14</v>
      </c>
    </row>
    <row r="340" spans="2:10" x14ac:dyDescent="0.3">
      <c r="B340" s="1" t="s">
        <v>619</v>
      </c>
      <c r="C340" s="1" t="s">
        <v>26</v>
      </c>
      <c r="D340" s="2" t="s">
        <v>620</v>
      </c>
      <c r="E340" s="2" t="s">
        <v>620</v>
      </c>
      <c r="F340" s="2" t="s">
        <v>11</v>
      </c>
      <c r="G340" s="3" t="s">
        <v>642</v>
      </c>
      <c r="H340" s="1" t="s">
        <v>12</v>
      </c>
      <c r="I340" s="1" t="s">
        <v>79</v>
      </c>
      <c r="J340" s="1" t="s">
        <v>14</v>
      </c>
    </row>
    <row r="341" spans="2:10" x14ac:dyDescent="0.3">
      <c r="B341" s="1" t="s">
        <v>619</v>
      </c>
      <c r="C341" s="1" t="s">
        <v>35</v>
      </c>
      <c r="D341" s="2" t="s">
        <v>620</v>
      </c>
      <c r="E341" s="2" t="s">
        <v>620</v>
      </c>
      <c r="F341" s="2" t="s">
        <v>11</v>
      </c>
      <c r="G341" s="3" t="s">
        <v>643</v>
      </c>
      <c r="H341" s="1" t="s">
        <v>12</v>
      </c>
      <c r="I341" s="1" t="s">
        <v>61</v>
      </c>
      <c r="J341" s="1" t="s">
        <v>14</v>
      </c>
    </row>
    <row r="342" spans="2:10" x14ac:dyDescent="0.3">
      <c r="B342" s="1" t="s">
        <v>619</v>
      </c>
      <c r="C342" s="1" t="s">
        <v>41</v>
      </c>
      <c r="D342" s="2" t="s">
        <v>625</v>
      </c>
      <c r="E342" s="2" t="s">
        <v>625</v>
      </c>
      <c r="F342" s="2" t="s">
        <v>11</v>
      </c>
      <c r="G342" s="3" t="s">
        <v>644</v>
      </c>
      <c r="H342" s="1" t="s">
        <v>12</v>
      </c>
      <c r="I342" s="1" t="s">
        <v>27</v>
      </c>
      <c r="J342" s="1" t="s">
        <v>14</v>
      </c>
    </row>
    <row r="343" spans="2:10" x14ac:dyDescent="0.3">
      <c r="B343" s="1" t="s">
        <v>619</v>
      </c>
      <c r="C343" s="1" t="s">
        <v>10</v>
      </c>
      <c r="D343" s="2" t="s">
        <v>620</v>
      </c>
      <c r="E343" s="2" t="s">
        <v>620</v>
      </c>
      <c r="F343" s="2" t="s">
        <v>11</v>
      </c>
      <c r="G343" s="3" t="s">
        <v>645</v>
      </c>
      <c r="H343" s="1" t="s">
        <v>12</v>
      </c>
      <c r="I343" s="1" t="s">
        <v>64</v>
      </c>
      <c r="J343" s="1" t="s">
        <v>14</v>
      </c>
    </row>
    <row r="344" spans="2:10" x14ac:dyDescent="0.3">
      <c r="B344" s="1" t="s">
        <v>619</v>
      </c>
      <c r="C344" s="1" t="s">
        <v>38</v>
      </c>
      <c r="D344" s="2" t="s">
        <v>620</v>
      </c>
      <c r="E344" s="2" t="s">
        <v>620</v>
      </c>
      <c r="F344" s="2" t="s">
        <v>11</v>
      </c>
      <c r="G344" s="3" t="s">
        <v>646</v>
      </c>
      <c r="H344" s="1" t="s">
        <v>12</v>
      </c>
      <c r="I344" s="1" t="s">
        <v>25</v>
      </c>
      <c r="J344" s="1" t="s">
        <v>14</v>
      </c>
    </row>
    <row r="345" spans="2:10" x14ac:dyDescent="0.3">
      <c r="B345" s="1" t="s">
        <v>619</v>
      </c>
      <c r="C345" s="1" t="s">
        <v>45</v>
      </c>
      <c r="D345" s="2" t="s">
        <v>628</v>
      </c>
      <c r="E345" s="2" t="s">
        <v>628</v>
      </c>
      <c r="F345" s="2" t="s">
        <v>11</v>
      </c>
      <c r="G345" s="3" t="s">
        <v>647</v>
      </c>
      <c r="H345" s="1" t="s">
        <v>12</v>
      </c>
      <c r="I345" s="1" t="s">
        <v>47</v>
      </c>
      <c r="J345" s="1" t="s">
        <v>14</v>
      </c>
    </row>
    <row r="346" spans="2:10" x14ac:dyDescent="0.3">
      <c r="B346" s="1" t="s">
        <v>648</v>
      </c>
      <c r="C346" s="1" t="s">
        <v>17</v>
      </c>
      <c r="D346" s="2" t="s">
        <v>649</v>
      </c>
      <c r="E346" s="2" t="s">
        <v>650</v>
      </c>
      <c r="F346" s="2" t="s">
        <v>11</v>
      </c>
      <c r="G346" s="3" t="s">
        <v>651</v>
      </c>
      <c r="H346" s="1" t="s">
        <v>12</v>
      </c>
      <c r="I346" s="1" t="s">
        <v>10</v>
      </c>
      <c r="J346" s="1" t="s">
        <v>52</v>
      </c>
    </row>
    <row r="347" spans="2:10" x14ac:dyDescent="0.3">
      <c r="B347" s="1" t="s">
        <v>648</v>
      </c>
      <c r="C347" s="1" t="s">
        <v>29</v>
      </c>
      <c r="D347" s="2" t="s">
        <v>342</v>
      </c>
      <c r="E347" s="2" t="s">
        <v>342</v>
      </c>
      <c r="F347" s="2" t="s">
        <v>11</v>
      </c>
      <c r="G347" s="3" t="s">
        <v>652</v>
      </c>
      <c r="H347" s="1" t="s">
        <v>12</v>
      </c>
      <c r="I347" s="1" t="s">
        <v>65</v>
      </c>
      <c r="J347" s="1" t="s">
        <v>14</v>
      </c>
    </row>
    <row r="348" spans="2:10" x14ac:dyDescent="0.3">
      <c r="B348" s="1" t="s">
        <v>648</v>
      </c>
      <c r="C348" s="1" t="s">
        <v>19</v>
      </c>
      <c r="D348" s="2" t="s">
        <v>653</v>
      </c>
      <c r="E348" s="2" t="s">
        <v>653</v>
      </c>
      <c r="F348" s="2" t="s">
        <v>11</v>
      </c>
      <c r="G348" s="3" t="s">
        <v>654</v>
      </c>
      <c r="H348" s="1" t="s">
        <v>12</v>
      </c>
      <c r="I348" s="1" t="s">
        <v>62</v>
      </c>
      <c r="J348" s="1" t="s">
        <v>14</v>
      </c>
    </row>
    <row r="349" spans="2:10" x14ac:dyDescent="0.3">
      <c r="B349" s="1" t="s">
        <v>648</v>
      </c>
      <c r="C349" s="1" t="s">
        <v>41</v>
      </c>
      <c r="D349" s="2" t="s">
        <v>655</v>
      </c>
      <c r="E349" s="2" t="s">
        <v>655</v>
      </c>
      <c r="F349" s="2" t="s">
        <v>11</v>
      </c>
      <c r="G349" s="3" t="s">
        <v>656</v>
      </c>
      <c r="H349" s="1" t="s">
        <v>12</v>
      </c>
      <c r="I349" s="1" t="s">
        <v>48</v>
      </c>
      <c r="J349" s="1" t="s">
        <v>14</v>
      </c>
    </row>
    <row r="350" spans="2:10" x14ac:dyDescent="0.3">
      <c r="B350" s="1" t="s">
        <v>648</v>
      </c>
      <c r="C350" s="1" t="s">
        <v>35</v>
      </c>
      <c r="D350" s="2" t="s">
        <v>342</v>
      </c>
      <c r="E350" s="2" t="s">
        <v>342</v>
      </c>
      <c r="F350" s="2" t="s">
        <v>11</v>
      </c>
      <c r="G350" s="3" t="s">
        <v>657</v>
      </c>
      <c r="H350" s="1" t="s">
        <v>12</v>
      </c>
      <c r="I350" s="1" t="s">
        <v>102</v>
      </c>
      <c r="J350" s="1" t="s">
        <v>14</v>
      </c>
    </row>
    <row r="351" spans="2:10" x14ac:dyDescent="0.3">
      <c r="B351" s="1" t="s">
        <v>648</v>
      </c>
      <c r="C351" s="1" t="s">
        <v>10</v>
      </c>
      <c r="D351" s="2" t="s">
        <v>342</v>
      </c>
      <c r="E351" s="2" t="s">
        <v>342</v>
      </c>
      <c r="F351" s="2" t="s">
        <v>11</v>
      </c>
      <c r="G351" s="3" t="s">
        <v>639</v>
      </c>
      <c r="H351" s="1" t="s">
        <v>12</v>
      </c>
      <c r="I351" s="1" t="s">
        <v>54</v>
      </c>
      <c r="J351" s="1" t="s">
        <v>14</v>
      </c>
    </row>
    <row r="352" spans="2:10" x14ac:dyDescent="0.3">
      <c r="B352" s="1" t="s">
        <v>648</v>
      </c>
      <c r="C352" s="1" t="s">
        <v>43</v>
      </c>
      <c r="D352" s="2" t="s">
        <v>658</v>
      </c>
      <c r="E352" s="2" t="s">
        <v>658</v>
      </c>
      <c r="F352" s="2" t="s">
        <v>11</v>
      </c>
      <c r="G352" s="3" t="s">
        <v>659</v>
      </c>
      <c r="H352" s="1" t="s">
        <v>12</v>
      </c>
      <c r="I352" s="1" t="s">
        <v>65</v>
      </c>
      <c r="J352" s="1" t="s">
        <v>14</v>
      </c>
    </row>
    <row r="353" spans="2:10" x14ac:dyDescent="0.3">
      <c r="B353" s="1" t="s">
        <v>648</v>
      </c>
      <c r="C353" s="1" t="s">
        <v>39</v>
      </c>
      <c r="D353" s="2" t="s">
        <v>660</v>
      </c>
      <c r="E353" s="2" t="s">
        <v>660</v>
      </c>
      <c r="F353" s="2" t="s">
        <v>11</v>
      </c>
      <c r="G353" s="3" t="s">
        <v>661</v>
      </c>
      <c r="H353" s="1" t="s">
        <v>12</v>
      </c>
      <c r="I353" s="1" t="s">
        <v>47</v>
      </c>
      <c r="J353" s="1" t="s">
        <v>14</v>
      </c>
    </row>
    <row r="354" spans="2:10" x14ac:dyDescent="0.3">
      <c r="B354" s="1" t="s">
        <v>648</v>
      </c>
      <c r="C354" s="1" t="s">
        <v>36</v>
      </c>
      <c r="D354" s="2" t="s">
        <v>658</v>
      </c>
      <c r="E354" s="2" t="s">
        <v>658</v>
      </c>
      <c r="F354" s="2" t="s">
        <v>11</v>
      </c>
      <c r="G354" s="3" t="s">
        <v>662</v>
      </c>
      <c r="H354" s="1" t="s">
        <v>12</v>
      </c>
      <c r="I354" s="1" t="s">
        <v>22</v>
      </c>
      <c r="J354" s="1" t="s">
        <v>14</v>
      </c>
    </row>
    <row r="355" spans="2:10" x14ac:dyDescent="0.3">
      <c r="B355" s="1" t="s">
        <v>648</v>
      </c>
      <c r="C355" s="1" t="s">
        <v>26</v>
      </c>
      <c r="D355" s="2" t="s">
        <v>342</v>
      </c>
      <c r="E355" s="2" t="s">
        <v>342</v>
      </c>
      <c r="F355" s="2" t="s">
        <v>11</v>
      </c>
      <c r="G355" s="3" t="s">
        <v>663</v>
      </c>
      <c r="H355" s="1" t="s">
        <v>12</v>
      </c>
      <c r="I355" s="1" t="s">
        <v>83</v>
      </c>
      <c r="J355" s="1" t="s">
        <v>14</v>
      </c>
    </row>
    <row r="356" spans="2:10" x14ac:dyDescent="0.3">
      <c r="B356" s="1" t="s">
        <v>648</v>
      </c>
      <c r="C356" s="1" t="s">
        <v>24</v>
      </c>
      <c r="D356" s="2" t="s">
        <v>664</v>
      </c>
      <c r="E356" s="2" t="s">
        <v>664</v>
      </c>
      <c r="F356" s="2" t="s">
        <v>11</v>
      </c>
      <c r="G356" s="3" t="s">
        <v>665</v>
      </c>
      <c r="H356" s="1" t="s">
        <v>12</v>
      </c>
      <c r="I356" s="1" t="s">
        <v>22</v>
      </c>
      <c r="J356" s="1" t="s">
        <v>14</v>
      </c>
    </row>
    <row r="357" spans="2:10" x14ac:dyDescent="0.3">
      <c r="B357" s="1" t="s">
        <v>648</v>
      </c>
      <c r="C357" s="1" t="s">
        <v>15</v>
      </c>
      <c r="D357" s="2" t="s">
        <v>660</v>
      </c>
      <c r="E357" s="2" t="s">
        <v>660</v>
      </c>
      <c r="F357" s="2" t="s">
        <v>11</v>
      </c>
      <c r="G357" s="3" t="s">
        <v>666</v>
      </c>
      <c r="H357" s="1" t="s">
        <v>12</v>
      </c>
      <c r="I357" s="1" t="s">
        <v>49</v>
      </c>
      <c r="J357" s="1" t="s">
        <v>14</v>
      </c>
    </row>
    <row r="358" spans="2:10" x14ac:dyDescent="0.3">
      <c r="B358" s="1" t="s">
        <v>648</v>
      </c>
      <c r="C358" s="1" t="s">
        <v>38</v>
      </c>
      <c r="D358" s="2" t="s">
        <v>361</v>
      </c>
      <c r="E358" s="2" t="s">
        <v>667</v>
      </c>
      <c r="F358" s="2" t="s">
        <v>11</v>
      </c>
      <c r="G358" s="3" t="s">
        <v>668</v>
      </c>
      <c r="H358" s="1" t="s">
        <v>12</v>
      </c>
      <c r="I358" s="1" t="s">
        <v>35</v>
      </c>
      <c r="J358" s="1" t="s">
        <v>52</v>
      </c>
    </row>
    <row r="359" spans="2:10" x14ac:dyDescent="0.3">
      <c r="B359" s="1" t="s">
        <v>648</v>
      </c>
      <c r="C359" s="1" t="s">
        <v>23</v>
      </c>
      <c r="D359" s="2" t="s">
        <v>669</v>
      </c>
      <c r="E359" s="2" t="s">
        <v>669</v>
      </c>
      <c r="F359" s="2" t="s">
        <v>11</v>
      </c>
      <c r="G359" s="3" t="s">
        <v>670</v>
      </c>
      <c r="H359" s="1" t="s">
        <v>12</v>
      </c>
      <c r="I359" s="1" t="s">
        <v>32</v>
      </c>
      <c r="J359" s="1" t="s">
        <v>14</v>
      </c>
    </row>
    <row r="360" spans="2:10" x14ac:dyDescent="0.3">
      <c r="B360" s="1" t="s">
        <v>648</v>
      </c>
      <c r="C360" s="1" t="s">
        <v>28</v>
      </c>
      <c r="D360" s="2" t="s">
        <v>671</v>
      </c>
      <c r="E360" s="2" t="s">
        <v>671</v>
      </c>
      <c r="F360" s="2" t="s">
        <v>11</v>
      </c>
      <c r="G360" s="3" t="s">
        <v>672</v>
      </c>
      <c r="H360" s="1" t="s">
        <v>12</v>
      </c>
      <c r="I360" s="1" t="s">
        <v>25</v>
      </c>
      <c r="J360" s="1" t="s">
        <v>14</v>
      </c>
    </row>
    <row r="361" spans="2:10" x14ac:dyDescent="0.3">
      <c r="B361" s="1" t="s">
        <v>648</v>
      </c>
      <c r="C361" s="1" t="s">
        <v>21</v>
      </c>
      <c r="D361" s="2" t="s">
        <v>673</v>
      </c>
      <c r="E361" s="2" t="s">
        <v>673</v>
      </c>
      <c r="F361" s="2" t="s">
        <v>11</v>
      </c>
      <c r="G361" s="3" t="s">
        <v>674</v>
      </c>
      <c r="H361" s="1" t="s">
        <v>12</v>
      </c>
      <c r="I361" s="1" t="s">
        <v>13</v>
      </c>
      <c r="J361" s="1" t="s">
        <v>14</v>
      </c>
    </row>
    <row r="362" spans="2:10" x14ac:dyDescent="0.3">
      <c r="B362" s="1" t="s">
        <v>648</v>
      </c>
      <c r="C362" s="1" t="s">
        <v>33</v>
      </c>
      <c r="D362" s="2" t="s">
        <v>660</v>
      </c>
      <c r="E362" s="2" t="s">
        <v>660</v>
      </c>
      <c r="F362" s="2" t="s">
        <v>11</v>
      </c>
      <c r="G362" s="3" t="s">
        <v>675</v>
      </c>
      <c r="H362" s="1" t="s">
        <v>12</v>
      </c>
      <c r="I362" s="1" t="s">
        <v>87</v>
      </c>
      <c r="J362" s="1" t="s">
        <v>14</v>
      </c>
    </row>
    <row r="363" spans="2:10" x14ac:dyDescent="0.3">
      <c r="B363" s="1" t="s">
        <v>648</v>
      </c>
      <c r="C363" s="1" t="s">
        <v>31</v>
      </c>
      <c r="D363" s="2" t="s">
        <v>676</v>
      </c>
      <c r="E363" s="2" t="s">
        <v>676</v>
      </c>
      <c r="F363" s="2" t="s">
        <v>11</v>
      </c>
      <c r="G363" s="3" t="s">
        <v>677</v>
      </c>
      <c r="H363" s="1" t="s">
        <v>12</v>
      </c>
      <c r="I363" s="1" t="s">
        <v>65</v>
      </c>
      <c r="J363" s="1" t="s">
        <v>14</v>
      </c>
    </row>
    <row r="364" spans="2:10" x14ac:dyDescent="0.3">
      <c r="B364" s="1" t="s">
        <v>648</v>
      </c>
      <c r="C364" s="1" t="s">
        <v>46</v>
      </c>
      <c r="D364" s="2" t="s">
        <v>653</v>
      </c>
      <c r="E364" s="2" t="s">
        <v>653</v>
      </c>
      <c r="F364" s="2" t="s">
        <v>11</v>
      </c>
      <c r="G364" s="3" t="s">
        <v>678</v>
      </c>
      <c r="H364" s="1" t="s">
        <v>12</v>
      </c>
      <c r="I364" s="1" t="s">
        <v>40</v>
      </c>
      <c r="J364" s="1" t="s">
        <v>14</v>
      </c>
    </row>
    <row r="365" spans="2:10" x14ac:dyDescent="0.3">
      <c r="B365" s="1" t="s">
        <v>648</v>
      </c>
      <c r="C365" s="1" t="s">
        <v>45</v>
      </c>
      <c r="D365" s="2" t="s">
        <v>653</v>
      </c>
      <c r="E365" s="2" t="s">
        <v>653</v>
      </c>
      <c r="F365" s="2" t="s">
        <v>11</v>
      </c>
      <c r="G365" s="3" t="s">
        <v>661</v>
      </c>
      <c r="H365" s="1" t="s">
        <v>12</v>
      </c>
      <c r="I365" s="1" t="s">
        <v>89</v>
      </c>
      <c r="J365" s="1" t="s">
        <v>14</v>
      </c>
    </row>
    <row r="366" spans="2:10" x14ac:dyDescent="0.3">
      <c r="B366" s="1" t="s">
        <v>679</v>
      </c>
      <c r="C366" s="1" t="s">
        <v>29</v>
      </c>
      <c r="D366" s="2" t="s">
        <v>526</v>
      </c>
      <c r="E366" s="2" t="s">
        <v>526</v>
      </c>
      <c r="F366" s="2" t="s">
        <v>11</v>
      </c>
      <c r="G366" s="3" t="s">
        <v>680</v>
      </c>
      <c r="H366" s="1" t="s">
        <v>12</v>
      </c>
      <c r="I366" s="1" t="s">
        <v>51</v>
      </c>
      <c r="J366" s="1" t="s">
        <v>14</v>
      </c>
    </row>
    <row r="367" spans="2:10" x14ac:dyDescent="0.3">
      <c r="B367" s="1" t="s">
        <v>679</v>
      </c>
      <c r="C367" s="1" t="s">
        <v>33</v>
      </c>
      <c r="D367" s="2" t="s">
        <v>248</v>
      </c>
      <c r="E367" s="2" t="s">
        <v>248</v>
      </c>
      <c r="F367" s="2" t="s">
        <v>11</v>
      </c>
      <c r="G367" s="3" t="s">
        <v>681</v>
      </c>
      <c r="H367" s="1" t="s">
        <v>12</v>
      </c>
      <c r="I367" s="1" t="s">
        <v>54</v>
      </c>
      <c r="J367" s="1" t="s">
        <v>14</v>
      </c>
    </row>
    <row r="368" spans="2:10" x14ac:dyDescent="0.3">
      <c r="B368" s="1" t="s">
        <v>679</v>
      </c>
      <c r="C368" s="1" t="s">
        <v>26</v>
      </c>
      <c r="D368" s="2" t="s">
        <v>248</v>
      </c>
      <c r="E368" s="2" t="s">
        <v>248</v>
      </c>
      <c r="F368" s="2" t="s">
        <v>11</v>
      </c>
      <c r="G368" s="3" t="s">
        <v>682</v>
      </c>
      <c r="H368" s="1" t="s">
        <v>12</v>
      </c>
      <c r="I368" s="1" t="s">
        <v>84</v>
      </c>
      <c r="J368" s="1" t="s">
        <v>14</v>
      </c>
    </row>
    <row r="369" spans="2:10" x14ac:dyDescent="0.3">
      <c r="B369" s="1" t="s">
        <v>679</v>
      </c>
      <c r="C369" s="1" t="s">
        <v>23</v>
      </c>
      <c r="D369" s="2" t="s">
        <v>526</v>
      </c>
      <c r="E369" s="2" t="s">
        <v>526</v>
      </c>
      <c r="F369" s="2" t="s">
        <v>11</v>
      </c>
      <c r="G369" s="3" t="s">
        <v>683</v>
      </c>
      <c r="H369" s="1" t="s">
        <v>12</v>
      </c>
      <c r="I369" s="1" t="s">
        <v>50</v>
      </c>
      <c r="J369" s="1" t="s">
        <v>14</v>
      </c>
    </row>
    <row r="370" spans="2:10" x14ac:dyDescent="0.3">
      <c r="B370" s="1" t="s">
        <v>679</v>
      </c>
      <c r="C370" s="1" t="s">
        <v>43</v>
      </c>
      <c r="D370" s="2" t="s">
        <v>248</v>
      </c>
      <c r="E370" s="2" t="s">
        <v>248</v>
      </c>
      <c r="F370" s="2" t="s">
        <v>11</v>
      </c>
      <c r="G370" s="3" t="s">
        <v>684</v>
      </c>
      <c r="H370" s="1" t="s">
        <v>12</v>
      </c>
      <c r="I370" s="1" t="s">
        <v>74</v>
      </c>
      <c r="J370" s="1" t="s">
        <v>14</v>
      </c>
    </row>
    <row r="371" spans="2:10" x14ac:dyDescent="0.3">
      <c r="B371" s="1" t="s">
        <v>679</v>
      </c>
      <c r="C371" s="1" t="s">
        <v>35</v>
      </c>
      <c r="D371" s="2" t="s">
        <v>506</v>
      </c>
      <c r="E371" s="2" t="s">
        <v>506</v>
      </c>
      <c r="F371" s="2" t="s">
        <v>11</v>
      </c>
      <c r="G371" s="3" t="s">
        <v>685</v>
      </c>
      <c r="H371" s="1" t="s">
        <v>12</v>
      </c>
      <c r="I371" s="1" t="s">
        <v>62</v>
      </c>
      <c r="J371" s="1" t="s">
        <v>14</v>
      </c>
    </row>
    <row r="372" spans="2:10" x14ac:dyDescent="0.3">
      <c r="B372" s="1" t="s">
        <v>679</v>
      </c>
      <c r="C372" s="1" t="s">
        <v>46</v>
      </c>
      <c r="D372" s="2" t="s">
        <v>686</v>
      </c>
      <c r="E372" s="2" t="s">
        <v>686</v>
      </c>
      <c r="F372" s="2" t="s">
        <v>11</v>
      </c>
      <c r="G372" s="3" t="s">
        <v>687</v>
      </c>
      <c r="H372" s="1" t="s">
        <v>12</v>
      </c>
      <c r="I372" s="1" t="s">
        <v>47</v>
      </c>
      <c r="J372" s="1" t="s">
        <v>14</v>
      </c>
    </row>
    <row r="373" spans="2:10" x14ac:dyDescent="0.3">
      <c r="B373" s="1" t="s">
        <v>679</v>
      </c>
      <c r="C373" s="1" t="s">
        <v>45</v>
      </c>
      <c r="D373" s="2" t="s">
        <v>506</v>
      </c>
      <c r="E373" s="2" t="s">
        <v>506</v>
      </c>
      <c r="F373" s="2" t="s">
        <v>11</v>
      </c>
      <c r="G373" s="3" t="s">
        <v>688</v>
      </c>
      <c r="H373" s="1" t="s">
        <v>12</v>
      </c>
      <c r="I373" s="1" t="s">
        <v>62</v>
      </c>
      <c r="J373" s="1" t="s">
        <v>14</v>
      </c>
    </row>
    <row r="374" spans="2:10" x14ac:dyDescent="0.3">
      <c r="B374" s="1" t="s">
        <v>679</v>
      </c>
      <c r="C374" s="1" t="s">
        <v>10</v>
      </c>
      <c r="D374" s="2" t="s">
        <v>476</v>
      </c>
      <c r="E374" s="2" t="s">
        <v>476</v>
      </c>
      <c r="F374" s="2" t="s">
        <v>11</v>
      </c>
      <c r="G374" s="3" t="s">
        <v>689</v>
      </c>
      <c r="H374" s="1" t="s">
        <v>12</v>
      </c>
      <c r="I374" s="1" t="s">
        <v>51</v>
      </c>
      <c r="J374" s="1" t="s">
        <v>14</v>
      </c>
    </row>
    <row r="375" spans="2:10" x14ac:dyDescent="0.3">
      <c r="B375" s="1" t="s">
        <v>679</v>
      </c>
      <c r="C375" s="1" t="s">
        <v>19</v>
      </c>
      <c r="D375" s="2" t="s">
        <v>491</v>
      </c>
      <c r="E375" s="2" t="s">
        <v>491</v>
      </c>
      <c r="F375" s="2" t="s">
        <v>11</v>
      </c>
      <c r="G375" s="3" t="s">
        <v>690</v>
      </c>
      <c r="H375" s="1" t="s">
        <v>12</v>
      </c>
      <c r="I375" s="1" t="s">
        <v>22</v>
      </c>
      <c r="J375" s="1" t="s">
        <v>14</v>
      </c>
    </row>
    <row r="376" spans="2:10" x14ac:dyDescent="0.3">
      <c r="B376" s="1" t="s">
        <v>679</v>
      </c>
      <c r="C376" s="1" t="s">
        <v>36</v>
      </c>
      <c r="D376" s="2" t="s">
        <v>506</v>
      </c>
      <c r="E376" s="2" t="s">
        <v>506</v>
      </c>
      <c r="F376" s="2" t="s">
        <v>11</v>
      </c>
      <c r="G376" s="3" t="s">
        <v>691</v>
      </c>
      <c r="H376" s="1" t="s">
        <v>12</v>
      </c>
      <c r="I376" s="1" t="s">
        <v>47</v>
      </c>
      <c r="J376" s="1" t="s">
        <v>14</v>
      </c>
    </row>
    <row r="377" spans="2:10" x14ac:dyDescent="0.3">
      <c r="B377" s="1" t="s">
        <v>679</v>
      </c>
      <c r="C377" s="1" t="s">
        <v>17</v>
      </c>
      <c r="D377" s="2" t="s">
        <v>692</v>
      </c>
      <c r="E377" s="2" t="s">
        <v>693</v>
      </c>
      <c r="F377" s="2" t="s">
        <v>11</v>
      </c>
      <c r="G377" s="3" t="s">
        <v>694</v>
      </c>
      <c r="H377" s="1" t="s">
        <v>12</v>
      </c>
      <c r="I377" s="1" t="s">
        <v>46</v>
      </c>
      <c r="J377" s="1" t="s">
        <v>52</v>
      </c>
    </row>
    <row r="378" spans="2:10" x14ac:dyDescent="0.3">
      <c r="B378" s="1" t="s">
        <v>679</v>
      </c>
      <c r="C378" s="1" t="s">
        <v>24</v>
      </c>
      <c r="D378" s="2" t="s">
        <v>464</v>
      </c>
      <c r="E378" s="2" t="s">
        <v>464</v>
      </c>
      <c r="F378" s="2" t="s">
        <v>11</v>
      </c>
      <c r="G378" s="3" t="s">
        <v>695</v>
      </c>
      <c r="H378" s="1" t="s">
        <v>12</v>
      </c>
      <c r="I378" s="1" t="s">
        <v>66</v>
      </c>
      <c r="J378" s="1" t="s">
        <v>14</v>
      </c>
    </row>
    <row r="379" spans="2:10" x14ac:dyDescent="0.3">
      <c r="B379" s="1" t="s">
        <v>679</v>
      </c>
      <c r="C379" s="1" t="s">
        <v>39</v>
      </c>
      <c r="D379" s="2" t="s">
        <v>696</v>
      </c>
      <c r="E379" s="2" t="s">
        <v>696</v>
      </c>
      <c r="F379" s="2" t="s">
        <v>11</v>
      </c>
      <c r="G379" s="3" t="s">
        <v>697</v>
      </c>
      <c r="H379" s="1" t="s">
        <v>12</v>
      </c>
      <c r="I379" s="1" t="s">
        <v>30</v>
      </c>
      <c r="J379" s="1" t="s">
        <v>14</v>
      </c>
    </row>
    <row r="380" spans="2:10" x14ac:dyDescent="0.3">
      <c r="B380" s="1" t="s">
        <v>679</v>
      </c>
      <c r="C380" s="1" t="s">
        <v>15</v>
      </c>
      <c r="D380" s="2" t="s">
        <v>499</v>
      </c>
      <c r="E380" s="2" t="s">
        <v>499</v>
      </c>
      <c r="F380" s="2" t="s">
        <v>11</v>
      </c>
      <c r="G380" s="3" t="s">
        <v>698</v>
      </c>
      <c r="H380" s="1" t="s">
        <v>12</v>
      </c>
      <c r="I380" s="1" t="s">
        <v>93</v>
      </c>
      <c r="J380" s="1" t="s">
        <v>14</v>
      </c>
    </row>
    <row r="381" spans="2:10" x14ac:dyDescent="0.3">
      <c r="B381" s="1" t="s">
        <v>679</v>
      </c>
      <c r="C381" s="1" t="s">
        <v>28</v>
      </c>
      <c r="D381" s="2" t="s">
        <v>397</v>
      </c>
      <c r="E381" s="2" t="s">
        <v>397</v>
      </c>
      <c r="F381" s="2" t="s">
        <v>11</v>
      </c>
      <c r="G381" s="3" t="s">
        <v>699</v>
      </c>
      <c r="H381" s="1" t="s">
        <v>12</v>
      </c>
      <c r="I381" s="1" t="s">
        <v>76</v>
      </c>
      <c r="J381" s="1" t="s">
        <v>14</v>
      </c>
    </row>
    <row r="382" spans="2:10" x14ac:dyDescent="0.3">
      <c r="B382" s="1" t="s">
        <v>679</v>
      </c>
      <c r="C382" s="1" t="s">
        <v>38</v>
      </c>
      <c r="D382" s="2" t="s">
        <v>700</v>
      </c>
      <c r="E382" s="2" t="s">
        <v>700</v>
      </c>
      <c r="F382" s="2" t="s">
        <v>11</v>
      </c>
      <c r="G382" s="3" t="s">
        <v>701</v>
      </c>
      <c r="H382" s="1" t="s">
        <v>12</v>
      </c>
      <c r="I382" s="1" t="s">
        <v>10</v>
      </c>
      <c r="J382" s="1" t="s">
        <v>52</v>
      </c>
    </row>
    <row r="383" spans="2:10" x14ac:dyDescent="0.3">
      <c r="B383" s="1" t="s">
        <v>679</v>
      </c>
      <c r="C383" s="1" t="s">
        <v>21</v>
      </c>
      <c r="D383" s="2" t="s">
        <v>702</v>
      </c>
      <c r="E383" s="2" t="s">
        <v>702</v>
      </c>
      <c r="F383" s="2" t="s">
        <v>11</v>
      </c>
      <c r="G383" s="3" t="s">
        <v>703</v>
      </c>
      <c r="H383" s="1" t="s">
        <v>12</v>
      </c>
      <c r="I383" s="1" t="s">
        <v>55</v>
      </c>
      <c r="J383" s="1" t="s">
        <v>14</v>
      </c>
    </row>
    <row r="384" spans="2:10" x14ac:dyDescent="0.3">
      <c r="B384" s="1" t="s">
        <v>679</v>
      </c>
      <c r="C384" s="1" t="s">
        <v>31</v>
      </c>
      <c r="D384" s="2" t="s">
        <v>192</v>
      </c>
      <c r="E384" s="2" t="s">
        <v>192</v>
      </c>
      <c r="F384" s="2" t="s">
        <v>11</v>
      </c>
      <c r="G384" s="3" t="s">
        <v>704</v>
      </c>
      <c r="H384" s="1" t="s">
        <v>12</v>
      </c>
      <c r="I384" s="1" t="s">
        <v>94</v>
      </c>
      <c r="J384" s="1" t="s">
        <v>14</v>
      </c>
    </row>
    <row r="385" spans="2:10" x14ac:dyDescent="0.3">
      <c r="B385" s="1" t="s">
        <v>679</v>
      </c>
      <c r="C385" s="1" t="s">
        <v>41</v>
      </c>
      <c r="D385" s="2" t="s">
        <v>526</v>
      </c>
      <c r="E385" s="2" t="s">
        <v>526</v>
      </c>
      <c r="F385" s="2" t="s">
        <v>11</v>
      </c>
      <c r="G385" s="3" t="s">
        <v>705</v>
      </c>
      <c r="H385" s="1" t="s">
        <v>12</v>
      </c>
      <c r="I385" s="1" t="s">
        <v>13</v>
      </c>
      <c r="J385" s="1" t="s">
        <v>14</v>
      </c>
    </row>
    <row r="386" spans="2:10" x14ac:dyDescent="0.3">
      <c r="B386" s="1" t="s">
        <v>706</v>
      </c>
      <c r="C386" s="1" t="s">
        <v>24</v>
      </c>
      <c r="D386" s="2" t="s">
        <v>707</v>
      </c>
      <c r="E386" s="2" t="s">
        <v>707</v>
      </c>
      <c r="F386" s="2" t="s">
        <v>11</v>
      </c>
      <c r="G386" s="3" t="s">
        <v>708</v>
      </c>
      <c r="H386" s="1" t="s">
        <v>12</v>
      </c>
      <c r="I386" s="1" t="s">
        <v>42</v>
      </c>
      <c r="J386" s="1" t="s">
        <v>14</v>
      </c>
    </row>
    <row r="387" spans="2:10" x14ac:dyDescent="0.3">
      <c r="B387" s="1" t="s">
        <v>706</v>
      </c>
      <c r="C387" s="1" t="s">
        <v>43</v>
      </c>
      <c r="D387" s="2" t="s">
        <v>709</v>
      </c>
      <c r="E387" s="2" t="s">
        <v>709</v>
      </c>
      <c r="F387" s="2" t="s">
        <v>11</v>
      </c>
      <c r="G387" s="3" t="s">
        <v>710</v>
      </c>
      <c r="H387" s="1" t="s">
        <v>12</v>
      </c>
      <c r="I387" s="1" t="s">
        <v>30</v>
      </c>
      <c r="J387" s="1" t="s">
        <v>14</v>
      </c>
    </row>
    <row r="388" spans="2:10" x14ac:dyDescent="0.3">
      <c r="B388" s="1" t="s">
        <v>706</v>
      </c>
      <c r="C388" s="1" t="s">
        <v>41</v>
      </c>
      <c r="D388" s="2" t="s">
        <v>711</v>
      </c>
      <c r="E388" s="2" t="s">
        <v>711</v>
      </c>
      <c r="F388" s="2" t="s">
        <v>11</v>
      </c>
      <c r="G388" s="3" t="s">
        <v>712</v>
      </c>
      <c r="H388" s="1" t="s">
        <v>12</v>
      </c>
      <c r="I388" s="1" t="s">
        <v>22</v>
      </c>
      <c r="J388" s="1" t="s">
        <v>14</v>
      </c>
    </row>
    <row r="389" spans="2:10" x14ac:dyDescent="0.3">
      <c r="B389" s="1" t="s">
        <v>706</v>
      </c>
      <c r="C389" s="1" t="s">
        <v>19</v>
      </c>
      <c r="D389" s="2" t="s">
        <v>242</v>
      </c>
      <c r="E389" s="2" t="s">
        <v>242</v>
      </c>
      <c r="F389" s="2" t="s">
        <v>11</v>
      </c>
      <c r="G389" s="3" t="s">
        <v>713</v>
      </c>
      <c r="H389" s="1" t="s">
        <v>12</v>
      </c>
      <c r="I389" s="1" t="s">
        <v>103</v>
      </c>
      <c r="J389" s="1" t="s">
        <v>14</v>
      </c>
    </row>
    <row r="390" spans="2:10" x14ac:dyDescent="0.3">
      <c r="B390" s="1" t="s">
        <v>706</v>
      </c>
      <c r="C390" s="1" t="s">
        <v>46</v>
      </c>
      <c r="D390" s="2" t="s">
        <v>709</v>
      </c>
      <c r="E390" s="2" t="s">
        <v>709</v>
      </c>
      <c r="F390" s="2" t="s">
        <v>11</v>
      </c>
      <c r="G390" s="3" t="s">
        <v>714</v>
      </c>
      <c r="H390" s="1" t="s">
        <v>12</v>
      </c>
      <c r="I390" s="1" t="s">
        <v>34</v>
      </c>
      <c r="J390" s="1" t="s">
        <v>14</v>
      </c>
    </row>
    <row r="391" spans="2:10" x14ac:dyDescent="0.3">
      <c r="B391" s="1" t="s">
        <v>706</v>
      </c>
      <c r="C391" s="1" t="s">
        <v>39</v>
      </c>
      <c r="D391" s="2" t="s">
        <v>242</v>
      </c>
      <c r="E391" s="2" t="s">
        <v>242</v>
      </c>
      <c r="F391" s="2" t="s">
        <v>11</v>
      </c>
      <c r="G391" s="3" t="s">
        <v>715</v>
      </c>
      <c r="H391" s="1" t="s">
        <v>12</v>
      </c>
      <c r="I391" s="1" t="s">
        <v>30</v>
      </c>
      <c r="J391" s="1" t="s">
        <v>52</v>
      </c>
    </row>
    <row r="392" spans="2:10" x14ac:dyDescent="0.3">
      <c r="B392" s="1" t="s">
        <v>706</v>
      </c>
      <c r="C392" s="1" t="s">
        <v>45</v>
      </c>
      <c r="D392" s="2" t="s">
        <v>716</v>
      </c>
      <c r="E392" s="2" t="s">
        <v>716</v>
      </c>
      <c r="F392" s="2" t="s">
        <v>11</v>
      </c>
      <c r="G392" s="3" t="s">
        <v>717</v>
      </c>
      <c r="H392" s="1" t="s">
        <v>12</v>
      </c>
      <c r="I392" s="1" t="s">
        <v>13</v>
      </c>
      <c r="J392" s="1" t="s">
        <v>14</v>
      </c>
    </row>
    <row r="393" spans="2:10" x14ac:dyDescent="0.3">
      <c r="B393" s="1" t="s">
        <v>706</v>
      </c>
      <c r="C393" s="1" t="s">
        <v>36</v>
      </c>
      <c r="D393" s="2" t="s">
        <v>716</v>
      </c>
      <c r="E393" s="2" t="s">
        <v>716</v>
      </c>
      <c r="F393" s="2" t="s">
        <v>11</v>
      </c>
      <c r="G393" s="3" t="s">
        <v>718</v>
      </c>
      <c r="H393" s="1" t="s">
        <v>12</v>
      </c>
      <c r="I393" s="1" t="s">
        <v>51</v>
      </c>
      <c r="J393" s="1" t="s">
        <v>14</v>
      </c>
    </row>
    <row r="394" spans="2:10" x14ac:dyDescent="0.3">
      <c r="B394" s="1" t="s">
        <v>706</v>
      </c>
      <c r="C394" s="1" t="s">
        <v>33</v>
      </c>
      <c r="D394" s="2" t="s">
        <v>719</v>
      </c>
      <c r="E394" s="2" t="s">
        <v>719</v>
      </c>
      <c r="F394" s="2" t="s">
        <v>11</v>
      </c>
      <c r="G394" s="3" t="s">
        <v>720</v>
      </c>
      <c r="H394" s="1" t="s">
        <v>12</v>
      </c>
      <c r="I394" s="1" t="s">
        <v>48</v>
      </c>
      <c r="J394" s="1" t="s">
        <v>14</v>
      </c>
    </row>
    <row r="395" spans="2:10" x14ac:dyDescent="0.3">
      <c r="B395" s="1" t="s">
        <v>706</v>
      </c>
      <c r="C395" s="1" t="s">
        <v>38</v>
      </c>
      <c r="D395" s="2" t="s">
        <v>721</v>
      </c>
      <c r="E395" s="2" t="s">
        <v>721</v>
      </c>
      <c r="F395" s="2" t="s">
        <v>11</v>
      </c>
      <c r="G395" s="3" t="s">
        <v>722</v>
      </c>
      <c r="H395" s="1" t="s">
        <v>12</v>
      </c>
      <c r="I395" s="1" t="s">
        <v>70</v>
      </c>
      <c r="J395" s="1" t="s">
        <v>14</v>
      </c>
    </row>
    <row r="396" spans="2:10" x14ac:dyDescent="0.3">
      <c r="B396" s="1" t="s">
        <v>706</v>
      </c>
      <c r="C396" s="1" t="s">
        <v>28</v>
      </c>
      <c r="D396" s="2" t="s">
        <v>719</v>
      </c>
      <c r="E396" s="2" t="s">
        <v>719</v>
      </c>
      <c r="F396" s="2" t="s">
        <v>11</v>
      </c>
      <c r="G396" s="3" t="s">
        <v>723</v>
      </c>
      <c r="H396" s="1" t="s">
        <v>12</v>
      </c>
      <c r="I396" s="1" t="s">
        <v>42</v>
      </c>
      <c r="J396" s="1" t="s">
        <v>14</v>
      </c>
    </row>
    <row r="397" spans="2:10" x14ac:dyDescent="0.3">
      <c r="B397" s="1" t="s">
        <v>706</v>
      </c>
      <c r="C397" s="1" t="s">
        <v>26</v>
      </c>
      <c r="D397" s="2" t="s">
        <v>719</v>
      </c>
      <c r="E397" s="2" t="s">
        <v>719</v>
      </c>
      <c r="F397" s="2" t="s">
        <v>11</v>
      </c>
      <c r="G397" s="3" t="s">
        <v>724</v>
      </c>
      <c r="H397" s="1" t="s">
        <v>12</v>
      </c>
      <c r="I397" s="1" t="s">
        <v>20</v>
      </c>
      <c r="J397" s="1" t="s">
        <v>14</v>
      </c>
    </row>
    <row r="398" spans="2:10" x14ac:dyDescent="0.3">
      <c r="B398" s="1" t="s">
        <v>706</v>
      </c>
      <c r="C398" s="1" t="s">
        <v>29</v>
      </c>
      <c r="D398" s="2" t="s">
        <v>711</v>
      </c>
      <c r="E398" s="2" t="s">
        <v>711</v>
      </c>
      <c r="F398" s="2" t="s">
        <v>11</v>
      </c>
      <c r="G398" s="3" t="s">
        <v>725</v>
      </c>
      <c r="H398" s="1" t="s">
        <v>12</v>
      </c>
      <c r="I398" s="1" t="s">
        <v>63</v>
      </c>
      <c r="J398" s="1" t="s">
        <v>14</v>
      </c>
    </row>
    <row r="399" spans="2:10" x14ac:dyDescent="0.3">
      <c r="B399" s="1" t="s">
        <v>706</v>
      </c>
      <c r="C399" s="1" t="s">
        <v>31</v>
      </c>
      <c r="D399" s="2" t="s">
        <v>464</v>
      </c>
      <c r="E399" s="2" t="s">
        <v>464</v>
      </c>
      <c r="F399" s="2" t="s">
        <v>11</v>
      </c>
      <c r="G399" s="3" t="s">
        <v>726</v>
      </c>
      <c r="H399" s="1" t="s">
        <v>12</v>
      </c>
      <c r="I399" s="1" t="s">
        <v>84</v>
      </c>
      <c r="J399" s="1" t="s">
        <v>14</v>
      </c>
    </row>
    <row r="400" spans="2:10" x14ac:dyDescent="0.3">
      <c r="B400" s="1" t="s">
        <v>706</v>
      </c>
      <c r="C400" s="1" t="s">
        <v>23</v>
      </c>
      <c r="D400" s="2" t="s">
        <v>727</v>
      </c>
      <c r="E400" s="2" t="s">
        <v>727</v>
      </c>
      <c r="F400" s="2" t="s">
        <v>11</v>
      </c>
      <c r="G400" s="3" t="s">
        <v>728</v>
      </c>
      <c r="H400" s="1" t="s">
        <v>12</v>
      </c>
      <c r="I400" s="1" t="s">
        <v>18</v>
      </c>
      <c r="J400" s="1" t="s">
        <v>14</v>
      </c>
    </row>
    <row r="401" spans="2:10" x14ac:dyDescent="0.3">
      <c r="B401" s="1" t="s">
        <v>706</v>
      </c>
      <c r="C401" s="1" t="s">
        <v>35</v>
      </c>
      <c r="D401" s="2" t="s">
        <v>716</v>
      </c>
      <c r="E401" s="2" t="s">
        <v>716</v>
      </c>
      <c r="F401" s="2" t="s">
        <v>11</v>
      </c>
      <c r="G401" s="3" t="s">
        <v>729</v>
      </c>
      <c r="H401" s="1" t="s">
        <v>12</v>
      </c>
      <c r="I401" s="1" t="s">
        <v>16</v>
      </c>
      <c r="J401" s="1" t="s">
        <v>14</v>
      </c>
    </row>
    <row r="402" spans="2:10" x14ac:dyDescent="0.3">
      <c r="B402" s="1" t="s">
        <v>706</v>
      </c>
      <c r="C402" s="1" t="s">
        <v>10</v>
      </c>
      <c r="D402" s="2" t="s">
        <v>721</v>
      </c>
      <c r="E402" s="2" t="s">
        <v>721</v>
      </c>
      <c r="F402" s="2" t="s">
        <v>11</v>
      </c>
      <c r="G402" s="3" t="s">
        <v>730</v>
      </c>
      <c r="H402" s="1" t="s">
        <v>12</v>
      </c>
      <c r="I402" s="1" t="s">
        <v>47</v>
      </c>
      <c r="J402" s="1" t="s">
        <v>14</v>
      </c>
    </row>
    <row r="403" spans="2:10" x14ac:dyDescent="0.3">
      <c r="B403" s="1" t="s">
        <v>706</v>
      </c>
      <c r="C403" s="1" t="s">
        <v>15</v>
      </c>
      <c r="D403" s="2" t="s">
        <v>719</v>
      </c>
      <c r="E403" s="2" t="s">
        <v>719</v>
      </c>
      <c r="F403" s="2" t="s">
        <v>11</v>
      </c>
      <c r="G403" s="3" t="s">
        <v>731</v>
      </c>
      <c r="H403" s="1" t="s">
        <v>12</v>
      </c>
      <c r="I403" s="1" t="s">
        <v>42</v>
      </c>
      <c r="J403" s="1" t="s">
        <v>14</v>
      </c>
    </row>
    <row r="404" spans="2:10" x14ac:dyDescent="0.3">
      <c r="B404" s="1" t="s">
        <v>706</v>
      </c>
      <c r="C404" s="1" t="s">
        <v>17</v>
      </c>
      <c r="D404" s="2" t="s">
        <v>732</v>
      </c>
      <c r="E404" s="2" t="s">
        <v>732</v>
      </c>
      <c r="F404" s="2" t="s">
        <v>11</v>
      </c>
      <c r="G404" s="3" t="s">
        <v>733</v>
      </c>
      <c r="H404" s="1" t="s">
        <v>12</v>
      </c>
      <c r="I404" s="1" t="s">
        <v>50</v>
      </c>
      <c r="J404" s="1" t="s">
        <v>14</v>
      </c>
    </row>
    <row r="405" spans="2:10" x14ac:dyDescent="0.3">
      <c r="B405" s="1" t="s">
        <v>706</v>
      </c>
      <c r="C405" s="1" t="s">
        <v>21</v>
      </c>
      <c r="D405" s="2" t="s">
        <v>734</v>
      </c>
      <c r="E405" s="2" t="s">
        <v>735</v>
      </c>
      <c r="F405" s="2" t="s">
        <v>11</v>
      </c>
      <c r="G405" s="3" t="s">
        <v>736</v>
      </c>
      <c r="H405" s="1" t="s">
        <v>12</v>
      </c>
      <c r="I405" s="1" t="s">
        <v>55</v>
      </c>
      <c r="J405" s="1" t="s">
        <v>52</v>
      </c>
    </row>
    <row r="406" spans="2:10" x14ac:dyDescent="0.3">
      <c r="B406" s="1" t="s">
        <v>737</v>
      </c>
      <c r="C406" s="1" t="s">
        <v>39</v>
      </c>
      <c r="D406" s="2" t="s">
        <v>182</v>
      </c>
      <c r="E406" s="2" t="s">
        <v>182</v>
      </c>
      <c r="F406" s="2" t="s">
        <v>11</v>
      </c>
      <c r="G406" s="3" t="s">
        <v>738</v>
      </c>
      <c r="H406" s="1" t="s">
        <v>12</v>
      </c>
      <c r="I406" s="1" t="s">
        <v>44</v>
      </c>
      <c r="J406" s="1" t="s">
        <v>14</v>
      </c>
    </row>
    <row r="407" spans="2:10" x14ac:dyDescent="0.3">
      <c r="B407" s="1" t="s">
        <v>737</v>
      </c>
      <c r="C407" s="1" t="s">
        <v>28</v>
      </c>
      <c r="D407" s="2" t="s">
        <v>182</v>
      </c>
      <c r="E407" s="2" t="s">
        <v>182</v>
      </c>
      <c r="F407" s="2" t="s">
        <v>11</v>
      </c>
      <c r="G407" s="3" t="s">
        <v>739</v>
      </c>
      <c r="H407" s="1" t="s">
        <v>12</v>
      </c>
      <c r="I407" s="1" t="s">
        <v>50</v>
      </c>
      <c r="J407" s="1" t="s">
        <v>14</v>
      </c>
    </row>
    <row r="408" spans="2:10" x14ac:dyDescent="0.3">
      <c r="B408" s="1" t="s">
        <v>737</v>
      </c>
      <c r="C408" s="1" t="s">
        <v>24</v>
      </c>
      <c r="D408" s="2" t="s">
        <v>512</v>
      </c>
      <c r="E408" s="2" t="s">
        <v>512</v>
      </c>
      <c r="F408" s="2" t="s">
        <v>11</v>
      </c>
      <c r="G408" s="3" t="s">
        <v>740</v>
      </c>
      <c r="H408" s="1" t="s">
        <v>12</v>
      </c>
      <c r="I408" s="1" t="s">
        <v>18</v>
      </c>
      <c r="J408" s="1" t="s">
        <v>14</v>
      </c>
    </row>
    <row r="409" spans="2:10" x14ac:dyDescent="0.3">
      <c r="B409" s="1" t="s">
        <v>737</v>
      </c>
      <c r="C409" s="1" t="s">
        <v>43</v>
      </c>
      <c r="D409" s="2" t="s">
        <v>741</v>
      </c>
      <c r="E409" s="2" t="s">
        <v>742</v>
      </c>
      <c r="F409" s="2" t="s">
        <v>11</v>
      </c>
      <c r="G409" s="3" t="s">
        <v>743</v>
      </c>
      <c r="H409" s="1" t="s">
        <v>12</v>
      </c>
      <c r="I409" s="1" t="s">
        <v>15</v>
      </c>
      <c r="J409" s="1" t="s">
        <v>52</v>
      </c>
    </row>
    <row r="410" spans="2:10" x14ac:dyDescent="0.3">
      <c r="B410" s="1" t="s">
        <v>737</v>
      </c>
      <c r="C410" s="1" t="s">
        <v>10</v>
      </c>
      <c r="D410" s="2" t="s">
        <v>512</v>
      </c>
      <c r="E410" s="2" t="s">
        <v>512</v>
      </c>
      <c r="F410" s="2" t="s">
        <v>11</v>
      </c>
      <c r="G410" s="3" t="s">
        <v>744</v>
      </c>
      <c r="H410" s="1" t="s">
        <v>12</v>
      </c>
      <c r="I410" s="1" t="s">
        <v>27</v>
      </c>
      <c r="J410" s="1" t="s">
        <v>14</v>
      </c>
    </row>
    <row r="411" spans="2:10" x14ac:dyDescent="0.3">
      <c r="B411" s="1" t="s">
        <v>737</v>
      </c>
      <c r="C411" s="1" t="s">
        <v>21</v>
      </c>
      <c r="D411" s="2" t="s">
        <v>512</v>
      </c>
      <c r="E411" s="2" t="s">
        <v>512</v>
      </c>
      <c r="F411" s="2" t="s">
        <v>11</v>
      </c>
      <c r="G411" s="3" t="s">
        <v>745</v>
      </c>
      <c r="H411" s="1" t="s">
        <v>12</v>
      </c>
      <c r="I411" s="1" t="s">
        <v>63</v>
      </c>
      <c r="J411" s="1" t="s">
        <v>14</v>
      </c>
    </row>
    <row r="412" spans="2:10" x14ac:dyDescent="0.3">
      <c r="B412" s="1" t="s">
        <v>737</v>
      </c>
      <c r="C412" s="1" t="s">
        <v>33</v>
      </c>
      <c r="D412" s="2" t="s">
        <v>512</v>
      </c>
      <c r="E412" s="2" t="s">
        <v>512</v>
      </c>
      <c r="F412" s="2" t="s">
        <v>11</v>
      </c>
      <c r="G412" s="3" t="s">
        <v>746</v>
      </c>
      <c r="H412" s="1" t="s">
        <v>12</v>
      </c>
      <c r="I412" s="1" t="s">
        <v>22</v>
      </c>
      <c r="J412" s="1" t="s">
        <v>14</v>
      </c>
    </row>
    <row r="413" spans="2:10" x14ac:dyDescent="0.3">
      <c r="B413" s="1" t="s">
        <v>737</v>
      </c>
      <c r="C413" s="1" t="s">
        <v>23</v>
      </c>
      <c r="D413" s="2" t="s">
        <v>747</v>
      </c>
      <c r="E413" s="2" t="s">
        <v>747</v>
      </c>
      <c r="F413" s="2" t="s">
        <v>11</v>
      </c>
      <c r="G413" s="3" t="s">
        <v>210</v>
      </c>
      <c r="H413" s="1" t="s">
        <v>12</v>
      </c>
      <c r="I413" s="1" t="s">
        <v>20</v>
      </c>
      <c r="J413" s="1" t="s">
        <v>14</v>
      </c>
    </row>
    <row r="414" spans="2:10" x14ac:dyDescent="0.3">
      <c r="B414" s="1" t="s">
        <v>737</v>
      </c>
      <c r="C414" s="1" t="s">
        <v>29</v>
      </c>
      <c r="D414" s="2" t="s">
        <v>747</v>
      </c>
      <c r="E414" s="2" t="s">
        <v>747</v>
      </c>
      <c r="F414" s="2" t="s">
        <v>11</v>
      </c>
      <c r="G414" s="3" t="s">
        <v>748</v>
      </c>
      <c r="H414" s="1" t="s">
        <v>12</v>
      </c>
      <c r="I414" s="1" t="s">
        <v>27</v>
      </c>
      <c r="J414" s="1" t="s">
        <v>14</v>
      </c>
    </row>
    <row r="415" spans="2:10" x14ac:dyDescent="0.3">
      <c r="B415" s="1" t="s">
        <v>737</v>
      </c>
      <c r="C415" s="1" t="s">
        <v>17</v>
      </c>
      <c r="D415" s="2" t="s">
        <v>512</v>
      </c>
      <c r="E415" s="2" t="s">
        <v>512</v>
      </c>
      <c r="F415" s="2" t="s">
        <v>11</v>
      </c>
      <c r="G415" s="3" t="s">
        <v>749</v>
      </c>
      <c r="H415" s="1" t="s">
        <v>12</v>
      </c>
      <c r="I415" s="1" t="s">
        <v>62</v>
      </c>
      <c r="J415" s="1" t="s">
        <v>14</v>
      </c>
    </row>
    <row r="416" spans="2:10" x14ac:dyDescent="0.3">
      <c r="B416" s="1" t="s">
        <v>737</v>
      </c>
      <c r="C416" s="1" t="s">
        <v>41</v>
      </c>
      <c r="D416" s="2" t="s">
        <v>322</v>
      </c>
      <c r="E416" s="2" t="s">
        <v>322</v>
      </c>
      <c r="F416" s="2" t="s">
        <v>11</v>
      </c>
      <c r="G416" s="3" t="s">
        <v>750</v>
      </c>
      <c r="H416" s="1" t="s">
        <v>12</v>
      </c>
      <c r="I416" s="1" t="s">
        <v>16</v>
      </c>
      <c r="J416" s="1" t="s">
        <v>14</v>
      </c>
    </row>
    <row r="417" spans="2:10" x14ac:dyDescent="0.3">
      <c r="B417" s="1" t="s">
        <v>737</v>
      </c>
      <c r="C417" s="1" t="s">
        <v>46</v>
      </c>
      <c r="D417" s="2" t="s">
        <v>751</v>
      </c>
      <c r="E417" s="2" t="s">
        <v>751</v>
      </c>
      <c r="F417" s="2" t="s">
        <v>11</v>
      </c>
      <c r="G417" s="3" t="s">
        <v>752</v>
      </c>
      <c r="H417" s="1" t="s">
        <v>12</v>
      </c>
      <c r="I417" s="1" t="s">
        <v>36</v>
      </c>
      <c r="J417" s="1" t="s">
        <v>14</v>
      </c>
    </row>
    <row r="418" spans="2:10" x14ac:dyDescent="0.3">
      <c r="B418" s="1" t="s">
        <v>737</v>
      </c>
      <c r="C418" s="1" t="s">
        <v>45</v>
      </c>
      <c r="D418" s="2" t="s">
        <v>753</v>
      </c>
      <c r="E418" s="2" t="s">
        <v>753</v>
      </c>
      <c r="F418" s="2" t="s">
        <v>11</v>
      </c>
      <c r="G418" s="3" t="s">
        <v>754</v>
      </c>
      <c r="H418" s="1" t="s">
        <v>12</v>
      </c>
      <c r="I418" s="1" t="s">
        <v>69</v>
      </c>
      <c r="J418" s="1" t="s">
        <v>14</v>
      </c>
    </row>
    <row r="419" spans="2:10" x14ac:dyDescent="0.3">
      <c r="B419" s="1" t="s">
        <v>737</v>
      </c>
      <c r="C419" s="1" t="s">
        <v>19</v>
      </c>
      <c r="D419" s="2" t="s">
        <v>512</v>
      </c>
      <c r="E419" s="2" t="s">
        <v>512</v>
      </c>
      <c r="F419" s="2" t="s">
        <v>11</v>
      </c>
      <c r="G419" s="3" t="s">
        <v>755</v>
      </c>
      <c r="H419" s="1" t="s">
        <v>12</v>
      </c>
      <c r="I419" s="1" t="s">
        <v>42</v>
      </c>
      <c r="J419" s="1" t="s">
        <v>14</v>
      </c>
    </row>
    <row r="420" spans="2:10" x14ac:dyDescent="0.3">
      <c r="B420" s="1" t="s">
        <v>737</v>
      </c>
      <c r="C420" s="1" t="s">
        <v>36</v>
      </c>
      <c r="D420" s="2" t="s">
        <v>512</v>
      </c>
      <c r="E420" s="2" t="s">
        <v>512</v>
      </c>
      <c r="F420" s="2" t="s">
        <v>11</v>
      </c>
      <c r="G420" s="3" t="s">
        <v>756</v>
      </c>
      <c r="H420" s="1" t="s">
        <v>12</v>
      </c>
      <c r="I420" s="1" t="s">
        <v>30</v>
      </c>
      <c r="J420" s="1" t="s">
        <v>14</v>
      </c>
    </row>
    <row r="421" spans="2:10" x14ac:dyDescent="0.3">
      <c r="B421" s="1" t="s">
        <v>737</v>
      </c>
      <c r="C421" s="1" t="s">
        <v>26</v>
      </c>
      <c r="D421" s="2" t="s">
        <v>747</v>
      </c>
      <c r="E421" s="2" t="s">
        <v>747</v>
      </c>
      <c r="F421" s="2" t="s">
        <v>11</v>
      </c>
      <c r="G421" s="3" t="s">
        <v>757</v>
      </c>
      <c r="H421" s="1" t="s">
        <v>12</v>
      </c>
      <c r="I421" s="1" t="s">
        <v>13</v>
      </c>
      <c r="J421" s="1" t="s">
        <v>14</v>
      </c>
    </row>
    <row r="422" spans="2:10" x14ac:dyDescent="0.3">
      <c r="B422" s="1" t="s">
        <v>737</v>
      </c>
      <c r="C422" s="1" t="s">
        <v>35</v>
      </c>
      <c r="D422" s="2" t="s">
        <v>758</v>
      </c>
      <c r="E422" s="2" t="s">
        <v>758</v>
      </c>
      <c r="F422" s="2" t="s">
        <v>11</v>
      </c>
      <c r="G422" s="3" t="s">
        <v>759</v>
      </c>
      <c r="H422" s="1" t="s">
        <v>12</v>
      </c>
      <c r="I422" s="1" t="s">
        <v>51</v>
      </c>
      <c r="J422" s="1" t="s">
        <v>14</v>
      </c>
    </row>
    <row r="423" spans="2:10" x14ac:dyDescent="0.3">
      <c r="B423" s="1" t="s">
        <v>737</v>
      </c>
      <c r="C423" s="1" t="s">
        <v>15</v>
      </c>
      <c r="D423" s="2" t="s">
        <v>187</v>
      </c>
      <c r="E423" s="2" t="s">
        <v>187</v>
      </c>
      <c r="F423" s="2" t="s">
        <v>11</v>
      </c>
      <c r="G423" s="3" t="s">
        <v>760</v>
      </c>
      <c r="H423" s="1" t="s">
        <v>12</v>
      </c>
      <c r="I423" s="1" t="s">
        <v>13</v>
      </c>
      <c r="J423" s="1" t="s">
        <v>14</v>
      </c>
    </row>
    <row r="424" spans="2:10" x14ac:dyDescent="0.3">
      <c r="B424" s="1" t="s">
        <v>737</v>
      </c>
      <c r="C424" s="1" t="s">
        <v>31</v>
      </c>
      <c r="D424" s="2" t="s">
        <v>512</v>
      </c>
      <c r="E424" s="2" t="s">
        <v>512</v>
      </c>
      <c r="F424" s="2" t="s">
        <v>11</v>
      </c>
      <c r="G424" s="3" t="s">
        <v>761</v>
      </c>
      <c r="H424" s="1" t="s">
        <v>12</v>
      </c>
      <c r="I424" s="1" t="s">
        <v>60</v>
      </c>
      <c r="J424" s="1" t="s">
        <v>14</v>
      </c>
    </row>
    <row r="425" spans="2:10" x14ac:dyDescent="0.3">
      <c r="B425" s="1" t="s">
        <v>737</v>
      </c>
      <c r="C425" s="1" t="s">
        <v>38</v>
      </c>
      <c r="D425" s="2" t="s">
        <v>762</v>
      </c>
      <c r="E425" s="2" t="s">
        <v>763</v>
      </c>
      <c r="F425" s="2" t="s">
        <v>11</v>
      </c>
      <c r="G425" s="3" t="s">
        <v>764</v>
      </c>
      <c r="H425" s="1" t="s">
        <v>12</v>
      </c>
      <c r="I425" s="1" t="s">
        <v>15</v>
      </c>
      <c r="J425" s="1" t="s">
        <v>52</v>
      </c>
    </row>
    <row r="426" spans="2:10" x14ac:dyDescent="0.3">
      <c r="B426" s="1" t="s">
        <v>765</v>
      </c>
      <c r="C426" s="1" t="s">
        <v>33</v>
      </c>
      <c r="D426" s="2" t="s">
        <v>766</v>
      </c>
      <c r="E426" s="2" t="s">
        <v>766</v>
      </c>
      <c r="F426" s="2" t="s">
        <v>11</v>
      </c>
      <c r="G426" s="3" t="s">
        <v>767</v>
      </c>
      <c r="H426" s="1" t="s">
        <v>12</v>
      </c>
      <c r="I426" s="1" t="s">
        <v>25</v>
      </c>
      <c r="J426" s="1" t="s">
        <v>14</v>
      </c>
    </row>
    <row r="427" spans="2:10" x14ac:dyDescent="0.3">
      <c r="B427" s="1" t="s">
        <v>765</v>
      </c>
      <c r="C427" s="1" t="s">
        <v>10</v>
      </c>
      <c r="D427" s="2" t="s">
        <v>696</v>
      </c>
      <c r="E427" s="2" t="s">
        <v>696</v>
      </c>
      <c r="F427" s="2" t="s">
        <v>11</v>
      </c>
      <c r="G427" s="3" t="s">
        <v>768</v>
      </c>
      <c r="H427" s="1" t="s">
        <v>12</v>
      </c>
      <c r="I427" s="1" t="s">
        <v>77</v>
      </c>
      <c r="J427" s="1" t="s">
        <v>14</v>
      </c>
    </row>
    <row r="428" spans="2:10" x14ac:dyDescent="0.3">
      <c r="B428" s="1" t="s">
        <v>765</v>
      </c>
      <c r="C428" s="1" t="s">
        <v>21</v>
      </c>
      <c r="D428" s="2" t="s">
        <v>700</v>
      </c>
      <c r="E428" s="2" t="s">
        <v>700</v>
      </c>
      <c r="F428" s="2" t="s">
        <v>11</v>
      </c>
      <c r="G428" s="3" t="s">
        <v>769</v>
      </c>
      <c r="H428" s="1" t="s">
        <v>12</v>
      </c>
      <c r="I428" s="1" t="s">
        <v>47</v>
      </c>
      <c r="J428" s="1" t="s">
        <v>14</v>
      </c>
    </row>
    <row r="429" spans="2:10" x14ac:dyDescent="0.3">
      <c r="B429" s="1" t="s">
        <v>765</v>
      </c>
      <c r="C429" s="1" t="s">
        <v>43</v>
      </c>
      <c r="D429" s="2" t="s">
        <v>187</v>
      </c>
      <c r="E429" s="2" t="s">
        <v>187</v>
      </c>
      <c r="F429" s="2" t="s">
        <v>11</v>
      </c>
      <c r="G429" s="3" t="s">
        <v>770</v>
      </c>
      <c r="H429" s="1" t="s">
        <v>12</v>
      </c>
      <c r="I429" s="1" t="s">
        <v>87</v>
      </c>
      <c r="J429" s="1" t="s">
        <v>14</v>
      </c>
    </row>
    <row r="430" spans="2:10" x14ac:dyDescent="0.3">
      <c r="B430" s="1" t="s">
        <v>765</v>
      </c>
      <c r="C430" s="1" t="s">
        <v>41</v>
      </c>
      <c r="D430" s="2" t="s">
        <v>192</v>
      </c>
      <c r="E430" s="2" t="s">
        <v>192</v>
      </c>
      <c r="F430" s="2" t="s">
        <v>11</v>
      </c>
      <c r="G430" s="3" t="s">
        <v>771</v>
      </c>
      <c r="H430" s="1" t="s">
        <v>12</v>
      </c>
      <c r="I430" s="1" t="s">
        <v>71</v>
      </c>
      <c r="J430" s="1" t="s">
        <v>14</v>
      </c>
    </row>
    <row r="431" spans="2:10" x14ac:dyDescent="0.3">
      <c r="B431" s="1" t="s">
        <v>765</v>
      </c>
      <c r="C431" s="1" t="s">
        <v>24</v>
      </c>
      <c r="D431" s="2" t="s">
        <v>700</v>
      </c>
      <c r="E431" s="2" t="s">
        <v>700</v>
      </c>
      <c r="F431" s="2" t="s">
        <v>11</v>
      </c>
      <c r="G431" s="3" t="s">
        <v>772</v>
      </c>
      <c r="H431" s="1" t="s">
        <v>12</v>
      </c>
      <c r="I431" s="1" t="s">
        <v>47</v>
      </c>
      <c r="J431" s="1" t="s">
        <v>14</v>
      </c>
    </row>
    <row r="432" spans="2:10" x14ac:dyDescent="0.3">
      <c r="B432" s="1" t="s">
        <v>765</v>
      </c>
      <c r="C432" s="1" t="s">
        <v>15</v>
      </c>
      <c r="D432" s="2" t="s">
        <v>766</v>
      </c>
      <c r="E432" s="2" t="s">
        <v>766</v>
      </c>
      <c r="F432" s="2" t="s">
        <v>11</v>
      </c>
      <c r="G432" s="3" t="s">
        <v>773</v>
      </c>
      <c r="H432" s="1" t="s">
        <v>12</v>
      </c>
      <c r="I432" s="1" t="s">
        <v>34</v>
      </c>
      <c r="J432" s="1" t="s">
        <v>14</v>
      </c>
    </row>
    <row r="433" spans="2:10" x14ac:dyDescent="0.3">
      <c r="B433" s="1" t="s">
        <v>765</v>
      </c>
      <c r="C433" s="1" t="s">
        <v>46</v>
      </c>
      <c r="D433" s="2" t="s">
        <v>700</v>
      </c>
      <c r="E433" s="2" t="s">
        <v>700</v>
      </c>
      <c r="F433" s="2" t="s">
        <v>11</v>
      </c>
      <c r="G433" s="3" t="s">
        <v>774</v>
      </c>
      <c r="H433" s="1" t="s">
        <v>12</v>
      </c>
      <c r="I433" s="1" t="s">
        <v>61</v>
      </c>
      <c r="J433" s="1" t="s">
        <v>14</v>
      </c>
    </row>
    <row r="434" spans="2:10" x14ac:dyDescent="0.3">
      <c r="B434" s="1" t="s">
        <v>765</v>
      </c>
      <c r="C434" s="1" t="s">
        <v>35</v>
      </c>
      <c r="D434" s="2" t="s">
        <v>700</v>
      </c>
      <c r="E434" s="2" t="s">
        <v>700</v>
      </c>
      <c r="F434" s="2" t="s">
        <v>11</v>
      </c>
      <c r="G434" s="3" t="s">
        <v>775</v>
      </c>
      <c r="H434" s="1" t="s">
        <v>12</v>
      </c>
      <c r="I434" s="1" t="s">
        <v>25</v>
      </c>
      <c r="J434" s="1" t="s">
        <v>14</v>
      </c>
    </row>
    <row r="435" spans="2:10" x14ac:dyDescent="0.3">
      <c r="B435" s="1" t="s">
        <v>765</v>
      </c>
      <c r="C435" s="1" t="s">
        <v>31</v>
      </c>
      <c r="D435" s="2" t="s">
        <v>393</v>
      </c>
      <c r="E435" s="2" t="s">
        <v>393</v>
      </c>
      <c r="F435" s="2" t="s">
        <v>11</v>
      </c>
      <c r="G435" s="3" t="s">
        <v>776</v>
      </c>
      <c r="H435" s="1" t="s">
        <v>12</v>
      </c>
      <c r="I435" s="1" t="s">
        <v>22</v>
      </c>
      <c r="J435" s="1" t="s">
        <v>14</v>
      </c>
    </row>
    <row r="436" spans="2:10" x14ac:dyDescent="0.3">
      <c r="B436" s="1" t="s">
        <v>765</v>
      </c>
      <c r="C436" s="1" t="s">
        <v>28</v>
      </c>
      <c r="D436" s="2" t="s">
        <v>777</v>
      </c>
      <c r="E436" s="2" t="s">
        <v>777</v>
      </c>
      <c r="F436" s="2" t="s">
        <v>11</v>
      </c>
      <c r="G436" s="3" t="s">
        <v>778</v>
      </c>
      <c r="H436" s="1" t="s">
        <v>12</v>
      </c>
      <c r="I436" s="1" t="s">
        <v>18</v>
      </c>
      <c r="J436" s="1" t="s">
        <v>14</v>
      </c>
    </row>
    <row r="437" spans="2:10" x14ac:dyDescent="0.3">
      <c r="B437" s="1" t="s">
        <v>765</v>
      </c>
      <c r="C437" s="1" t="s">
        <v>23</v>
      </c>
      <c r="D437" s="2" t="s">
        <v>779</v>
      </c>
      <c r="E437" s="2" t="s">
        <v>779</v>
      </c>
      <c r="F437" s="2" t="s">
        <v>11</v>
      </c>
      <c r="G437" s="3" t="s">
        <v>780</v>
      </c>
      <c r="H437" s="1" t="s">
        <v>12</v>
      </c>
      <c r="I437" s="1" t="s">
        <v>66</v>
      </c>
      <c r="J437" s="1" t="s">
        <v>14</v>
      </c>
    </row>
    <row r="438" spans="2:10" x14ac:dyDescent="0.3">
      <c r="B438" s="1" t="s">
        <v>765</v>
      </c>
      <c r="C438" s="1" t="s">
        <v>17</v>
      </c>
      <c r="D438" s="2" t="s">
        <v>747</v>
      </c>
      <c r="E438" s="2" t="s">
        <v>747</v>
      </c>
      <c r="F438" s="2" t="s">
        <v>11</v>
      </c>
      <c r="G438" s="3" t="s">
        <v>781</v>
      </c>
      <c r="H438" s="1" t="s">
        <v>12</v>
      </c>
      <c r="I438" s="1" t="s">
        <v>51</v>
      </c>
      <c r="J438" s="1" t="s">
        <v>14</v>
      </c>
    </row>
    <row r="439" spans="2:10" x14ac:dyDescent="0.3">
      <c r="B439" s="1" t="s">
        <v>765</v>
      </c>
      <c r="C439" s="1" t="s">
        <v>39</v>
      </c>
      <c r="D439" s="2" t="s">
        <v>766</v>
      </c>
      <c r="E439" s="2" t="s">
        <v>766</v>
      </c>
      <c r="F439" s="2" t="s">
        <v>11</v>
      </c>
      <c r="G439" s="3" t="s">
        <v>782</v>
      </c>
      <c r="H439" s="1" t="s">
        <v>12</v>
      </c>
      <c r="I439" s="1" t="s">
        <v>13</v>
      </c>
      <c r="J439" s="1" t="s">
        <v>14</v>
      </c>
    </row>
    <row r="440" spans="2:10" x14ac:dyDescent="0.3">
      <c r="B440" s="1" t="s">
        <v>765</v>
      </c>
      <c r="C440" s="1" t="s">
        <v>45</v>
      </c>
      <c r="D440" s="2" t="s">
        <v>783</v>
      </c>
      <c r="E440" s="2" t="s">
        <v>783</v>
      </c>
      <c r="F440" s="2" t="s">
        <v>11</v>
      </c>
      <c r="G440" s="3" t="s">
        <v>784</v>
      </c>
      <c r="H440" s="1" t="s">
        <v>12</v>
      </c>
      <c r="I440" s="1" t="s">
        <v>55</v>
      </c>
      <c r="J440" s="1" t="s">
        <v>14</v>
      </c>
    </row>
    <row r="441" spans="2:10" x14ac:dyDescent="0.3">
      <c r="B441" s="1" t="s">
        <v>765</v>
      </c>
      <c r="C441" s="1" t="s">
        <v>38</v>
      </c>
      <c r="D441" s="2" t="s">
        <v>256</v>
      </c>
      <c r="E441" s="2" t="s">
        <v>256</v>
      </c>
      <c r="F441" s="2" t="s">
        <v>11</v>
      </c>
      <c r="G441" s="3" t="s">
        <v>785</v>
      </c>
      <c r="H441" s="1" t="s">
        <v>12</v>
      </c>
      <c r="I441" s="1" t="s">
        <v>25</v>
      </c>
      <c r="J441" s="1" t="s">
        <v>14</v>
      </c>
    </row>
    <row r="442" spans="2:10" x14ac:dyDescent="0.3">
      <c r="B442" s="1" t="s">
        <v>765</v>
      </c>
      <c r="C442" s="1" t="s">
        <v>19</v>
      </c>
      <c r="D442" s="2" t="s">
        <v>393</v>
      </c>
      <c r="E442" s="2" t="s">
        <v>393</v>
      </c>
      <c r="F442" s="2" t="s">
        <v>11</v>
      </c>
      <c r="G442" s="3" t="s">
        <v>786</v>
      </c>
      <c r="H442" s="1" t="s">
        <v>12</v>
      </c>
      <c r="I442" s="1" t="s">
        <v>49</v>
      </c>
      <c r="J442" s="1" t="s">
        <v>14</v>
      </c>
    </row>
    <row r="443" spans="2:10" x14ac:dyDescent="0.3">
      <c r="B443" s="1" t="s">
        <v>765</v>
      </c>
      <c r="C443" s="1" t="s">
        <v>36</v>
      </c>
      <c r="D443" s="2" t="s">
        <v>393</v>
      </c>
      <c r="E443" s="2" t="s">
        <v>393</v>
      </c>
      <c r="F443" s="2" t="s">
        <v>11</v>
      </c>
      <c r="G443" s="3" t="s">
        <v>787</v>
      </c>
      <c r="H443" s="1" t="s">
        <v>12</v>
      </c>
      <c r="I443" s="1" t="s">
        <v>64</v>
      </c>
      <c r="J443" s="1" t="s">
        <v>14</v>
      </c>
    </row>
    <row r="444" spans="2:10" x14ac:dyDescent="0.3">
      <c r="B444" s="1" t="s">
        <v>765</v>
      </c>
      <c r="C444" s="1" t="s">
        <v>26</v>
      </c>
      <c r="D444" s="2" t="s">
        <v>766</v>
      </c>
      <c r="E444" s="2" t="s">
        <v>766</v>
      </c>
      <c r="F444" s="2" t="s">
        <v>11</v>
      </c>
      <c r="G444" s="3" t="s">
        <v>788</v>
      </c>
      <c r="H444" s="1" t="s">
        <v>12</v>
      </c>
      <c r="I444" s="1" t="s">
        <v>30</v>
      </c>
      <c r="J444" s="1" t="s">
        <v>14</v>
      </c>
    </row>
    <row r="445" spans="2:10" x14ac:dyDescent="0.3">
      <c r="B445" s="1" t="s">
        <v>765</v>
      </c>
      <c r="C445" s="1" t="s">
        <v>29</v>
      </c>
      <c r="D445" s="2" t="s">
        <v>747</v>
      </c>
      <c r="E445" s="2" t="s">
        <v>747</v>
      </c>
      <c r="F445" s="2" t="s">
        <v>11</v>
      </c>
      <c r="G445" s="3" t="s">
        <v>789</v>
      </c>
      <c r="H445" s="1" t="s">
        <v>12</v>
      </c>
      <c r="I445" s="1" t="s">
        <v>18</v>
      </c>
      <c r="J445" s="1" t="s">
        <v>14</v>
      </c>
    </row>
    <row r="446" spans="2:10" x14ac:dyDescent="0.3">
      <c r="B446" s="1" t="s">
        <v>790</v>
      </c>
      <c r="C446" s="1" t="s">
        <v>35</v>
      </c>
      <c r="D446" s="2" t="s">
        <v>458</v>
      </c>
      <c r="E446" s="2" t="s">
        <v>458</v>
      </c>
      <c r="F446" s="2" t="s">
        <v>11</v>
      </c>
      <c r="G446" s="3" t="s">
        <v>296</v>
      </c>
      <c r="H446" s="1" t="s">
        <v>12</v>
      </c>
      <c r="I446" s="1" t="s">
        <v>66</v>
      </c>
      <c r="J446" s="1" t="s">
        <v>14</v>
      </c>
    </row>
    <row r="447" spans="2:10" x14ac:dyDescent="0.3">
      <c r="B447" s="1" t="s">
        <v>790</v>
      </c>
      <c r="C447" s="1" t="s">
        <v>17</v>
      </c>
      <c r="D447" s="2" t="s">
        <v>448</v>
      </c>
      <c r="E447" s="2" t="s">
        <v>448</v>
      </c>
      <c r="F447" s="2" t="s">
        <v>11</v>
      </c>
      <c r="G447" s="3" t="s">
        <v>791</v>
      </c>
      <c r="H447" s="1" t="s">
        <v>12</v>
      </c>
      <c r="I447" s="1" t="s">
        <v>49</v>
      </c>
      <c r="J447" s="1" t="s">
        <v>14</v>
      </c>
    </row>
    <row r="448" spans="2:10" x14ac:dyDescent="0.3">
      <c r="B448" s="1" t="s">
        <v>790</v>
      </c>
      <c r="C448" s="1" t="s">
        <v>33</v>
      </c>
      <c r="D448" s="2" t="s">
        <v>185</v>
      </c>
      <c r="E448" s="2" t="s">
        <v>185</v>
      </c>
      <c r="F448" s="2" t="s">
        <v>11</v>
      </c>
      <c r="G448" s="3" t="s">
        <v>792</v>
      </c>
      <c r="H448" s="1" t="s">
        <v>12</v>
      </c>
      <c r="I448" s="1" t="s">
        <v>51</v>
      </c>
      <c r="J448" s="1" t="s">
        <v>14</v>
      </c>
    </row>
    <row r="449" spans="2:10" x14ac:dyDescent="0.3">
      <c r="B449" s="1" t="s">
        <v>790</v>
      </c>
      <c r="C449" s="1" t="s">
        <v>38</v>
      </c>
      <c r="D449" s="2" t="s">
        <v>251</v>
      </c>
      <c r="E449" s="2" t="s">
        <v>251</v>
      </c>
      <c r="F449" s="2" t="s">
        <v>11</v>
      </c>
      <c r="G449" s="3" t="s">
        <v>793</v>
      </c>
      <c r="H449" s="1" t="s">
        <v>12</v>
      </c>
      <c r="I449" s="1" t="s">
        <v>60</v>
      </c>
      <c r="J449" s="1" t="s">
        <v>14</v>
      </c>
    </row>
    <row r="450" spans="2:10" x14ac:dyDescent="0.3">
      <c r="B450" s="1" t="s">
        <v>790</v>
      </c>
      <c r="C450" s="1" t="s">
        <v>41</v>
      </c>
      <c r="D450" s="2" t="s">
        <v>251</v>
      </c>
      <c r="E450" s="2" t="s">
        <v>251</v>
      </c>
      <c r="F450" s="2" t="s">
        <v>11</v>
      </c>
      <c r="G450" s="3" t="s">
        <v>794</v>
      </c>
      <c r="H450" s="1" t="s">
        <v>12</v>
      </c>
      <c r="I450" s="1" t="s">
        <v>64</v>
      </c>
      <c r="J450" s="1" t="s">
        <v>14</v>
      </c>
    </row>
    <row r="451" spans="2:10" x14ac:dyDescent="0.3">
      <c r="B451" s="1" t="s">
        <v>790</v>
      </c>
      <c r="C451" s="1" t="s">
        <v>10</v>
      </c>
      <c r="D451" s="2" t="s">
        <v>439</v>
      </c>
      <c r="E451" s="2" t="s">
        <v>439</v>
      </c>
      <c r="F451" s="2" t="s">
        <v>11</v>
      </c>
      <c r="G451" s="3" t="s">
        <v>795</v>
      </c>
      <c r="H451" s="1" t="s">
        <v>12</v>
      </c>
      <c r="I451" s="1" t="s">
        <v>56</v>
      </c>
      <c r="J451" s="1" t="s">
        <v>14</v>
      </c>
    </row>
    <row r="452" spans="2:10" x14ac:dyDescent="0.3">
      <c r="B452" s="1" t="s">
        <v>790</v>
      </c>
      <c r="C452" s="1" t="s">
        <v>21</v>
      </c>
      <c r="D452" s="2" t="s">
        <v>433</v>
      </c>
      <c r="E452" s="2" t="s">
        <v>433</v>
      </c>
      <c r="F452" s="2" t="s">
        <v>11</v>
      </c>
      <c r="G452" s="3" t="s">
        <v>796</v>
      </c>
      <c r="H452" s="1" t="s">
        <v>12</v>
      </c>
      <c r="I452" s="1" t="s">
        <v>41</v>
      </c>
      <c r="J452" s="1" t="s">
        <v>14</v>
      </c>
    </row>
    <row r="453" spans="2:10" x14ac:dyDescent="0.3">
      <c r="B453" s="1" t="s">
        <v>790</v>
      </c>
      <c r="C453" s="1" t="s">
        <v>29</v>
      </c>
      <c r="D453" s="2" t="s">
        <v>439</v>
      </c>
      <c r="E453" s="2" t="s">
        <v>439</v>
      </c>
      <c r="F453" s="2" t="s">
        <v>11</v>
      </c>
      <c r="G453" s="3" t="s">
        <v>797</v>
      </c>
      <c r="H453" s="1" t="s">
        <v>12</v>
      </c>
      <c r="I453" s="1" t="s">
        <v>70</v>
      </c>
      <c r="J453" s="1" t="s">
        <v>14</v>
      </c>
    </row>
    <row r="454" spans="2:10" x14ac:dyDescent="0.3">
      <c r="B454" s="1" t="s">
        <v>790</v>
      </c>
      <c r="C454" s="1" t="s">
        <v>28</v>
      </c>
      <c r="D454" s="2" t="s">
        <v>448</v>
      </c>
      <c r="E454" s="2" t="s">
        <v>448</v>
      </c>
      <c r="F454" s="2" t="s">
        <v>11</v>
      </c>
      <c r="G454" s="3" t="s">
        <v>798</v>
      </c>
      <c r="H454" s="1" t="s">
        <v>12</v>
      </c>
      <c r="I454" s="1" t="s">
        <v>30</v>
      </c>
      <c r="J454" s="1" t="s">
        <v>14</v>
      </c>
    </row>
    <row r="455" spans="2:10" x14ac:dyDescent="0.3">
      <c r="B455" s="1" t="s">
        <v>790</v>
      </c>
      <c r="C455" s="1" t="s">
        <v>19</v>
      </c>
      <c r="D455" s="2" t="s">
        <v>251</v>
      </c>
      <c r="E455" s="2" t="s">
        <v>251</v>
      </c>
      <c r="F455" s="2" t="s">
        <v>11</v>
      </c>
      <c r="G455" s="3" t="s">
        <v>799</v>
      </c>
      <c r="H455" s="1" t="s">
        <v>12</v>
      </c>
      <c r="I455" s="1" t="s">
        <v>56</v>
      </c>
      <c r="J455" s="1" t="s">
        <v>14</v>
      </c>
    </row>
    <row r="456" spans="2:10" x14ac:dyDescent="0.3">
      <c r="B456" s="1" t="s">
        <v>790</v>
      </c>
      <c r="C456" s="1" t="s">
        <v>46</v>
      </c>
      <c r="D456" s="2" t="s">
        <v>433</v>
      </c>
      <c r="E456" s="2" t="s">
        <v>433</v>
      </c>
      <c r="F456" s="2" t="s">
        <v>11</v>
      </c>
      <c r="G456" s="3" t="s">
        <v>800</v>
      </c>
      <c r="H456" s="1" t="s">
        <v>12</v>
      </c>
      <c r="I456" s="1" t="s">
        <v>46</v>
      </c>
      <c r="J456" s="1" t="s">
        <v>52</v>
      </c>
    </row>
    <row r="457" spans="2:10" x14ac:dyDescent="0.3">
      <c r="B457" s="1" t="s">
        <v>790</v>
      </c>
      <c r="C457" s="1" t="s">
        <v>26</v>
      </c>
      <c r="D457" s="2" t="s">
        <v>251</v>
      </c>
      <c r="E457" s="2" t="s">
        <v>251</v>
      </c>
      <c r="F457" s="2" t="s">
        <v>11</v>
      </c>
      <c r="G457" s="3" t="s">
        <v>801</v>
      </c>
      <c r="H457" s="1" t="s">
        <v>12</v>
      </c>
      <c r="I457" s="1" t="s">
        <v>18</v>
      </c>
      <c r="J457" s="1" t="s">
        <v>14</v>
      </c>
    </row>
    <row r="458" spans="2:10" x14ac:dyDescent="0.3">
      <c r="B458" s="1" t="s">
        <v>790</v>
      </c>
      <c r="C458" s="1" t="s">
        <v>45</v>
      </c>
      <c r="D458" s="2" t="s">
        <v>624</v>
      </c>
      <c r="E458" s="2" t="s">
        <v>624</v>
      </c>
      <c r="F458" s="2" t="s">
        <v>11</v>
      </c>
      <c r="G458" s="3" t="s">
        <v>802</v>
      </c>
      <c r="H458" s="1" t="s">
        <v>12</v>
      </c>
      <c r="I458" s="1" t="s">
        <v>51</v>
      </c>
      <c r="J458" s="1" t="s">
        <v>14</v>
      </c>
    </row>
    <row r="459" spans="2:10" x14ac:dyDescent="0.3">
      <c r="B459" s="1" t="s">
        <v>790</v>
      </c>
      <c r="C459" s="1" t="s">
        <v>23</v>
      </c>
      <c r="D459" s="2" t="s">
        <v>185</v>
      </c>
      <c r="E459" s="2" t="s">
        <v>185</v>
      </c>
      <c r="F459" s="2" t="s">
        <v>11</v>
      </c>
      <c r="G459" s="3" t="s">
        <v>803</v>
      </c>
      <c r="H459" s="1" t="s">
        <v>12</v>
      </c>
      <c r="I459" s="1" t="s">
        <v>60</v>
      </c>
      <c r="J459" s="1" t="s">
        <v>14</v>
      </c>
    </row>
    <row r="460" spans="2:10" x14ac:dyDescent="0.3">
      <c r="B460" s="1" t="s">
        <v>790</v>
      </c>
      <c r="C460" s="1" t="s">
        <v>24</v>
      </c>
      <c r="D460" s="2" t="s">
        <v>439</v>
      </c>
      <c r="E460" s="2" t="s">
        <v>439</v>
      </c>
      <c r="F460" s="2" t="s">
        <v>11</v>
      </c>
      <c r="G460" s="3" t="s">
        <v>804</v>
      </c>
      <c r="H460" s="1" t="s">
        <v>12</v>
      </c>
      <c r="I460" s="1" t="s">
        <v>18</v>
      </c>
      <c r="J460" s="1" t="s">
        <v>14</v>
      </c>
    </row>
    <row r="461" spans="2:10" x14ac:dyDescent="0.3">
      <c r="B461" s="1" t="s">
        <v>790</v>
      </c>
      <c r="C461" s="1" t="s">
        <v>43</v>
      </c>
      <c r="D461" s="2" t="s">
        <v>443</v>
      </c>
      <c r="E461" s="2" t="s">
        <v>443</v>
      </c>
      <c r="F461" s="2" t="s">
        <v>11</v>
      </c>
      <c r="G461" s="3" t="s">
        <v>805</v>
      </c>
      <c r="H461" s="1" t="s">
        <v>12</v>
      </c>
      <c r="I461" s="1" t="s">
        <v>49</v>
      </c>
      <c r="J461" s="1" t="s">
        <v>14</v>
      </c>
    </row>
    <row r="462" spans="2:10" x14ac:dyDescent="0.3">
      <c r="B462" s="1" t="s">
        <v>790</v>
      </c>
      <c r="C462" s="1" t="s">
        <v>31</v>
      </c>
      <c r="D462" s="2" t="s">
        <v>443</v>
      </c>
      <c r="E462" s="2" t="s">
        <v>443</v>
      </c>
      <c r="F462" s="2" t="s">
        <v>11</v>
      </c>
      <c r="G462" s="3" t="s">
        <v>806</v>
      </c>
      <c r="H462" s="1" t="s">
        <v>12</v>
      </c>
      <c r="I462" s="1" t="s">
        <v>51</v>
      </c>
      <c r="J462" s="1" t="s">
        <v>14</v>
      </c>
    </row>
    <row r="463" spans="2:10" x14ac:dyDescent="0.3">
      <c r="B463" s="1" t="s">
        <v>790</v>
      </c>
      <c r="C463" s="1" t="s">
        <v>15</v>
      </c>
      <c r="D463" s="2" t="s">
        <v>458</v>
      </c>
      <c r="E463" s="2" t="s">
        <v>458</v>
      </c>
      <c r="F463" s="2" t="s">
        <v>11</v>
      </c>
      <c r="G463" s="3" t="s">
        <v>807</v>
      </c>
      <c r="H463" s="1" t="s">
        <v>12</v>
      </c>
      <c r="I463" s="1" t="s">
        <v>27</v>
      </c>
      <c r="J463" s="1" t="s">
        <v>14</v>
      </c>
    </row>
    <row r="464" spans="2:10" x14ac:dyDescent="0.3">
      <c r="B464" s="1" t="s">
        <v>790</v>
      </c>
      <c r="C464" s="1" t="s">
        <v>39</v>
      </c>
      <c r="D464" s="2" t="s">
        <v>311</v>
      </c>
      <c r="E464" s="2" t="s">
        <v>311</v>
      </c>
      <c r="F464" s="2" t="s">
        <v>11</v>
      </c>
      <c r="G464" s="3" t="s">
        <v>808</v>
      </c>
      <c r="H464" s="1" t="s">
        <v>12</v>
      </c>
      <c r="I464" s="1" t="s">
        <v>47</v>
      </c>
      <c r="J464" s="1" t="s">
        <v>14</v>
      </c>
    </row>
    <row r="465" spans="2:10" x14ac:dyDescent="0.3">
      <c r="B465" s="1" t="s">
        <v>790</v>
      </c>
      <c r="C465" s="1" t="s">
        <v>36</v>
      </c>
      <c r="D465" s="2" t="s">
        <v>439</v>
      </c>
      <c r="E465" s="2" t="s">
        <v>439</v>
      </c>
      <c r="F465" s="2" t="s">
        <v>11</v>
      </c>
      <c r="G465" s="3" t="s">
        <v>809</v>
      </c>
      <c r="H465" s="1" t="s">
        <v>12</v>
      </c>
      <c r="I465" s="1" t="s">
        <v>34</v>
      </c>
      <c r="J465" s="1" t="s">
        <v>14</v>
      </c>
    </row>
    <row r="466" spans="2:10" x14ac:dyDescent="0.3">
      <c r="B466" s="1" t="s">
        <v>810</v>
      </c>
      <c r="C466" s="1" t="s">
        <v>21</v>
      </c>
      <c r="D466" s="2" t="s">
        <v>443</v>
      </c>
      <c r="E466" s="2" t="s">
        <v>443</v>
      </c>
      <c r="F466" s="2" t="s">
        <v>11</v>
      </c>
      <c r="G466" s="3" t="s">
        <v>811</v>
      </c>
      <c r="H466" s="1" t="s">
        <v>12</v>
      </c>
      <c r="I466" s="1" t="s">
        <v>22</v>
      </c>
      <c r="J466" s="1" t="s">
        <v>14</v>
      </c>
    </row>
    <row r="467" spans="2:10" x14ac:dyDescent="0.3">
      <c r="B467" s="1" t="s">
        <v>810</v>
      </c>
      <c r="C467" s="1" t="s">
        <v>46</v>
      </c>
      <c r="D467" s="2" t="s">
        <v>433</v>
      </c>
      <c r="E467" s="2" t="s">
        <v>433</v>
      </c>
      <c r="F467" s="2" t="s">
        <v>11</v>
      </c>
      <c r="G467" s="3" t="s">
        <v>812</v>
      </c>
      <c r="H467" s="1" t="s">
        <v>12</v>
      </c>
      <c r="I467" s="1" t="s">
        <v>50</v>
      </c>
      <c r="J467" s="1" t="s">
        <v>14</v>
      </c>
    </row>
    <row r="468" spans="2:10" x14ac:dyDescent="0.3">
      <c r="B468" s="1" t="s">
        <v>810</v>
      </c>
      <c r="C468" s="1" t="s">
        <v>23</v>
      </c>
      <c r="D468" s="2" t="s">
        <v>443</v>
      </c>
      <c r="E468" s="2" t="s">
        <v>443</v>
      </c>
      <c r="F468" s="2" t="s">
        <v>11</v>
      </c>
      <c r="G468" s="3" t="s">
        <v>813</v>
      </c>
      <c r="H468" s="1" t="s">
        <v>12</v>
      </c>
      <c r="I468" s="1" t="s">
        <v>40</v>
      </c>
      <c r="J468" s="1" t="s">
        <v>14</v>
      </c>
    </row>
    <row r="469" spans="2:10" x14ac:dyDescent="0.3">
      <c r="B469" s="1" t="s">
        <v>810</v>
      </c>
      <c r="C469" s="1" t="s">
        <v>45</v>
      </c>
      <c r="D469" s="2" t="s">
        <v>443</v>
      </c>
      <c r="E469" s="2" t="s">
        <v>443</v>
      </c>
      <c r="F469" s="2" t="s">
        <v>11</v>
      </c>
      <c r="G469" s="3" t="s">
        <v>814</v>
      </c>
      <c r="H469" s="1" t="s">
        <v>12</v>
      </c>
      <c r="I469" s="1" t="s">
        <v>50</v>
      </c>
      <c r="J469" s="1" t="s">
        <v>14</v>
      </c>
    </row>
    <row r="470" spans="2:10" x14ac:dyDescent="0.3">
      <c r="B470" s="1" t="s">
        <v>810</v>
      </c>
      <c r="C470" s="1" t="s">
        <v>17</v>
      </c>
      <c r="D470" s="2" t="s">
        <v>448</v>
      </c>
      <c r="E470" s="2" t="s">
        <v>448</v>
      </c>
      <c r="F470" s="2" t="s">
        <v>11</v>
      </c>
      <c r="G470" s="3" t="s">
        <v>366</v>
      </c>
      <c r="H470" s="1" t="s">
        <v>12</v>
      </c>
      <c r="I470" s="1" t="s">
        <v>47</v>
      </c>
      <c r="J470" s="1" t="s">
        <v>14</v>
      </c>
    </row>
    <row r="471" spans="2:10" x14ac:dyDescent="0.3">
      <c r="B471" s="1" t="s">
        <v>810</v>
      </c>
      <c r="C471" s="1" t="s">
        <v>28</v>
      </c>
      <c r="D471" s="2" t="s">
        <v>337</v>
      </c>
      <c r="E471" s="2" t="s">
        <v>337</v>
      </c>
      <c r="F471" s="2" t="s">
        <v>11</v>
      </c>
      <c r="G471" s="3" t="s">
        <v>815</v>
      </c>
      <c r="H471" s="1" t="s">
        <v>12</v>
      </c>
      <c r="I471" s="1" t="s">
        <v>16</v>
      </c>
      <c r="J471" s="1" t="s">
        <v>14</v>
      </c>
    </row>
    <row r="472" spans="2:10" x14ac:dyDescent="0.3">
      <c r="B472" s="1" t="s">
        <v>810</v>
      </c>
      <c r="C472" s="1" t="s">
        <v>29</v>
      </c>
      <c r="D472" s="2" t="s">
        <v>433</v>
      </c>
      <c r="E472" s="2" t="s">
        <v>433</v>
      </c>
      <c r="F472" s="2" t="s">
        <v>11</v>
      </c>
      <c r="G472" s="3" t="s">
        <v>347</v>
      </c>
      <c r="H472" s="1" t="s">
        <v>12</v>
      </c>
      <c r="I472" s="1" t="s">
        <v>63</v>
      </c>
      <c r="J472" s="1" t="s">
        <v>14</v>
      </c>
    </row>
    <row r="473" spans="2:10" x14ac:dyDescent="0.3">
      <c r="B473" s="1" t="s">
        <v>810</v>
      </c>
      <c r="C473" s="1" t="s">
        <v>35</v>
      </c>
      <c r="D473" s="2" t="s">
        <v>448</v>
      </c>
      <c r="E473" s="2" t="s">
        <v>448</v>
      </c>
      <c r="F473" s="2" t="s">
        <v>11</v>
      </c>
      <c r="G473" s="3" t="s">
        <v>816</v>
      </c>
      <c r="H473" s="1" t="s">
        <v>12</v>
      </c>
      <c r="I473" s="1" t="s">
        <v>66</v>
      </c>
      <c r="J473" s="1" t="s">
        <v>14</v>
      </c>
    </row>
    <row r="474" spans="2:10" x14ac:dyDescent="0.3">
      <c r="B474" s="1" t="s">
        <v>810</v>
      </c>
      <c r="C474" s="1" t="s">
        <v>10</v>
      </c>
      <c r="D474" s="2" t="s">
        <v>448</v>
      </c>
      <c r="E474" s="2" t="s">
        <v>448</v>
      </c>
      <c r="F474" s="2" t="s">
        <v>11</v>
      </c>
      <c r="G474" s="3" t="s">
        <v>817</v>
      </c>
      <c r="H474" s="1" t="s">
        <v>12</v>
      </c>
      <c r="I474" s="1" t="s">
        <v>22</v>
      </c>
      <c r="J474" s="1" t="s">
        <v>14</v>
      </c>
    </row>
    <row r="475" spans="2:10" x14ac:dyDescent="0.3">
      <c r="B475" s="1" t="s">
        <v>810</v>
      </c>
      <c r="C475" s="1" t="s">
        <v>31</v>
      </c>
      <c r="D475" s="2" t="s">
        <v>458</v>
      </c>
      <c r="E475" s="2" t="s">
        <v>458</v>
      </c>
      <c r="F475" s="2" t="s">
        <v>11</v>
      </c>
      <c r="G475" s="3" t="s">
        <v>818</v>
      </c>
      <c r="H475" s="1" t="s">
        <v>12</v>
      </c>
      <c r="I475" s="1" t="s">
        <v>55</v>
      </c>
      <c r="J475" s="1" t="s">
        <v>14</v>
      </c>
    </row>
    <row r="476" spans="2:10" x14ac:dyDescent="0.3">
      <c r="B476" s="1" t="s">
        <v>810</v>
      </c>
      <c r="C476" s="1" t="s">
        <v>19</v>
      </c>
      <c r="D476" s="2" t="s">
        <v>240</v>
      </c>
      <c r="E476" s="2" t="s">
        <v>240</v>
      </c>
      <c r="F476" s="2" t="s">
        <v>11</v>
      </c>
      <c r="G476" s="3" t="s">
        <v>819</v>
      </c>
      <c r="H476" s="1" t="s">
        <v>12</v>
      </c>
      <c r="I476" s="1" t="s">
        <v>66</v>
      </c>
      <c r="J476" s="1" t="s">
        <v>14</v>
      </c>
    </row>
    <row r="477" spans="2:10" x14ac:dyDescent="0.3">
      <c r="B477" s="1" t="s">
        <v>810</v>
      </c>
      <c r="C477" s="1" t="s">
        <v>36</v>
      </c>
      <c r="D477" s="2" t="s">
        <v>433</v>
      </c>
      <c r="E477" s="2" t="s">
        <v>433</v>
      </c>
      <c r="F477" s="2" t="s">
        <v>11</v>
      </c>
      <c r="G477" s="3" t="s">
        <v>820</v>
      </c>
      <c r="H477" s="1" t="s">
        <v>12</v>
      </c>
      <c r="I477" s="1" t="s">
        <v>66</v>
      </c>
      <c r="J477" s="1" t="s">
        <v>14</v>
      </c>
    </row>
    <row r="478" spans="2:10" x14ac:dyDescent="0.3">
      <c r="B478" s="1" t="s">
        <v>810</v>
      </c>
      <c r="C478" s="1" t="s">
        <v>43</v>
      </c>
      <c r="D478" s="2" t="s">
        <v>443</v>
      </c>
      <c r="E478" s="2" t="s">
        <v>443</v>
      </c>
      <c r="F478" s="2" t="s">
        <v>11</v>
      </c>
      <c r="G478" s="3" t="s">
        <v>821</v>
      </c>
      <c r="H478" s="1" t="s">
        <v>12</v>
      </c>
      <c r="I478" s="1" t="s">
        <v>74</v>
      </c>
      <c r="J478" s="1" t="s">
        <v>14</v>
      </c>
    </row>
    <row r="479" spans="2:10" x14ac:dyDescent="0.3">
      <c r="B479" s="1" t="s">
        <v>810</v>
      </c>
      <c r="C479" s="1" t="s">
        <v>39</v>
      </c>
      <c r="D479" s="2" t="s">
        <v>758</v>
      </c>
      <c r="E479" s="2" t="s">
        <v>758</v>
      </c>
      <c r="F479" s="2" t="s">
        <v>11</v>
      </c>
      <c r="G479" s="3" t="s">
        <v>822</v>
      </c>
      <c r="H479" s="1" t="s">
        <v>12</v>
      </c>
      <c r="I479" s="1" t="s">
        <v>55</v>
      </c>
      <c r="J479" s="1" t="s">
        <v>14</v>
      </c>
    </row>
    <row r="480" spans="2:10" x14ac:dyDescent="0.3">
      <c r="B480" s="1" t="s">
        <v>810</v>
      </c>
      <c r="C480" s="1" t="s">
        <v>24</v>
      </c>
      <c r="D480" s="2" t="s">
        <v>823</v>
      </c>
      <c r="E480" s="2" t="s">
        <v>823</v>
      </c>
      <c r="F480" s="2" t="s">
        <v>11</v>
      </c>
      <c r="G480" s="3" t="s">
        <v>824</v>
      </c>
      <c r="H480" s="1" t="s">
        <v>12</v>
      </c>
      <c r="I480" s="1" t="s">
        <v>64</v>
      </c>
      <c r="J480" s="1" t="s">
        <v>14</v>
      </c>
    </row>
    <row r="481" spans="2:10" x14ac:dyDescent="0.3">
      <c r="B481" s="1" t="s">
        <v>810</v>
      </c>
      <c r="C481" s="1" t="s">
        <v>33</v>
      </c>
      <c r="D481" s="2" t="s">
        <v>443</v>
      </c>
      <c r="E481" s="2" t="s">
        <v>443</v>
      </c>
      <c r="F481" s="2" t="s">
        <v>11</v>
      </c>
      <c r="G481" s="3" t="s">
        <v>825</v>
      </c>
      <c r="H481" s="1" t="s">
        <v>12</v>
      </c>
      <c r="I481" s="1" t="s">
        <v>30</v>
      </c>
      <c r="J481" s="1" t="s">
        <v>14</v>
      </c>
    </row>
    <row r="482" spans="2:10" x14ac:dyDescent="0.3">
      <c r="B482" s="1" t="s">
        <v>810</v>
      </c>
      <c r="C482" s="1" t="s">
        <v>38</v>
      </c>
      <c r="D482" s="2" t="s">
        <v>433</v>
      </c>
      <c r="E482" s="2" t="s">
        <v>433</v>
      </c>
      <c r="F482" s="2" t="s">
        <v>11</v>
      </c>
      <c r="G482" s="3" t="s">
        <v>826</v>
      </c>
      <c r="H482" s="1" t="s">
        <v>12</v>
      </c>
      <c r="I482" s="1" t="s">
        <v>56</v>
      </c>
      <c r="J482" s="1" t="s">
        <v>14</v>
      </c>
    </row>
    <row r="483" spans="2:10" x14ac:dyDescent="0.3">
      <c r="B483" s="1" t="s">
        <v>810</v>
      </c>
      <c r="C483" s="1" t="s">
        <v>41</v>
      </c>
      <c r="D483" s="2" t="s">
        <v>438</v>
      </c>
      <c r="E483" s="2" t="s">
        <v>438</v>
      </c>
      <c r="F483" s="2" t="s">
        <v>11</v>
      </c>
      <c r="G483" s="3" t="s">
        <v>827</v>
      </c>
      <c r="H483" s="1" t="s">
        <v>12</v>
      </c>
      <c r="I483" s="1" t="s">
        <v>60</v>
      </c>
      <c r="J483" s="1" t="s">
        <v>14</v>
      </c>
    </row>
    <row r="484" spans="2:10" x14ac:dyDescent="0.3">
      <c r="B484" s="1" t="s">
        <v>810</v>
      </c>
      <c r="C484" s="1" t="s">
        <v>26</v>
      </c>
      <c r="D484" s="2" t="s">
        <v>584</v>
      </c>
      <c r="E484" s="2" t="s">
        <v>584</v>
      </c>
      <c r="F484" s="2" t="s">
        <v>11</v>
      </c>
      <c r="G484" s="3" t="s">
        <v>828</v>
      </c>
      <c r="H484" s="1" t="s">
        <v>12</v>
      </c>
      <c r="I484" s="1" t="s">
        <v>34</v>
      </c>
      <c r="J484" s="1" t="s">
        <v>14</v>
      </c>
    </row>
    <row r="485" spans="2:10" x14ac:dyDescent="0.3">
      <c r="B485" s="1" t="s">
        <v>810</v>
      </c>
      <c r="C485" s="1" t="s">
        <v>15</v>
      </c>
      <c r="D485" s="2" t="s">
        <v>443</v>
      </c>
      <c r="E485" s="2" t="s">
        <v>443</v>
      </c>
      <c r="F485" s="2" t="s">
        <v>11</v>
      </c>
      <c r="G485" s="3" t="s">
        <v>829</v>
      </c>
      <c r="H485" s="1" t="s">
        <v>12</v>
      </c>
      <c r="I485" s="1" t="s">
        <v>25</v>
      </c>
      <c r="J485" s="1" t="s">
        <v>14</v>
      </c>
    </row>
    <row r="486" spans="2:10" x14ac:dyDescent="0.3">
      <c r="B486" s="1" t="s">
        <v>830</v>
      </c>
      <c r="C486" s="1" t="s">
        <v>39</v>
      </c>
      <c r="D486" s="2" t="s">
        <v>572</v>
      </c>
      <c r="E486" s="2" t="s">
        <v>495</v>
      </c>
      <c r="F486" s="2" t="s">
        <v>11</v>
      </c>
      <c r="G486" s="3" t="s">
        <v>831</v>
      </c>
      <c r="H486" s="1" t="s">
        <v>12</v>
      </c>
      <c r="I486" s="1" t="s">
        <v>10</v>
      </c>
      <c r="J486" s="1" t="s">
        <v>52</v>
      </c>
    </row>
    <row r="487" spans="2:10" x14ac:dyDescent="0.3">
      <c r="B487" s="1" t="s">
        <v>830</v>
      </c>
      <c r="C487" s="1" t="s">
        <v>41</v>
      </c>
      <c r="D487" s="2" t="s">
        <v>448</v>
      </c>
      <c r="E487" s="2" t="s">
        <v>448</v>
      </c>
      <c r="F487" s="2" t="s">
        <v>11</v>
      </c>
      <c r="G487" s="3" t="s">
        <v>832</v>
      </c>
      <c r="H487" s="1" t="s">
        <v>12</v>
      </c>
      <c r="I487" s="1" t="s">
        <v>833</v>
      </c>
      <c r="J487" s="1" t="s">
        <v>14</v>
      </c>
    </row>
    <row r="488" spans="2:10" x14ac:dyDescent="0.3">
      <c r="B488" s="1" t="s">
        <v>830</v>
      </c>
      <c r="C488" s="1" t="s">
        <v>38</v>
      </c>
      <c r="D488" s="2" t="s">
        <v>387</v>
      </c>
      <c r="E488" s="2" t="s">
        <v>387</v>
      </c>
      <c r="F488" s="2" t="s">
        <v>11</v>
      </c>
      <c r="G488" s="3" t="s">
        <v>834</v>
      </c>
      <c r="H488" s="1" t="s">
        <v>12</v>
      </c>
      <c r="I488" s="1" t="s">
        <v>49</v>
      </c>
      <c r="J488" s="1" t="s">
        <v>14</v>
      </c>
    </row>
    <row r="489" spans="2:10" x14ac:dyDescent="0.3">
      <c r="B489" s="1" t="s">
        <v>830</v>
      </c>
      <c r="C489" s="1" t="s">
        <v>17</v>
      </c>
      <c r="D489" s="2" t="s">
        <v>387</v>
      </c>
      <c r="E489" s="2" t="s">
        <v>387</v>
      </c>
      <c r="F489" s="2" t="s">
        <v>11</v>
      </c>
      <c r="G489" s="3" t="s">
        <v>835</v>
      </c>
      <c r="H489" s="1" t="s">
        <v>12</v>
      </c>
      <c r="I489" s="1" t="s">
        <v>104</v>
      </c>
      <c r="J489" s="1" t="s">
        <v>14</v>
      </c>
    </row>
    <row r="490" spans="2:10" x14ac:dyDescent="0.3">
      <c r="B490" s="1" t="s">
        <v>830</v>
      </c>
      <c r="C490" s="1" t="s">
        <v>31</v>
      </c>
      <c r="D490" s="2" t="s">
        <v>836</v>
      </c>
      <c r="E490" s="2" t="s">
        <v>836</v>
      </c>
      <c r="F490" s="2" t="s">
        <v>11</v>
      </c>
      <c r="G490" s="3" t="s">
        <v>837</v>
      </c>
      <c r="H490" s="1" t="s">
        <v>12</v>
      </c>
      <c r="I490" s="1" t="s">
        <v>13</v>
      </c>
      <c r="J490" s="1" t="s">
        <v>14</v>
      </c>
    </row>
    <row r="491" spans="2:10" x14ac:dyDescent="0.3">
      <c r="B491" s="1" t="s">
        <v>830</v>
      </c>
      <c r="C491" s="1" t="s">
        <v>45</v>
      </c>
      <c r="D491" s="2" t="s">
        <v>838</v>
      </c>
      <c r="E491" s="2" t="s">
        <v>838</v>
      </c>
      <c r="F491" s="2" t="s">
        <v>11</v>
      </c>
      <c r="G491" s="3" t="s">
        <v>839</v>
      </c>
      <c r="H491" s="1" t="s">
        <v>12</v>
      </c>
      <c r="I491" s="1" t="s">
        <v>34</v>
      </c>
      <c r="J491" s="1" t="s">
        <v>14</v>
      </c>
    </row>
    <row r="492" spans="2:10" x14ac:dyDescent="0.3">
      <c r="B492" s="1" t="s">
        <v>830</v>
      </c>
      <c r="C492" s="1" t="s">
        <v>19</v>
      </c>
      <c r="D492" s="2" t="s">
        <v>838</v>
      </c>
      <c r="E492" s="2" t="s">
        <v>838</v>
      </c>
      <c r="F492" s="2" t="s">
        <v>11</v>
      </c>
      <c r="G492" s="3" t="s">
        <v>840</v>
      </c>
      <c r="H492" s="1" t="s">
        <v>12</v>
      </c>
      <c r="I492" s="1" t="s">
        <v>27</v>
      </c>
      <c r="J492" s="1" t="s">
        <v>14</v>
      </c>
    </row>
    <row r="493" spans="2:10" x14ac:dyDescent="0.3">
      <c r="B493" s="1" t="s">
        <v>830</v>
      </c>
      <c r="C493" s="1" t="s">
        <v>24</v>
      </c>
      <c r="D493" s="2" t="s">
        <v>475</v>
      </c>
      <c r="E493" s="2" t="s">
        <v>475</v>
      </c>
      <c r="F493" s="2" t="s">
        <v>11</v>
      </c>
      <c r="G493" s="3" t="s">
        <v>841</v>
      </c>
      <c r="H493" s="1" t="s">
        <v>12</v>
      </c>
      <c r="I493" s="1" t="s">
        <v>49</v>
      </c>
      <c r="J493" s="1" t="s">
        <v>14</v>
      </c>
    </row>
    <row r="494" spans="2:10" x14ac:dyDescent="0.3">
      <c r="B494" s="1" t="s">
        <v>830</v>
      </c>
      <c r="C494" s="1" t="s">
        <v>23</v>
      </c>
      <c r="D494" s="2" t="s">
        <v>842</v>
      </c>
      <c r="E494" s="2" t="s">
        <v>842</v>
      </c>
      <c r="F494" s="2" t="s">
        <v>11</v>
      </c>
      <c r="G494" s="3" t="s">
        <v>843</v>
      </c>
      <c r="H494" s="1" t="s">
        <v>12</v>
      </c>
      <c r="I494" s="1" t="s">
        <v>80</v>
      </c>
      <c r="J494" s="1" t="s">
        <v>14</v>
      </c>
    </row>
    <row r="495" spans="2:10" x14ac:dyDescent="0.3">
      <c r="B495" s="1" t="s">
        <v>830</v>
      </c>
      <c r="C495" s="1" t="s">
        <v>26</v>
      </c>
      <c r="D495" s="2" t="s">
        <v>838</v>
      </c>
      <c r="E495" s="2" t="s">
        <v>838</v>
      </c>
      <c r="F495" s="2" t="s">
        <v>11</v>
      </c>
      <c r="G495" s="3" t="s">
        <v>844</v>
      </c>
      <c r="H495" s="1" t="s">
        <v>12</v>
      </c>
      <c r="I495" s="1" t="s">
        <v>32</v>
      </c>
      <c r="J495" s="1" t="s">
        <v>14</v>
      </c>
    </row>
    <row r="496" spans="2:10" x14ac:dyDescent="0.3">
      <c r="B496" s="1" t="s">
        <v>830</v>
      </c>
      <c r="C496" s="1" t="s">
        <v>43</v>
      </c>
      <c r="D496" s="2" t="s">
        <v>584</v>
      </c>
      <c r="E496" s="2" t="s">
        <v>584</v>
      </c>
      <c r="F496" s="2" t="s">
        <v>11</v>
      </c>
      <c r="G496" s="3" t="s">
        <v>845</v>
      </c>
      <c r="H496" s="1" t="s">
        <v>12</v>
      </c>
      <c r="I496" s="1" t="s">
        <v>64</v>
      </c>
      <c r="J496" s="1" t="s">
        <v>14</v>
      </c>
    </row>
    <row r="497" spans="2:10" x14ac:dyDescent="0.3">
      <c r="B497" s="1" t="s">
        <v>830</v>
      </c>
      <c r="C497" s="1" t="s">
        <v>33</v>
      </c>
      <c r="D497" s="2" t="s">
        <v>846</v>
      </c>
      <c r="E497" s="2" t="s">
        <v>847</v>
      </c>
      <c r="F497" s="2" t="s">
        <v>11</v>
      </c>
      <c r="G497" s="3" t="s">
        <v>848</v>
      </c>
      <c r="H497" s="1" t="s">
        <v>12</v>
      </c>
      <c r="I497" s="1" t="s">
        <v>15</v>
      </c>
      <c r="J497" s="1" t="s">
        <v>52</v>
      </c>
    </row>
    <row r="498" spans="2:10" x14ac:dyDescent="0.3">
      <c r="B498" s="1" t="s">
        <v>830</v>
      </c>
      <c r="C498" s="1" t="s">
        <v>21</v>
      </c>
      <c r="D498" s="2" t="s">
        <v>475</v>
      </c>
      <c r="E498" s="2" t="s">
        <v>475</v>
      </c>
      <c r="F498" s="2" t="s">
        <v>11</v>
      </c>
      <c r="G498" s="3" t="s">
        <v>849</v>
      </c>
      <c r="H498" s="1" t="s">
        <v>12</v>
      </c>
      <c r="I498" s="1" t="s">
        <v>47</v>
      </c>
      <c r="J498" s="1" t="s">
        <v>14</v>
      </c>
    </row>
    <row r="499" spans="2:10" x14ac:dyDescent="0.3">
      <c r="B499" s="1" t="s">
        <v>830</v>
      </c>
      <c r="C499" s="1" t="s">
        <v>28</v>
      </c>
      <c r="D499" s="2" t="s">
        <v>696</v>
      </c>
      <c r="E499" s="2" t="s">
        <v>696</v>
      </c>
      <c r="F499" s="2" t="s">
        <v>11</v>
      </c>
      <c r="G499" s="3" t="s">
        <v>787</v>
      </c>
      <c r="H499" s="1" t="s">
        <v>12</v>
      </c>
      <c r="I499" s="1" t="s">
        <v>56</v>
      </c>
      <c r="J499" s="1" t="s">
        <v>14</v>
      </c>
    </row>
    <row r="500" spans="2:10" x14ac:dyDescent="0.3">
      <c r="B500" s="1" t="s">
        <v>830</v>
      </c>
      <c r="C500" s="1" t="s">
        <v>35</v>
      </c>
      <c r="D500" s="2" t="s">
        <v>387</v>
      </c>
      <c r="E500" s="2" t="s">
        <v>387</v>
      </c>
      <c r="F500" s="2" t="s">
        <v>11</v>
      </c>
      <c r="G500" s="3" t="s">
        <v>850</v>
      </c>
      <c r="H500" s="1" t="s">
        <v>12</v>
      </c>
      <c r="I500" s="1" t="s">
        <v>16</v>
      </c>
      <c r="J500" s="1" t="s">
        <v>14</v>
      </c>
    </row>
    <row r="501" spans="2:10" x14ac:dyDescent="0.3">
      <c r="B501" s="1" t="s">
        <v>830</v>
      </c>
      <c r="C501" s="1" t="s">
        <v>29</v>
      </c>
      <c r="D501" s="2" t="s">
        <v>387</v>
      </c>
      <c r="E501" s="2" t="s">
        <v>387</v>
      </c>
      <c r="F501" s="2" t="s">
        <v>11</v>
      </c>
      <c r="G501" s="3" t="s">
        <v>851</v>
      </c>
      <c r="H501" s="1" t="s">
        <v>12</v>
      </c>
      <c r="I501" s="1" t="s">
        <v>49</v>
      </c>
      <c r="J501" s="1" t="s">
        <v>14</v>
      </c>
    </row>
    <row r="502" spans="2:10" x14ac:dyDescent="0.3">
      <c r="B502" s="1" t="s">
        <v>830</v>
      </c>
      <c r="C502" s="1" t="s">
        <v>10</v>
      </c>
      <c r="D502" s="2" t="s">
        <v>475</v>
      </c>
      <c r="E502" s="2" t="s">
        <v>475</v>
      </c>
      <c r="F502" s="2" t="s">
        <v>11</v>
      </c>
      <c r="G502" s="3" t="s">
        <v>852</v>
      </c>
      <c r="H502" s="1" t="s">
        <v>12</v>
      </c>
      <c r="I502" s="1" t="s">
        <v>49</v>
      </c>
      <c r="J502" s="1" t="s">
        <v>14</v>
      </c>
    </row>
    <row r="503" spans="2:10" x14ac:dyDescent="0.3">
      <c r="B503" s="1" t="s">
        <v>830</v>
      </c>
      <c r="C503" s="1" t="s">
        <v>46</v>
      </c>
      <c r="D503" s="2" t="s">
        <v>836</v>
      </c>
      <c r="E503" s="2" t="s">
        <v>836</v>
      </c>
      <c r="F503" s="2" t="s">
        <v>11</v>
      </c>
      <c r="G503" s="3" t="s">
        <v>853</v>
      </c>
      <c r="H503" s="1" t="s">
        <v>12</v>
      </c>
      <c r="I503" s="1" t="s">
        <v>80</v>
      </c>
      <c r="J503" s="1" t="s">
        <v>14</v>
      </c>
    </row>
    <row r="504" spans="2:10" x14ac:dyDescent="0.3">
      <c r="B504" s="1" t="s">
        <v>830</v>
      </c>
      <c r="C504" s="1" t="s">
        <v>15</v>
      </c>
      <c r="D504" s="2" t="s">
        <v>387</v>
      </c>
      <c r="E504" s="2" t="s">
        <v>387</v>
      </c>
      <c r="F504" s="2" t="s">
        <v>11</v>
      </c>
      <c r="G504" s="3" t="s">
        <v>854</v>
      </c>
      <c r="H504" s="1" t="s">
        <v>12</v>
      </c>
      <c r="I504" s="1" t="s">
        <v>29</v>
      </c>
      <c r="J504" s="1" t="s">
        <v>14</v>
      </c>
    </row>
    <row r="505" spans="2:10" x14ac:dyDescent="0.3">
      <c r="B505" s="1" t="s">
        <v>830</v>
      </c>
      <c r="C505" s="1" t="s">
        <v>36</v>
      </c>
      <c r="D505" s="2" t="s">
        <v>855</v>
      </c>
      <c r="E505" s="2" t="s">
        <v>856</v>
      </c>
      <c r="F505" s="2" t="s">
        <v>11</v>
      </c>
      <c r="G505" s="3" t="s">
        <v>427</v>
      </c>
      <c r="H505" s="1" t="s">
        <v>12</v>
      </c>
      <c r="I505" s="1" t="s">
        <v>63</v>
      </c>
      <c r="J505" s="1" t="s">
        <v>52</v>
      </c>
    </row>
    <row r="506" spans="2:10" x14ac:dyDescent="0.3">
      <c r="B506" s="1" t="s">
        <v>857</v>
      </c>
      <c r="C506" s="1" t="s">
        <v>26</v>
      </c>
      <c r="D506" s="2" t="s">
        <v>182</v>
      </c>
      <c r="E506" s="2" t="s">
        <v>182</v>
      </c>
      <c r="F506" s="2" t="s">
        <v>11</v>
      </c>
      <c r="G506" s="3" t="s">
        <v>858</v>
      </c>
      <c r="H506" s="1" t="s">
        <v>12</v>
      </c>
      <c r="I506" s="1" t="s">
        <v>22</v>
      </c>
      <c r="J506" s="1" t="s">
        <v>14</v>
      </c>
    </row>
    <row r="507" spans="2:10" x14ac:dyDescent="0.3">
      <c r="B507" s="1" t="s">
        <v>857</v>
      </c>
      <c r="C507" s="1" t="s">
        <v>33</v>
      </c>
      <c r="D507" s="2" t="s">
        <v>251</v>
      </c>
      <c r="E507" s="2" t="s">
        <v>251</v>
      </c>
      <c r="F507" s="2" t="s">
        <v>11</v>
      </c>
      <c r="G507" s="3" t="s">
        <v>155</v>
      </c>
      <c r="H507" s="1" t="s">
        <v>12</v>
      </c>
      <c r="I507" s="1" t="s">
        <v>34</v>
      </c>
      <c r="J507" s="1" t="s">
        <v>14</v>
      </c>
    </row>
    <row r="508" spans="2:10" x14ac:dyDescent="0.3">
      <c r="B508" s="1" t="s">
        <v>857</v>
      </c>
      <c r="C508" s="1" t="s">
        <v>23</v>
      </c>
      <c r="D508" s="2" t="s">
        <v>859</v>
      </c>
      <c r="E508" s="2" t="s">
        <v>859</v>
      </c>
      <c r="F508" s="2" t="s">
        <v>11</v>
      </c>
      <c r="G508" s="3" t="s">
        <v>860</v>
      </c>
      <c r="H508" s="1" t="s">
        <v>12</v>
      </c>
      <c r="I508" s="1" t="s">
        <v>87</v>
      </c>
      <c r="J508" s="1" t="s">
        <v>14</v>
      </c>
    </row>
    <row r="509" spans="2:10" x14ac:dyDescent="0.3">
      <c r="B509" s="1" t="s">
        <v>857</v>
      </c>
      <c r="C509" s="1" t="s">
        <v>31</v>
      </c>
      <c r="D509" s="2" t="s">
        <v>783</v>
      </c>
      <c r="E509" s="2" t="s">
        <v>783</v>
      </c>
      <c r="F509" s="2" t="s">
        <v>11</v>
      </c>
      <c r="G509" s="3" t="s">
        <v>861</v>
      </c>
      <c r="H509" s="1" t="s">
        <v>12</v>
      </c>
      <c r="I509" s="1" t="s">
        <v>37</v>
      </c>
      <c r="J509" s="1" t="s">
        <v>14</v>
      </c>
    </row>
    <row r="510" spans="2:10" x14ac:dyDescent="0.3">
      <c r="B510" s="1" t="s">
        <v>857</v>
      </c>
      <c r="C510" s="1" t="s">
        <v>24</v>
      </c>
      <c r="D510" s="2" t="s">
        <v>783</v>
      </c>
      <c r="E510" s="2" t="s">
        <v>783</v>
      </c>
      <c r="F510" s="2" t="s">
        <v>11</v>
      </c>
      <c r="G510" s="3" t="s">
        <v>862</v>
      </c>
      <c r="H510" s="1" t="s">
        <v>12</v>
      </c>
      <c r="I510" s="1" t="s">
        <v>20</v>
      </c>
      <c r="J510" s="1" t="s">
        <v>14</v>
      </c>
    </row>
    <row r="511" spans="2:10" x14ac:dyDescent="0.3">
      <c r="B511" s="1" t="s">
        <v>857</v>
      </c>
      <c r="C511" s="1" t="s">
        <v>29</v>
      </c>
      <c r="D511" s="2" t="s">
        <v>443</v>
      </c>
      <c r="E511" s="2" t="s">
        <v>443</v>
      </c>
      <c r="F511" s="2" t="s">
        <v>11</v>
      </c>
      <c r="G511" s="3" t="s">
        <v>863</v>
      </c>
      <c r="H511" s="1" t="s">
        <v>12</v>
      </c>
      <c r="I511" s="1" t="s">
        <v>73</v>
      </c>
      <c r="J511" s="1" t="s">
        <v>14</v>
      </c>
    </row>
    <row r="512" spans="2:10" x14ac:dyDescent="0.3">
      <c r="B512" s="1" t="s">
        <v>857</v>
      </c>
      <c r="C512" s="1" t="s">
        <v>41</v>
      </c>
      <c r="D512" s="2" t="s">
        <v>584</v>
      </c>
      <c r="E512" s="2" t="s">
        <v>584</v>
      </c>
      <c r="F512" s="2" t="s">
        <v>11</v>
      </c>
      <c r="G512" s="3" t="s">
        <v>310</v>
      </c>
      <c r="H512" s="1" t="s">
        <v>12</v>
      </c>
      <c r="I512" s="1" t="s">
        <v>53</v>
      </c>
      <c r="J512" s="1" t="s">
        <v>14</v>
      </c>
    </row>
    <row r="513" spans="2:10" x14ac:dyDescent="0.3">
      <c r="B513" s="1" t="s">
        <v>857</v>
      </c>
      <c r="C513" s="1" t="s">
        <v>39</v>
      </c>
      <c r="D513" s="2" t="s">
        <v>251</v>
      </c>
      <c r="E513" s="2" t="s">
        <v>251</v>
      </c>
      <c r="F513" s="2" t="s">
        <v>11</v>
      </c>
      <c r="G513" s="3" t="s">
        <v>864</v>
      </c>
      <c r="H513" s="1" t="s">
        <v>12</v>
      </c>
      <c r="I513" s="1" t="s">
        <v>40</v>
      </c>
      <c r="J513" s="1" t="s">
        <v>14</v>
      </c>
    </row>
    <row r="514" spans="2:10" x14ac:dyDescent="0.3">
      <c r="B514" s="1" t="s">
        <v>857</v>
      </c>
      <c r="C514" s="1" t="s">
        <v>38</v>
      </c>
      <c r="D514" s="2" t="s">
        <v>314</v>
      </c>
      <c r="E514" s="2" t="s">
        <v>314</v>
      </c>
      <c r="F514" s="2" t="s">
        <v>11</v>
      </c>
      <c r="G514" s="3" t="s">
        <v>865</v>
      </c>
      <c r="H514" s="1" t="s">
        <v>12</v>
      </c>
      <c r="I514" s="1" t="s">
        <v>18</v>
      </c>
      <c r="J514" s="1" t="s">
        <v>14</v>
      </c>
    </row>
    <row r="515" spans="2:10" x14ac:dyDescent="0.3">
      <c r="B515" s="1" t="s">
        <v>857</v>
      </c>
      <c r="C515" s="1" t="s">
        <v>43</v>
      </c>
      <c r="D515" s="2" t="s">
        <v>866</v>
      </c>
      <c r="E515" s="2" t="s">
        <v>867</v>
      </c>
      <c r="F515" s="2" t="s">
        <v>11</v>
      </c>
      <c r="G515" s="3" t="s">
        <v>868</v>
      </c>
      <c r="H515" s="1" t="s">
        <v>12</v>
      </c>
      <c r="I515" s="1" t="s">
        <v>15</v>
      </c>
      <c r="J515" s="1" t="s">
        <v>52</v>
      </c>
    </row>
    <row r="516" spans="2:10" x14ac:dyDescent="0.3">
      <c r="B516" s="1" t="s">
        <v>857</v>
      </c>
      <c r="C516" s="1" t="s">
        <v>17</v>
      </c>
      <c r="D516" s="2" t="s">
        <v>187</v>
      </c>
      <c r="E516" s="2" t="s">
        <v>187</v>
      </c>
      <c r="F516" s="2" t="s">
        <v>11</v>
      </c>
      <c r="G516" s="3" t="s">
        <v>869</v>
      </c>
      <c r="H516" s="1" t="s">
        <v>12</v>
      </c>
      <c r="I516" s="1" t="s">
        <v>63</v>
      </c>
      <c r="J516" s="1" t="s">
        <v>14</v>
      </c>
    </row>
    <row r="517" spans="2:10" x14ac:dyDescent="0.3">
      <c r="B517" s="1" t="s">
        <v>857</v>
      </c>
      <c r="C517" s="1" t="s">
        <v>15</v>
      </c>
      <c r="D517" s="2" t="s">
        <v>438</v>
      </c>
      <c r="E517" s="2" t="s">
        <v>438</v>
      </c>
      <c r="F517" s="2" t="s">
        <v>11</v>
      </c>
      <c r="G517" s="3" t="s">
        <v>870</v>
      </c>
      <c r="H517" s="1" t="s">
        <v>12</v>
      </c>
      <c r="I517" s="1" t="s">
        <v>44</v>
      </c>
      <c r="J517" s="1" t="s">
        <v>14</v>
      </c>
    </row>
    <row r="518" spans="2:10" x14ac:dyDescent="0.3">
      <c r="B518" s="1" t="s">
        <v>857</v>
      </c>
      <c r="C518" s="1" t="s">
        <v>28</v>
      </c>
      <c r="D518" s="2" t="s">
        <v>859</v>
      </c>
      <c r="E518" s="2" t="s">
        <v>859</v>
      </c>
      <c r="F518" s="2" t="s">
        <v>11</v>
      </c>
      <c r="G518" s="3" t="s">
        <v>871</v>
      </c>
      <c r="H518" s="1" t="s">
        <v>12</v>
      </c>
      <c r="I518" s="1" t="s">
        <v>42</v>
      </c>
      <c r="J518" s="1" t="s">
        <v>14</v>
      </c>
    </row>
    <row r="519" spans="2:10" x14ac:dyDescent="0.3">
      <c r="B519" s="1" t="s">
        <v>857</v>
      </c>
      <c r="C519" s="1" t="s">
        <v>21</v>
      </c>
      <c r="D519" s="2" t="s">
        <v>251</v>
      </c>
      <c r="E519" s="2" t="s">
        <v>251</v>
      </c>
      <c r="F519" s="2" t="s">
        <v>11</v>
      </c>
      <c r="G519" s="3" t="s">
        <v>872</v>
      </c>
      <c r="H519" s="1" t="s">
        <v>12</v>
      </c>
      <c r="I519" s="1" t="s">
        <v>32</v>
      </c>
      <c r="J519" s="1" t="s">
        <v>14</v>
      </c>
    </row>
    <row r="520" spans="2:10" x14ac:dyDescent="0.3">
      <c r="B520" s="1" t="s">
        <v>857</v>
      </c>
      <c r="C520" s="1" t="s">
        <v>46</v>
      </c>
      <c r="D520" s="2" t="s">
        <v>251</v>
      </c>
      <c r="E520" s="2" t="s">
        <v>251</v>
      </c>
      <c r="F520" s="2" t="s">
        <v>11</v>
      </c>
      <c r="G520" s="3" t="s">
        <v>873</v>
      </c>
      <c r="H520" s="1" t="s">
        <v>12</v>
      </c>
      <c r="I520" s="1" t="s">
        <v>63</v>
      </c>
      <c r="J520" s="1" t="s">
        <v>14</v>
      </c>
    </row>
    <row r="521" spans="2:10" x14ac:dyDescent="0.3">
      <c r="B521" s="1" t="s">
        <v>857</v>
      </c>
      <c r="C521" s="1" t="s">
        <v>10</v>
      </c>
      <c r="D521" s="2" t="s">
        <v>584</v>
      </c>
      <c r="E521" s="2" t="s">
        <v>584</v>
      </c>
      <c r="F521" s="2" t="s">
        <v>11</v>
      </c>
      <c r="G521" s="3" t="s">
        <v>874</v>
      </c>
      <c r="H521" s="1" t="s">
        <v>12</v>
      </c>
      <c r="I521" s="1" t="s">
        <v>34</v>
      </c>
      <c r="J521" s="1" t="s">
        <v>14</v>
      </c>
    </row>
    <row r="522" spans="2:10" x14ac:dyDescent="0.3">
      <c r="B522" s="1" t="s">
        <v>857</v>
      </c>
      <c r="C522" s="1" t="s">
        <v>36</v>
      </c>
      <c r="D522" s="2" t="s">
        <v>783</v>
      </c>
      <c r="E522" s="2" t="s">
        <v>783</v>
      </c>
      <c r="F522" s="2" t="s">
        <v>11</v>
      </c>
      <c r="G522" s="3" t="s">
        <v>105</v>
      </c>
      <c r="H522" s="1" t="s">
        <v>12</v>
      </c>
      <c r="I522" s="1" t="s">
        <v>82</v>
      </c>
      <c r="J522" s="1" t="s">
        <v>14</v>
      </c>
    </row>
    <row r="523" spans="2:10" x14ac:dyDescent="0.3">
      <c r="B523" s="1" t="s">
        <v>857</v>
      </c>
      <c r="C523" s="1" t="s">
        <v>19</v>
      </c>
      <c r="D523" s="2" t="s">
        <v>875</v>
      </c>
      <c r="E523" s="2" t="s">
        <v>875</v>
      </c>
      <c r="F523" s="2" t="s">
        <v>11</v>
      </c>
      <c r="G523" s="3" t="s">
        <v>876</v>
      </c>
      <c r="H523" s="1" t="s">
        <v>12</v>
      </c>
      <c r="I523" s="1" t="s">
        <v>47</v>
      </c>
      <c r="J523" s="1" t="s">
        <v>14</v>
      </c>
    </row>
    <row r="524" spans="2:10" x14ac:dyDescent="0.3">
      <c r="B524" s="1" t="s">
        <v>857</v>
      </c>
      <c r="C524" s="1" t="s">
        <v>45</v>
      </c>
      <c r="D524" s="2" t="s">
        <v>877</v>
      </c>
      <c r="E524" s="2" t="s">
        <v>877</v>
      </c>
      <c r="F524" s="2" t="s">
        <v>11</v>
      </c>
      <c r="G524" s="3" t="s">
        <v>845</v>
      </c>
      <c r="H524" s="1" t="s">
        <v>12</v>
      </c>
      <c r="I524" s="1" t="s">
        <v>42</v>
      </c>
      <c r="J524" s="1" t="s">
        <v>14</v>
      </c>
    </row>
    <row r="525" spans="2:10" x14ac:dyDescent="0.3">
      <c r="B525" s="1" t="s">
        <v>857</v>
      </c>
      <c r="C525" s="1" t="s">
        <v>35</v>
      </c>
      <c r="D525" s="2" t="s">
        <v>192</v>
      </c>
      <c r="E525" s="2" t="s">
        <v>433</v>
      </c>
      <c r="F525" s="2" t="s">
        <v>11</v>
      </c>
      <c r="G525" s="3" t="s">
        <v>878</v>
      </c>
      <c r="H525" s="1" t="s">
        <v>12</v>
      </c>
      <c r="I525" s="1" t="s">
        <v>46</v>
      </c>
      <c r="J525" s="1" t="s">
        <v>52</v>
      </c>
    </row>
    <row r="526" spans="2:10" x14ac:dyDescent="0.3">
      <c r="B526" s="1" t="s">
        <v>879</v>
      </c>
      <c r="C526" s="1" t="s">
        <v>39</v>
      </c>
      <c r="D526" s="2" t="s">
        <v>240</v>
      </c>
      <c r="E526" s="2" t="s">
        <v>240</v>
      </c>
      <c r="F526" s="2" t="s">
        <v>11</v>
      </c>
      <c r="G526" s="3" t="s">
        <v>880</v>
      </c>
      <c r="H526" s="1" t="s">
        <v>12</v>
      </c>
      <c r="I526" s="1" t="s">
        <v>82</v>
      </c>
      <c r="J526" s="1" t="s">
        <v>14</v>
      </c>
    </row>
    <row r="527" spans="2:10" x14ac:dyDescent="0.3">
      <c r="B527" s="1" t="s">
        <v>879</v>
      </c>
      <c r="C527" s="1" t="s">
        <v>28</v>
      </c>
      <c r="D527" s="2" t="s">
        <v>532</v>
      </c>
      <c r="E527" s="2" t="s">
        <v>532</v>
      </c>
      <c r="F527" s="2" t="s">
        <v>11</v>
      </c>
      <c r="G527" s="3" t="s">
        <v>881</v>
      </c>
      <c r="H527" s="1" t="s">
        <v>12</v>
      </c>
      <c r="I527" s="1" t="s">
        <v>56</v>
      </c>
      <c r="J527" s="1" t="s">
        <v>14</v>
      </c>
    </row>
    <row r="528" spans="2:10" x14ac:dyDescent="0.3">
      <c r="B528" s="1" t="s">
        <v>879</v>
      </c>
      <c r="C528" s="1" t="s">
        <v>24</v>
      </c>
      <c r="D528" s="2" t="s">
        <v>491</v>
      </c>
      <c r="E528" s="2" t="s">
        <v>491</v>
      </c>
      <c r="F528" s="2" t="s">
        <v>11</v>
      </c>
      <c r="G528" s="3" t="s">
        <v>882</v>
      </c>
      <c r="H528" s="1" t="s">
        <v>12</v>
      </c>
      <c r="I528" s="1" t="s">
        <v>76</v>
      </c>
      <c r="J528" s="1" t="s">
        <v>14</v>
      </c>
    </row>
    <row r="529" spans="2:10" x14ac:dyDescent="0.3">
      <c r="B529" s="1" t="s">
        <v>879</v>
      </c>
      <c r="C529" s="1" t="s">
        <v>31</v>
      </c>
      <c r="D529" s="2" t="s">
        <v>686</v>
      </c>
      <c r="E529" s="2" t="s">
        <v>686</v>
      </c>
      <c r="F529" s="2" t="s">
        <v>11</v>
      </c>
      <c r="G529" s="3" t="s">
        <v>883</v>
      </c>
      <c r="H529" s="1" t="s">
        <v>12</v>
      </c>
      <c r="I529" s="1" t="s">
        <v>53</v>
      </c>
      <c r="J529" s="1" t="s">
        <v>14</v>
      </c>
    </row>
    <row r="530" spans="2:10" x14ac:dyDescent="0.3">
      <c r="B530" s="1" t="s">
        <v>879</v>
      </c>
      <c r="C530" s="1" t="s">
        <v>26</v>
      </c>
      <c r="D530" s="2" t="s">
        <v>532</v>
      </c>
      <c r="E530" s="2" t="s">
        <v>532</v>
      </c>
      <c r="F530" s="2" t="s">
        <v>11</v>
      </c>
      <c r="G530" s="3" t="s">
        <v>884</v>
      </c>
      <c r="H530" s="1" t="s">
        <v>12</v>
      </c>
      <c r="I530" s="1" t="s">
        <v>16</v>
      </c>
      <c r="J530" s="1" t="s">
        <v>14</v>
      </c>
    </row>
    <row r="531" spans="2:10" x14ac:dyDescent="0.3">
      <c r="B531" s="1" t="s">
        <v>879</v>
      </c>
      <c r="C531" s="1" t="s">
        <v>36</v>
      </c>
      <c r="D531" s="2" t="s">
        <v>502</v>
      </c>
      <c r="E531" s="2" t="s">
        <v>502</v>
      </c>
      <c r="F531" s="2" t="s">
        <v>11</v>
      </c>
      <c r="G531" s="3" t="s">
        <v>885</v>
      </c>
      <c r="H531" s="1" t="s">
        <v>12</v>
      </c>
      <c r="I531" s="1" t="s">
        <v>25</v>
      </c>
      <c r="J531" s="1" t="s">
        <v>14</v>
      </c>
    </row>
    <row r="532" spans="2:10" x14ac:dyDescent="0.3">
      <c r="B532" s="1" t="s">
        <v>879</v>
      </c>
      <c r="C532" s="1" t="s">
        <v>33</v>
      </c>
      <c r="D532" s="2" t="s">
        <v>532</v>
      </c>
      <c r="E532" s="2" t="s">
        <v>532</v>
      </c>
      <c r="F532" s="2" t="s">
        <v>11</v>
      </c>
      <c r="G532" s="3" t="s">
        <v>886</v>
      </c>
      <c r="H532" s="1" t="s">
        <v>12</v>
      </c>
      <c r="I532" s="1" t="s">
        <v>79</v>
      </c>
      <c r="J532" s="1" t="s">
        <v>14</v>
      </c>
    </row>
    <row r="533" spans="2:10" x14ac:dyDescent="0.3">
      <c r="B533" s="1" t="s">
        <v>879</v>
      </c>
      <c r="C533" s="1" t="s">
        <v>29</v>
      </c>
      <c r="D533" s="2" t="s">
        <v>502</v>
      </c>
      <c r="E533" s="2" t="s">
        <v>502</v>
      </c>
      <c r="F533" s="2" t="s">
        <v>11</v>
      </c>
      <c r="G533" s="3" t="s">
        <v>887</v>
      </c>
      <c r="H533" s="1" t="s">
        <v>12</v>
      </c>
      <c r="I533" s="1" t="s">
        <v>25</v>
      </c>
      <c r="J533" s="1" t="s">
        <v>14</v>
      </c>
    </row>
    <row r="534" spans="2:10" x14ac:dyDescent="0.3">
      <c r="B534" s="1" t="s">
        <v>879</v>
      </c>
      <c r="C534" s="1" t="s">
        <v>43</v>
      </c>
      <c r="D534" s="2" t="s">
        <v>248</v>
      </c>
      <c r="E534" s="2" t="s">
        <v>248</v>
      </c>
      <c r="F534" s="2" t="s">
        <v>11</v>
      </c>
      <c r="G534" s="3" t="s">
        <v>422</v>
      </c>
      <c r="H534" s="1" t="s">
        <v>12</v>
      </c>
      <c r="I534" s="1" t="s">
        <v>16</v>
      </c>
      <c r="J534" s="1" t="s">
        <v>14</v>
      </c>
    </row>
    <row r="535" spans="2:10" x14ac:dyDescent="0.3">
      <c r="B535" s="1" t="s">
        <v>879</v>
      </c>
      <c r="C535" s="1" t="s">
        <v>38</v>
      </c>
      <c r="D535" s="2" t="s">
        <v>248</v>
      </c>
      <c r="E535" s="2" t="s">
        <v>248</v>
      </c>
      <c r="F535" s="2" t="s">
        <v>11</v>
      </c>
      <c r="G535" s="3" t="s">
        <v>888</v>
      </c>
      <c r="H535" s="1" t="s">
        <v>12</v>
      </c>
      <c r="I535" s="1" t="s">
        <v>41</v>
      </c>
      <c r="J535" s="1" t="s">
        <v>14</v>
      </c>
    </row>
    <row r="536" spans="2:10" x14ac:dyDescent="0.3">
      <c r="B536" s="1" t="s">
        <v>879</v>
      </c>
      <c r="C536" s="1" t="s">
        <v>46</v>
      </c>
      <c r="D536" s="2" t="s">
        <v>502</v>
      </c>
      <c r="E536" s="2" t="s">
        <v>502</v>
      </c>
      <c r="F536" s="2" t="s">
        <v>11</v>
      </c>
      <c r="G536" s="3" t="s">
        <v>889</v>
      </c>
      <c r="H536" s="1" t="s">
        <v>12</v>
      </c>
      <c r="I536" s="1" t="s">
        <v>16</v>
      </c>
      <c r="J536" s="1" t="s">
        <v>14</v>
      </c>
    </row>
    <row r="537" spans="2:10" x14ac:dyDescent="0.3">
      <c r="B537" s="1" t="s">
        <v>879</v>
      </c>
      <c r="C537" s="1" t="s">
        <v>19</v>
      </c>
      <c r="D537" s="2" t="s">
        <v>692</v>
      </c>
      <c r="E537" s="2" t="s">
        <v>692</v>
      </c>
      <c r="F537" s="2" t="s">
        <v>11</v>
      </c>
      <c r="G537" s="3" t="s">
        <v>890</v>
      </c>
      <c r="H537" s="1" t="s">
        <v>12</v>
      </c>
      <c r="I537" s="1" t="s">
        <v>56</v>
      </c>
      <c r="J537" s="1" t="s">
        <v>14</v>
      </c>
    </row>
    <row r="538" spans="2:10" x14ac:dyDescent="0.3">
      <c r="B538" s="1" t="s">
        <v>879</v>
      </c>
      <c r="C538" s="1" t="s">
        <v>45</v>
      </c>
      <c r="D538" s="2" t="s">
        <v>532</v>
      </c>
      <c r="E538" s="2" t="s">
        <v>532</v>
      </c>
      <c r="F538" s="2" t="s">
        <v>11</v>
      </c>
      <c r="G538" s="3" t="s">
        <v>891</v>
      </c>
      <c r="H538" s="1" t="s">
        <v>12</v>
      </c>
      <c r="I538" s="1" t="s">
        <v>69</v>
      </c>
      <c r="J538" s="1" t="s">
        <v>14</v>
      </c>
    </row>
    <row r="539" spans="2:10" x14ac:dyDescent="0.3">
      <c r="B539" s="1" t="s">
        <v>879</v>
      </c>
      <c r="C539" s="1" t="s">
        <v>21</v>
      </c>
      <c r="D539" s="2" t="s">
        <v>686</v>
      </c>
      <c r="E539" s="2" t="s">
        <v>686</v>
      </c>
      <c r="F539" s="2" t="s">
        <v>11</v>
      </c>
      <c r="G539" s="3" t="s">
        <v>892</v>
      </c>
      <c r="H539" s="1" t="s">
        <v>12</v>
      </c>
      <c r="I539" s="1" t="s">
        <v>16</v>
      </c>
      <c r="J539" s="1" t="s">
        <v>14</v>
      </c>
    </row>
    <row r="540" spans="2:10" x14ac:dyDescent="0.3">
      <c r="B540" s="1" t="s">
        <v>879</v>
      </c>
      <c r="C540" s="1" t="s">
        <v>23</v>
      </c>
      <c r="D540" s="2" t="s">
        <v>532</v>
      </c>
      <c r="E540" s="2" t="s">
        <v>532</v>
      </c>
      <c r="F540" s="2" t="s">
        <v>11</v>
      </c>
      <c r="G540" s="3" t="s">
        <v>893</v>
      </c>
      <c r="H540" s="1" t="s">
        <v>12</v>
      </c>
      <c r="I540" s="1" t="s">
        <v>27</v>
      </c>
      <c r="J540" s="1" t="s">
        <v>14</v>
      </c>
    </row>
    <row r="541" spans="2:10" x14ac:dyDescent="0.3">
      <c r="B541" s="1" t="s">
        <v>879</v>
      </c>
      <c r="C541" s="1" t="s">
        <v>15</v>
      </c>
      <c r="D541" s="2" t="s">
        <v>502</v>
      </c>
      <c r="E541" s="2" t="s">
        <v>502</v>
      </c>
      <c r="F541" s="2" t="s">
        <v>11</v>
      </c>
      <c r="G541" s="3" t="s">
        <v>894</v>
      </c>
      <c r="H541" s="1" t="s">
        <v>12</v>
      </c>
      <c r="I541" s="1" t="s">
        <v>22</v>
      </c>
      <c r="J541" s="1" t="s">
        <v>14</v>
      </c>
    </row>
    <row r="542" spans="2:10" x14ac:dyDescent="0.3">
      <c r="B542" s="1" t="s">
        <v>879</v>
      </c>
      <c r="C542" s="1" t="s">
        <v>10</v>
      </c>
      <c r="D542" s="2" t="s">
        <v>248</v>
      </c>
      <c r="E542" s="2" t="s">
        <v>248</v>
      </c>
      <c r="F542" s="2" t="s">
        <v>11</v>
      </c>
      <c r="G542" s="3" t="s">
        <v>895</v>
      </c>
      <c r="H542" s="1" t="s">
        <v>12</v>
      </c>
      <c r="I542" s="1" t="s">
        <v>48</v>
      </c>
      <c r="J542" s="1" t="s">
        <v>14</v>
      </c>
    </row>
    <row r="543" spans="2:10" x14ac:dyDescent="0.3">
      <c r="B543" s="1" t="s">
        <v>879</v>
      </c>
      <c r="C543" s="1" t="s">
        <v>35</v>
      </c>
      <c r="D543" s="2" t="s">
        <v>686</v>
      </c>
      <c r="E543" s="2" t="s">
        <v>686</v>
      </c>
      <c r="F543" s="2" t="s">
        <v>11</v>
      </c>
      <c r="G543" s="3" t="s">
        <v>896</v>
      </c>
      <c r="H543" s="1" t="s">
        <v>12</v>
      </c>
      <c r="I543" s="1" t="s">
        <v>87</v>
      </c>
      <c r="J543" s="1" t="s">
        <v>14</v>
      </c>
    </row>
    <row r="544" spans="2:10" x14ac:dyDescent="0.3">
      <c r="B544" s="1" t="s">
        <v>879</v>
      </c>
      <c r="C544" s="1" t="s">
        <v>41</v>
      </c>
      <c r="D544" s="2" t="s">
        <v>248</v>
      </c>
      <c r="E544" s="2" t="s">
        <v>248</v>
      </c>
      <c r="F544" s="2" t="s">
        <v>11</v>
      </c>
      <c r="G544" s="3" t="s">
        <v>897</v>
      </c>
      <c r="H544" s="1" t="s">
        <v>12</v>
      </c>
      <c r="I544" s="1" t="s">
        <v>58</v>
      </c>
      <c r="J544" s="1" t="s">
        <v>14</v>
      </c>
    </row>
    <row r="545" spans="2:10" x14ac:dyDescent="0.3">
      <c r="B545" s="1" t="s">
        <v>879</v>
      </c>
      <c r="C545" s="1" t="s">
        <v>17</v>
      </c>
      <c r="D545" s="2" t="s">
        <v>502</v>
      </c>
      <c r="E545" s="2" t="s">
        <v>502</v>
      </c>
      <c r="F545" s="2" t="s">
        <v>11</v>
      </c>
      <c r="G545" s="3" t="s">
        <v>656</v>
      </c>
      <c r="H545" s="1" t="s">
        <v>12</v>
      </c>
      <c r="I545" s="1" t="s">
        <v>68</v>
      </c>
      <c r="J545" s="1" t="s">
        <v>14</v>
      </c>
    </row>
    <row r="546" spans="2:10" x14ac:dyDescent="0.3">
      <c r="B546" s="1" t="s">
        <v>898</v>
      </c>
      <c r="C546" s="1" t="s">
        <v>39</v>
      </c>
      <c r="D546" s="2" t="s">
        <v>696</v>
      </c>
      <c r="E546" s="2" t="s">
        <v>696</v>
      </c>
      <c r="F546" s="2" t="s">
        <v>11</v>
      </c>
      <c r="G546" s="3" t="s">
        <v>899</v>
      </c>
      <c r="H546" s="1" t="s">
        <v>12</v>
      </c>
      <c r="I546" s="1" t="s">
        <v>71</v>
      </c>
      <c r="J546" s="1" t="s">
        <v>14</v>
      </c>
    </row>
    <row r="547" spans="2:10" x14ac:dyDescent="0.3">
      <c r="B547" s="1" t="s">
        <v>898</v>
      </c>
      <c r="C547" s="1" t="s">
        <v>33</v>
      </c>
      <c r="D547" s="2" t="s">
        <v>900</v>
      </c>
      <c r="E547" s="2" t="s">
        <v>900</v>
      </c>
      <c r="F547" s="2" t="s">
        <v>11</v>
      </c>
      <c r="G547" s="3" t="s">
        <v>901</v>
      </c>
      <c r="H547" s="1" t="s">
        <v>12</v>
      </c>
      <c r="I547" s="1" t="s">
        <v>15</v>
      </c>
      <c r="J547" s="1" t="s">
        <v>52</v>
      </c>
    </row>
    <row r="548" spans="2:10" x14ac:dyDescent="0.3">
      <c r="B548" s="1" t="s">
        <v>898</v>
      </c>
      <c r="C548" s="1" t="s">
        <v>35</v>
      </c>
      <c r="D548" s="2" t="s">
        <v>902</v>
      </c>
      <c r="E548" s="2" t="s">
        <v>902</v>
      </c>
      <c r="F548" s="2" t="s">
        <v>11</v>
      </c>
      <c r="G548" s="3" t="s">
        <v>903</v>
      </c>
      <c r="H548" s="1" t="s">
        <v>12</v>
      </c>
      <c r="I548" s="1" t="s">
        <v>76</v>
      </c>
      <c r="J548" s="1" t="s">
        <v>14</v>
      </c>
    </row>
    <row r="549" spans="2:10" x14ac:dyDescent="0.3">
      <c r="B549" s="1" t="s">
        <v>898</v>
      </c>
      <c r="C549" s="1" t="s">
        <v>17</v>
      </c>
      <c r="D549" s="2" t="s">
        <v>838</v>
      </c>
      <c r="E549" s="2" t="s">
        <v>838</v>
      </c>
      <c r="F549" s="2" t="s">
        <v>11</v>
      </c>
      <c r="G549" s="3" t="s">
        <v>904</v>
      </c>
      <c r="H549" s="1" t="s">
        <v>12</v>
      </c>
      <c r="I549" s="1" t="s">
        <v>75</v>
      </c>
      <c r="J549" s="1" t="s">
        <v>14</v>
      </c>
    </row>
    <row r="550" spans="2:10" x14ac:dyDescent="0.3">
      <c r="B550" s="1" t="s">
        <v>898</v>
      </c>
      <c r="C550" s="1" t="s">
        <v>23</v>
      </c>
      <c r="D550" s="2" t="s">
        <v>498</v>
      </c>
      <c r="E550" s="2" t="s">
        <v>498</v>
      </c>
      <c r="F550" s="2" t="s">
        <v>11</v>
      </c>
      <c r="G550" s="3" t="s">
        <v>905</v>
      </c>
      <c r="H550" s="1" t="s">
        <v>12</v>
      </c>
      <c r="I550" s="1" t="s">
        <v>106</v>
      </c>
      <c r="J550" s="1" t="s">
        <v>14</v>
      </c>
    </row>
    <row r="551" spans="2:10" x14ac:dyDescent="0.3">
      <c r="B551" s="1" t="s">
        <v>898</v>
      </c>
      <c r="C551" s="1" t="s">
        <v>38</v>
      </c>
      <c r="D551" s="2" t="s">
        <v>902</v>
      </c>
      <c r="E551" s="2" t="s">
        <v>902</v>
      </c>
      <c r="F551" s="2" t="s">
        <v>11</v>
      </c>
      <c r="G551" s="3" t="s">
        <v>555</v>
      </c>
      <c r="H551" s="1" t="s">
        <v>12</v>
      </c>
      <c r="I551" s="1" t="s">
        <v>42</v>
      </c>
      <c r="J551" s="1" t="s">
        <v>14</v>
      </c>
    </row>
    <row r="552" spans="2:10" x14ac:dyDescent="0.3">
      <c r="B552" s="1" t="s">
        <v>898</v>
      </c>
      <c r="C552" s="1" t="s">
        <v>28</v>
      </c>
      <c r="D552" s="2" t="s">
        <v>397</v>
      </c>
      <c r="E552" s="2" t="s">
        <v>397</v>
      </c>
      <c r="F552" s="2" t="s">
        <v>11</v>
      </c>
      <c r="G552" s="3" t="s">
        <v>906</v>
      </c>
      <c r="H552" s="1" t="s">
        <v>12</v>
      </c>
      <c r="I552" s="1" t="s">
        <v>13</v>
      </c>
      <c r="J552" s="1" t="s">
        <v>14</v>
      </c>
    </row>
    <row r="553" spans="2:10" x14ac:dyDescent="0.3">
      <c r="B553" s="1" t="s">
        <v>898</v>
      </c>
      <c r="C553" s="1" t="s">
        <v>24</v>
      </c>
      <c r="D553" s="2" t="s">
        <v>216</v>
      </c>
      <c r="E553" s="2" t="s">
        <v>216</v>
      </c>
      <c r="F553" s="2" t="s">
        <v>11</v>
      </c>
      <c r="G553" s="3" t="s">
        <v>907</v>
      </c>
      <c r="H553" s="1" t="s">
        <v>12</v>
      </c>
      <c r="I553" s="1" t="s">
        <v>82</v>
      </c>
      <c r="J553" s="1" t="s">
        <v>14</v>
      </c>
    </row>
    <row r="554" spans="2:10" x14ac:dyDescent="0.3">
      <c r="B554" s="1" t="s">
        <v>898</v>
      </c>
      <c r="C554" s="1" t="s">
        <v>15</v>
      </c>
      <c r="D554" s="2" t="s">
        <v>483</v>
      </c>
      <c r="E554" s="2" t="s">
        <v>483</v>
      </c>
      <c r="F554" s="2" t="s">
        <v>11</v>
      </c>
      <c r="G554" s="3" t="s">
        <v>908</v>
      </c>
      <c r="H554" s="1" t="s">
        <v>12</v>
      </c>
      <c r="I554" s="1" t="s">
        <v>55</v>
      </c>
      <c r="J554" s="1" t="s">
        <v>14</v>
      </c>
    </row>
    <row r="555" spans="2:10" x14ac:dyDescent="0.3">
      <c r="B555" s="1" t="s">
        <v>898</v>
      </c>
      <c r="C555" s="1" t="s">
        <v>19</v>
      </c>
      <c r="D555" s="2" t="s">
        <v>700</v>
      </c>
      <c r="E555" s="2" t="s">
        <v>700</v>
      </c>
      <c r="F555" s="2" t="s">
        <v>11</v>
      </c>
      <c r="G555" s="3" t="s">
        <v>909</v>
      </c>
      <c r="H555" s="1" t="s">
        <v>12</v>
      </c>
      <c r="I555" s="1" t="s">
        <v>57</v>
      </c>
      <c r="J555" s="1" t="s">
        <v>14</v>
      </c>
    </row>
    <row r="556" spans="2:10" x14ac:dyDescent="0.3">
      <c r="B556" s="1" t="s">
        <v>898</v>
      </c>
      <c r="C556" s="1" t="s">
        <v>46</v>
      </c>
      <c r="D556" s="2" t="s">
        <v>902</v>
      </c>
      <c r="E556" s="2" t="s">
        <v>902</v>
      </c>
      <c r="F556" s="2" t="s">
        <v>11</v>
      </c>
      <c r="G556" s="3" t="s">
        <v>910</v>
      </c>
      <c r="H556" s="1" t="s">
        <v>12</v>
      </c>
      <c r="I556" s="1" t="s">
        <v>68</v>
      </c>
      <c r="J556" s="1" t="s">
        <v>14</v>
      </c>
    </row>
    <row r="557" spans="2:10" x14ac:dyDescent="0.3">
      <c r="B557" s="1" t="s">
        <v>898</v>
      </c>
      <c r="C557" s="1" t="s">
        <v>10</v>
      </c>
      <c r="D557" s="2" t="s">
        <v>838</v>
      </c>
      <c r="E557" s="2" t="s">
        <v>838</v>
      </c>
      <c r="F557" s="2" t="s">
        <v>11</v>
      </c>
      <c r="G557" s="3" t="s">
        <v>911</v>
      </c>
      <c r="H557" s="1" t="s">
        <v>12</v>
      </c>
      <c r="I557" s="1" t="s">
        <v>56</v>
      </c>
      <c r="J557" s="1" t="s">
        <v>14</v>
      </c>
    </row>
    <row r="558" spans="2:10" x14ac:dyDescent="0.3">
      <c r="B558" s="1" t="s">
        <v>898</v>
      </c>
      <c r="C558" s="1" t="s">
        <v>29</v>
      </c>
      <c r="D558" s="2" t="s">
        <v>902</v>
      </c>
      <c r="E558" s="2" t="s">
        <v>902</v>
      </c>
      <c r="F558" s="2" t="s">
        <v>11</v>
      </c>
      <c r="G558" s="3" t="s">
        <v>912</v>
      </c>
      <c r="H558" s="1" t="s">
        <v>12</v>
      </c>
      <c r="I558" s="1" t="s">
        <v>22</v>
      </c>
      <c r="J558" s="1" t="s">
        <v>14</v>
      </c>
    </row>
    <row r="559" spans="2:10" x14ac:dyDescent="0.3">
      <c r="B559" s="1" t="s">
        <v>898</v>
      </c>
      <c r="C559" s="1" t="s">
        <v>45</v>
      </c>
      <c r="D559" s="2" t="s">
        <v>692</v>
      </c>
      <c r="E559" s="2" t="s">
        <v>692</v>
      </c>
      <c r="F559" s="2" t="s">
        <v>11</v>
      </c>
      <c r="G559" s="3" t="s">
        <v>913</v>
      </c>
      <c r="H559" s="1" t="s">
        <v>12</v>
      </c>
      <c r="I559" s="1" t="s">
        <v>94</v>
      </c>
      <c r="J559" s="1" t="s">
        <v>14</v>
      </c>
    </row>
    <row r="560" spans="2:10" x14ac:dyDescent="0.3">
      <c r="B560" s="1" t="s">
        <v>898</v>
      </c>
      <c r="C560" s="1" t="s">
        <v>43</v>
      </c>
      <c r="D560" s="2" t="s">
        <v>491</v>
      </c>
      <c r="E560" s="2" t="s">
        <v>491</v>
      </c>
      <c r="F560" s="2" t="s">
        <v>11</v>
      </c>
      <c r="G560" s="3" t="s">
        <v>914</v>
      </c>
      <c r="H560" s="1" t="s">
        <v>12</v>
      </c>
      <c r="I560" s="1" t="s">
        <v>79</v>
      </c>
      <c r="J560" s="1" t="s">
        <v>14</v>
      </c>
    </row>
    <row r="561" spans="2:10" x14ac:dyDescent="0.3">
      <c r="B561" s="1" t="s">
        <v>898</v>
      </c>
      <c r="C561" s="1" t="s">
        <v>21</v>
      </c>
      <c r="D561" s="2" t="s">
        <v>915</v>
      </c>
      <c r="E561" s="2" t="s">
        <v>916</v>
      </c>
      <c r="F561" s="2" t="s">
        <v>11</v>
      </c>
      <c r="G561" s="3" t="s">
        <v>917</v>
      </c>
      <c r="H561" s="1" t="s">
        <v>12</v>
      </c>
      <c r="I561" s="1" t="s">
        <v>76</v>
      </c>
      <c r="J561" s="1" t="s">
        <v>52</v>
      </c>
    </row>
    <row r="562" spans="2:10" x14ac:dyDescent="0.3">
      <c r="B562" s="1" t="s">
        <v>898</v>
      </c>
      <c r="C562" s="1" t="s">
        <v>36</v>
      </c>
      <c r="D562" s="2" t="s">
        <v>483</v>
      </c>
      <c r="E562" s="2" t="s">
        <v>483</v>
      </c>
      <c r="F562" s="2" t="s">
        <v>11</v>
      </c>
      <c r="G562" s="3" t="s">
        <v>918</v>
      </c>
      <c r="H562" s="1" t="s">
        <v>12</v>
      </c>
      <c r="I562" s="1" t="s">
        <v>106</v>
      </c>
      <c r="J562" s="1" t="s">
        <v>14</v>
      </c>
    </row>
    <row r="563" spans="2:10" x14ac:dyDescent="0.3">
      <c r="B563" s="1" t="s">
        <v>898</v>
      </c>
      <c r="C563" s="1" t="s">
        <v>26</v>
      </c>
      <c r="D563" s="2" t="s">
        <v>902</v>
      </c>
      <c r="E563" s="2" t="s">
        <v>902</v>
      </c>
      <c r="F563" s="2" t="s">
        <v>11</v>
      </c>
      <c r="G563" s="3" t="s">
        <v>919</v>
      </c>
      <c r="H563" s="1" t="s">
        <v>12</v>
      </c>
      <c r="I563" s="1" t="s">
        <v>13</v>
      </c>
      <c r="J563" s="1" t="s">
        <v>14</v>
      </c>
    </row>
    <row r="564" spans="2:10" x14ac:dyDescent="0.3">
      <c r="B564" s="1" t="s">
        <v>898</v>
      </c>
      <c r="C564" s="1" t="s">
        <v>41</v>
      </c>
      <c r="D564" s="2" t="s">
        <v>216</v>
      </c>
      <c r="E564" s="2" t="s">
        <v>216</v>
      </c>
      <c r="F564" s="2" t="s">
        <v>11</v>
      </c>
      <c r="G564" s="3" t="s">
        <v>920</v>
      </c>
      <c r="H564" s="1" t="s">
        <v>12</v>
      </c>
      <c r="I564" s="1" t="s">
        <v>64</v>
      </c>
      <c r="J564" s="1" t="s">
        <v>14</v>
      </c>
    </row>
    <row r="565" spans="2:10" x14ac:dyDescent="0.3">
      <c r="B565" s="1" t="s">
        <v>898</v>
      </c>
      <c r="C565" s="1" t="s">
        <v>31</v>
      </c>
      <c r="D565" s="2" t="s">
        <v>859</v>
      </c>
      <c r="E565" s="2" t="s">
        <v>859</v>
      </c>
      <c r="F565" s="2" t="s">
        <v>11</v>
      </c>
      <c r="G565" s="3" t="s">
        <v>921</v>
      </c>
      <c r="H565" s="1" t="s">
        <v>12</v>
      </c>
      <c r="I565" s="1" t="s">
        <v>22</v>
      </c>
      <c r="J565" s="1" t="s">
        <v>14</v>
      </c>
    </row>
    <row r="566" spans="2:10" x14ac:dyDescent="0.3">
      <c r="B566" s="1" t="s">
        <v>922</v>
      </c>
      <c r="C566" s="1" t="s">
        <v>31</v>
      </c>
      <c r="D566" s="2" t="s">
        <v>923</v>
      </c>
      <c r="E566" s="2" t="s">
        <v>923</v>
      </c>
      <c r="F566" s="2" t="s">
        <v>11</v>
      </c>
      <c r="G566" s="3" t="s">
        <v>924</v>
      </c>
      <c r="H566" s="1" t="s">
        <v>12</v>
      </c>
      <c r="I566" s="1" t="s">
        <v>27</v>
      </c>
      <c r="J566" s="1" t="s">
        <v>14</v>
      </c>
    </row>
    <row r="567" spans="2:10" x14ac:dyDescent="0.3">
      <c r="B567" s="1" t="s">
        <v>922</v>
      </c>
      <c r="C567" s="1" t="s">
        <v>17</v>
      </c>
      <c r="D567" s="2" t="s">
        <v>331</v>
      </c>
      <c r="E567" s="2" t="s">
        <v>925</v>
      </c>
      <c r="F567" s="2" t="s">
        <v>11</v>
      </c>
      <c r="G567" s="3" t="s">
        <v>926</v>
      </c>
      <c r="H567" s="1" t="s">
        <v>12</v>
      </c>
      <c r="I567" s="1" t="s">
        <v>10</v>
      </c>
      <c r="J567" s="1" t="s">
        <v>52</v>
      </c>
    </row>
    <row r="568" spans="2:10" x14ac:dyDescent="0.3">
      <c r="B568" s="1" t="s">
        <v>922</v>
      </c>
      <c r="C568" s="1" t="s">
        <v>21</v>
      </c>
      <c r="D568" s="2" t="s">
        <v>927</v>
      </c>
      <c r="E568" s="2" t="s">
        <v>927</v>
      </c>
      <c r="F568" s="2" t="s">
        <v>11</v>
      </c>
      <c r="G568" s="3" t="s">
        <v>107</v>
      </c>
      <c r="H568" s="1" t="s">
        <v>12</v>
      </c>
      <c r="I568" s="1" t="s">
        <v>68</v>
      </c>
      <c r="J568" s="1" t="s">
        <v>14</v>
      </c>
    </row>
    <row r="569" spans="2:10" x14ac:dyDescent="0.3">
      <c r="B569" s="1" t="s">
        <v>922</v>
      </c>
      <c r="C569" s="1" t="s">
        <v>41</v>
      </c>
      <c r="D569" s="2" t="s">
        <v>928</v>
      </c>
      <c r="E569" s="2" t="s">
        <v>928</v>
      </c>
      <c r="F569" s="2" t="s">
        <v>11</v>
      </c>
      <c r="G569" s="3" t="s">
        <v>929</v>
      </c>
      <c r="H569" s="1" t="s">
        <v>12</v>
      </c>
      <c r="I569" s="1" t="s">
        <v>27</v>
      </c>
      <c r="J569" s="1" t="s">
        <v>14</v>
      </c>
    </row>
    <row r="570" spans="2:10" x14ac:dyDescent="0.3">
      <c r="B570" s="1" t="s">
        <v>922</v>
      </c>
      <c r="C570" s="1" t="s">
        <v>38</v>
      </c>
      <c r="D570" s="2" t="s">
        <v>927</v>
      </c>
      <c r="E570" s="2" t="s">
        <v>927</v>
      </c>
      <c r="F570" s="2" t="s">
        <v>11</v>
      </c>
      <c r="G570" s="3" t="s">
        <v>930</v>
      </c>
      <c r="H570" s="1" t="s">
        <v>12</v>
      </c>
      <c r="I570" s="1" t="s">
        <v>27</v>
      </c>
      <c r="J570" s="1" t="s">
        <v>14</v>
      </c>
    </row>
    <row r="571" spans="2:10" x14ac:dyDescent="0.3">
      <c r="B571" s="1" t="s">
        <v>922</v>
      </c>
      <c r="C571" s="1" t="s">
        <v>23</v>
      </c>
      <c r="D571" s="2" t="s">
        <v>931</v>
      </c>
      <c r="E571" s="2" t="s">
        <v>931</v>
      </c>
      <c r="F571" s="2" t="s">
        <v>11</v>
      </c>
      <c r="G571" s="3" t="s">
        <v>932</v>
      </c>
      <c r="H571" s="1" t="s">
        <v>12</v>
      </c>
      <c r="I571" s="1" t="s">
        <v>56</v>
      </c>
      <c r="J571" s="1" t="s">
        <v>14</v>
      </c>
    </row>
    <row r="572" spans="2:10" x14ac:dyDescent="0.3">
      <c r="B572" s="1" t="s">
        <v>922</v>
      </c>
      <c r="C572" s="1" t="s">
        <v>19</v>
      </c>
      <c r="D572" s="2" t="s">
        <v>927</v>
      </c>
      <c r="E572" s="2" t="s">
        <v>927</v>
      </c>
      <c r="F572" s="2" t="s">
        <v>11</v>
      </c>
      <c r="G572" s="3" t="s">
        <v>933</v>
      </c>
      <c r="H572" s="1" t="s">
        <v>12</v>
      </c>
      <c r="I572" s="1" t="s">
        <v>94</v>
      </c>
      <c r="J572" s="1" t="s">
        <v>14</v>
      </c>
    </row>
    <row r="573" spans="2:10" x14ac:dyDescent="0.3">
      <c r="B573" s="1" t="s">
        <v>922</v>
      </c>
      <c r="C573" s="1" t="s">
        <v>45</v>
      </c>
      <c r="D573" s="2" t="s">
        <v>934</v>
      </c>
      <c r="E573" s="2" t="s">
        <v>934</v>
      </c>
      <c r="F573" s="2" t="s">
        <v>11</v>
      </c>
      <c r="G573" s="3" t="s">
        <v>935</v>
      </c>
      <c r="H573" s="1" t="s">
        <v>12</v>
      </c>
      <c r="I573" s="1" t="s">
        <v>20</v>
      </c>
      <c r="J573" s="1" t="s">
        <v>14</v>
      </c>
    </row>
    <row r="574" spans="2:10" x14ac:dyDescent="0.3">
      <c r="B574" s="1" t="s">
        <v>922</v>
      </c>
      <c r="C574" s="1" t="s">
        <v>36</v>
      </c>
      <c r="D574" s="2" t="s">
        <v>936</v>
      </c>
      <c r="E574" s="2" t="s">
        <v>936</v>
      </c>
      <c r="F574" s="2" t="s">
        <v>11</v>
      </c>
      <c r="G574" s="3" t="s">
        <v>937</v>
      </c>
      <c r="H574" s="1" t="s">
        <v>12</v>
      </c>
      <c r="I574" s="1" t="s">
        <v>97</v>
      </c>
      <c r="J574" s="1" t="s">
        <v>14</v>
      </c>
    </row>
    <row r="575" spans="2:10" x14ac:dyDescent="0.3">
      <c r="B575" s="1" t="s">
        <v>922</v>
      </c>
      <c r="C575" s="1" t="s">
        <v>26</v>
      </c>
      <c r="D575" s="2" t="s">
        <v>927</v>
      </c>
      <c r="E575" s="2" t="s">
        <v>927</v>
      </c>
      <c r="F575" s="2" t="s">
        <v>11</v>
      </c>
      <c r="G575" s="3" t="s">
        <v>938</v>
      </c>
      <c r="H575" s="1" t="s">
        <v>12</v>
      </c>
      <c r="I575" s="1" t="s">
        <v>56</v>
      </c>
      <c r="J575" s="1" t="s">
        <v>14</v>
      </c>
    </row>
    <row r="576" spans="2:10" x14ac:dyDescent="0.3">
      <c r="B576" s="1" t="s">
        <v>922</v>
      </c>
      <c r="C576" s="1" t="s">
        <v>28</v>
      </c>
      <c r="D576" s="2" t="s">
        <v>939</v>
      </c>
      <c r="E576" s="2" t="s">
        <v>939</v>
      </c>
      <c r="F576" s="2" t="s">
        <v>11</v>
      </c>
      <c r="G576" s="3" t="s">
        <v>940</v>
      </c>
      <c r="H576" s="1" t="s">
        <v>12</v>
      </c>
      <c r="I576" s="1" t="s">
        <v>64</v>
      </c>
      <c r="J576" s="1" t="s">
        <v>14</v>
      </c>
    </row>
    <row r="577" spans="2:10" x14ac:dyDescent="0.3">
      <c r="B577" s="1" t="s">
        <v>922</v>
      </c>
      <c r="C577" s="1" t="s">
        <v>10</v>
      </c>
      <c r="D577" s="2" t="s">
        <v>299</v>
      </c>
      <c r="E577" s="2" t="s">
        <v>941</v>
      </c>
      <c r="F577" s="2" t="s">
        <v>11</v>
      </c>
      <c r="G577" s="3" t="s">
        <v>942</v>
      </c>
      <c r="H577" s="1" t="s">
        <v>12</v>
      </c>
      <c r="I577" s="1" t="s">
        <v>15</v>
      </c>
      <c r="J577" s="1" t="s">
        <v>52</v>
      </c>
    </row>
    <row r="578" spans="2:10" x14ac:dyDescent="0.3">
      <c r="B578" s="1" t="s">
        <v>922</v>
      </c>
      <c r="C578" s="1" t="s">
        <v>24</v>
      </c>
      <c r="D578" s="2" t="s">
        <v>943</v>
      </c>
      <c r="E578" s="2" t="s">
        <v>943</v>
      </c>
      <c r="F578" s="2" t="s">
        <v>11</v>
      </c>
      <c r="G578" s="3" t="s">
        <v>944</v>
      </c>
      <c r="H578" s="1" t="s">
        <v>12</v>
      </c>
      <c r="I578" s="1" t="s">
        <v>40</v>
      </c>
      <c r="J578" s="1" t="s">
        <v>14</v>
      </c>
    </row>
    <row r="579" spans="2:10" x14ac:dyDescent="0.3">
      <c r="B579" s="1" t="s">
        <v>922</v>
      </c>
      <c r="C579" s="1" t="s">
        <v>46</v>
      </c>
      <c r="D579" s="2" t="s">
        <v>943</v>
      </c>
      <c r="E579" s="2" t="s">
        <v>943</v>
      </c>
      <c r="F579" s="2" t="s">
        <v>11</v>
      </c>
      <c r="G579" s="3" t="s">
        <v>945</v>
      </c>
      <c r="H579" s="1" t="s">
        <v>12</v>
      </c>
      <c r="I579" s="1" t="s">
        <v>91</v>
      </c>
      <c r="J579" s="1" t="s">
        <v>14</v>
      </c>
    </row>
    <row r="580" spans="2:10" x14ac:dyDescent="0.3">
      <c r="B580" s="1" t="s">
        <v>922</v>
      </c>
      <c r="C580" s="1" t="s">
        <v>43</v>
      </c>
      <c r="D580" s="2" t="s">
        <v>943</v>
      </c>
      <c r="E580" s="2" t="s">
        <v>943</v>
      </c>
      <c r="F580" s="2" t="s">
        <v>11</v>
      </c>
      <c r="G580" s="3" t="s">
        <v>108</v>
      </c>
      <c r="H580" s="1" t="s">
        <v>12</v>
      </c>
      <c r="I580" s="1" t="s">
        <v>109</v>
      </c>
      <c r="J580" s="1" t="s">
        <v>14</v>
      </c>
    </row>
    <row r="581" spans="2:10" x14ac:dyDescent="0.3">
      <c r="B581" s="1" t="s">
        <v>922</v>
      </c>
      <c r="C581" s="1" t="s">
        <v>15</v>
      </c>
      <c r="D581" s="2" t="s">
        <v>946</v>
      </c>
      <c r="E581" s="2" t="s">
        <v>946</v>
      </c>
      <c r="F581" s="2" t="s">
        <v>11</v>
      </c>
      <c r="G581" s="3" t="s">
        <v>947</v>
      </c>
      <c r="H581" s="1" t="s">
        <v>12</v>
      </c>
      <c r="I581" s="1" t="s">
        <v>64</v>
      </c>
      <c r="J581" s="1" t="s">
        <v>14</v>
      </c>
    </row>
    <row r="582" spans="2:10" x14ac:dyDescent="0.3">
      <c r="B582" s="1" t="s">
        <v>922</v>
      </c>
      <c r="C582" s="1" t="s">
        <v>29</v>
      </c>
      <c r="D582" s="2" t="s">
        <v>927</v>
      </c>
      <c r="E582" s="2" t="s">
        <v>927</v>
      </c>
      <c r="F582" s="2" t="s">
        <v>11</v>
      </c>
      <c r="G582" s="3" t="s">
        <v>948</v>
      </c>
      <c r="H582" s="1" t="s">
        <v>12</v>
      </c>
      <c r="I582" s="1" t="s">
        <v>34</v>
      </c>
      <c r="J582" s="1" t="s">
        <v>14</v>
      </c>
    </row>
    <row r="583" spans="2:10" x14ac:dyDescent="0.3">
      <c r="B583" s="1" t="s">
        <v>922</v>
      </c>
      <c r="C583" s="1" t="s">
        <v>39</v>
      </c>
      <c r="D583" s="2" t="s">
        <v>943</v>
      </c>
      <c r="E583" s="2" t="s">
        <v>943</v>
      </c>
      <c r="F583" s="2" t="s">
        <v>11</v>
      </c>
      <c r="G583" s="3" t="s">
        <v>949</v>
      </c>
      <c r="H583" s="1" t="s">
        <v>12</v>
      </c>
      <c r="I583" s="1" t="s">
        <v>84</v>
      </c>
      <c r="J583" s="1" t="s">
        <v>14</v>
      </c>
    </row>
    <row r="584" spans="2:10" x14ac:dyDescent="0.3">
      <c r="B584" s="1" t="s">
        <v>922</v>
      </c>
      <c r="C584" s="1" t="s">
        <v>33</v>
      </c>
      <c r="D584" s="2" t="s">
        <v>934</v>
      </c>
      <c r="E584" s="2" t="s">
        <v>934</v>
      </c>
      <c r="F584" s="2" t="s">
        <v>11</v>
      </c>
      <c r="G584" s="3" t="s">
        <v>950</v>
      </c>
      <c r="H584" s="1" t="s">
        <v>12</v>
      </c>
      <c r="I584" s="1" t="s">
        <v>68</v>
      </c>
      <c r="J584" s="1" t="s">
        <v>14</v>
      </c>
    </row>
    <row r="585" spans="2:10" x14ac:dyDescent="0.3">
      <c r="B585" s="1" t="s">
        <v>922</v>
      </c>
      <c r="C585" s="1" t="s">
        <v>35</v>
      </c>
      <c r="D585" s="2" t="s">
        <v>927</v>
      </c>
      <c r="E585" s="2" t="s">
        <v>927</v>
      </c>
      <c r="F585" s="2" t="s">
        <v>11</v>
      </c>
      <c r="G585" s="3" t="s">
        <v>951</v>
      </c>
      <c r="H585" s="1" t="s">
        <v>12</v>
      </c>
      <c r="I585" s="1" t="s">
        <v>47</v>
      </c>
      <c r="J585" s="1" t="s">
        <v>14</v>
      </c>
    </row>
    <row r="586" spans="2:10" x14ac:dyDescent="0.3">
      <c r="B586" s="1" t="s">
        <v>952</v>
      </c>
      <c r="C586" s="1" t="s">
        <v>33</v>
      </c>
      <c r="D586" s="2" t="s">
        <v>448</v>
      </c>
      <c r="E586" s="2" t="s">
        <v>448</v>
      </c>
      <c r="F586" s="2" t="s">
        <v>11</v>
      </c>
      <c r="G586" s="3" t="s">
        <v>953</v>
      </c>
      <c r="H586" s="1" t="s">
        <v>12</v>
      </c>
      <c r="I586" s="1" t="s">
        <v>69</v>
      </c>
      <c r="J586" s="1" t="s">
        <v>14</v>
      </c>
    </row>
    <row r="587" spans="2:10" x14ac:dyDescent="0.3">
      <c r="B587" s="1" t="s">
        <v>952</v>
      </c>
      <c r="C587" s="1" t="s">
        <v>35</v>
      </c>
      <c r="D587" s="2" t="s">
        <v>240</v>
      </c>
      <c r="E587" s="2" t="s">
        <v>240</v>
      </c>
      <c r="F587" s="2" t="s">
        <v>11</v>
      </c>
      <c r="G587" s="3" t="s">
        <v>505</v>
      </c>
      <c r="H587" s="1" t="s">
        <v>12</v>
      </c>
      <c r="I587" s="1" t="s">
        <v>32</v>
      </c>
      <c r="J587" s="1" t="s">
        <v>14</v>
      </c>
    </row>
    <row r="588" spans="2:10" x14ac:dyDescent="0.3">
      <c r="B588" s="1" t="s">
        <v>952</v>
      </c>
      <c r="C588" s="1" t="s">
        <v>43</v>
      </c>
      <c r="D588" s="2" t="s">
        <v>433</v>
      </c>
      <c r="E588" s="2" t="s">
        <v>433</v>
      </c>
      <c r="F588" s="2" t="s">
        <v>11</v>
      </c>
      <c r="G588" s="3" t="s">
        <v>954</v>
      </c>
      <c r="H588" s="1" t="s">
        <v>12</v>
      </c>
      <c r="I588" s="1" t="s">
        <v>27</v>
      </c>
      <c r="J588" s="1" t="s">
        <v>14</v>
      </c>
    </row>
    <row r="589" spans="2:10" x14ac:dyDescent="0.3">
      <c r="B589" s="1" t="s">
        <v>952</v>
      </c>
      <c r="C589" s="1" t="s">
        <v>45</v>
      </c>
      <c r="D589" s="2" t="s">
        <v>955</v>
      </c>
      <c r="E589" s="2" t="s">
        <v>956</v>
      </c>
      <c r="F589" s="2" t="s">
        <v>11</v>
      </c>
      <c r="G589" s="3" t="s">
        <v>957</v>
      </c>
      <c r="H589" s="1" t="s">
        <v>12</v>
      </c>
      <c r="I589" s="1" t="s">
        <v>10</v>
      </c>
      <c r="J589" s="1" t="s">
        <v>52</v>
      </c>
    </row>
    <row r="590" spans="2:10" x14ac:dyDescent="0.3">
      <c r="B590" s="1" t="s">
        <v>952</v>
      </c>
      <c r="C590" s="1" t="s">
        <v>15</v>
      </c>
      <c r="D590" s="2" t="s">
        <v>433</v>
      </c>
      <c r="E590" s="2" t="s">
        <v>433</v>
      </c>
      <c r="F590" s="2" t="s">
        <v>11</v>
      </c>
      <c r="G590" s="3" t="s">
        <v>958</v>
      </c>
      <c r="H590" s="1" t="s">
        <v>12</v>
      </c>
      <c r="I590" s="1" t="s">
        <v>22</v>
      </c>
      <c r="J590" s="1" t="s">
        <v>14</v>
      </c>
    </row>
    <row r="591" spans="2:10" x14ac:dyDescent="0.3">
      <c r="B591" s="1" t="s">
        <v>952</v>
      </c>
      <c r="C591" s="1" t="s">
        <v>39</v>
      </c>
      <c r="D591" s="2" t="s">
        <v>433</v>
      </c>
      <c r="E591" s="2" t="s">
        <v>433</v>
      </c>
      <c r="F591" s="2" t="s">
        <v>11</v>
      </c>
      <c r="G591" s="3" t="s">
        <v>959</v>
      </c>
      <c r="H591" s="1" t="s">
        <v>12</v>
      </c>
      <c r="I591" s="1" t="s">
        <v>44</v>
      </c>
      <c r="J591" s="1" t="s">
        <v>14</v>
      </c>
    </row>
    <row r="592" spans="2:10" x14ac:dyDescent="0.3">
      <c r="B592" s="1" t="s">
        <v>952</v>
      </c>
      <c r="C592" s="1" t="s">
        <v>21</v>
      </c>
      <c r="D592" s="2" t="s">
        <v>438</v>
      </c>
      <c r="E592" s="2" t="s">
        <v>438</v>
      </c>
      <c r="F592" s="2" t="s">
        <v>11</v>
      </c>
      <c r="G592" s="3" t="s">
        <v>960</v>
      </c>
      <c r="H592" s="1" t="s">
        <v>12</v>
      </c>
      <c r="I592" s="1" t="s">
        <v>76</v>
      </c>
      <c r="J592" s="1" t="s">
        <v>14</v>
      </c>
    </row>
    <row r="593" spans="2:10" x14ac:dyDescent="0.3">
      <c r="B593" s="1" t="s">
        <v>952</v>
      </c>
      <c r="C593" s="1" t="s">
        <v>41</v>
      </c>
      <c r="D593" s="2" t="s">
        <v>448</v>
      </c>
      <c r="E593" s="2" t="s">
        <v>448</v>
      </c>
      <c r="F593" s="2" t="s">
        <v>11</v>
      </c>
      <c r="G593" s="3" t="s">
        <v>961</v>
      </c>
      <c r="H593" s="1" t="s">
        <v>12</v>
      </c>
      <c r="I593" s="1" t="s">
        <v>13</v>
      </c>
      <c r="J593" s="1" t="s">
        <v>14</v>
      </c>
    </row>
    <row r="594" spans="2:10" x14ac:dyDescent="0.3">
      <c r="B594" s="1" t="s">
        <v>952</v>
      </c>
      <c r="C594" s="1" t="s">
        <v>23</v>
      </c>
      <c r="D594" s="2" t="s">
        <v>448</v>
      </c>
      <c r="E594" s="2" t="s">
        <v>448</v>
      </c>
      <c r="F594" s="2" t="s">
        <v>11</v>
      </c>
      <c r="G594" s="3" t="s">
        <v>962</v>
      </c>
      <c r="H594" s="1" t="s">
        <v>12</v>
      </c>
      <c r="I594" s="1" t="s">
        <v>34</v>
      </c>
      <c r="J594" s="1" t="s">
        <v>14</v>
      </c>
    </row>
    <row r="595" spans="2:10" x14ac:dyDescent="0.3">
      <c r="B595" s="1" t="s">
        <v>952</v>
      </c>
      <c r="C595" s="1" t="s">
        <v>38</v>
      </c>
      <c r="D595" s="2" t="s">
        <v>438</v>
      </c>
      <c r="E595" s="2" t="s">
        <v>438</v>
      </c>
      <c r="F595" s="2" t="s">
        <v>11</v>
      </c>
      <c r="G595" s="3" t="s">
        <v>681</v>
      </c>
      <c r="H595" s="1" t="s">
        <v>12</v>
      </c>
      <c r="I595" s="1" t="s">
        <v>61</v>
      </c>
      <c r="J595" s="1" t="s">
        <v>14</v>
      </c>
    </row>
    <row r="596" spans="2:10" x14ac:dyDescent="0.3">
      <c r="B596" s="1" t="s">
        <v>952</v>
      </c>
      <c r="C596" s="1" t="s">
        <v>24</v>
      </c>
      <c r="D596" s="2" t="s">
        <v>747</v>
      </c>
      <c r="E596" s="2" t="s">
        <v>747</v>
      </c>
      <c r="F596" s="2" t="s">
        <v>11</v>
      </c>
      <c r="G596" s="3" t="s">
        <v>963</v>
      </c>
      <c r="H596" s="1" t="s">
        <v>12</v>
      </c>
      <c r="I596" s="1" t="s">
        <v>34</v>
      </c>
      <c r="J596" s="1" t="s">
        <v>14</v>
      </c>
    </row>
    <row r="597" spans="2:10" x14ac:dyDescent="0.3">
      <c r="B597" s="1" t="s">
        <v>952</v>
      </c>
      <c r="C597" s="1" t="s">
        <v>28</v>
      </c>
      <c r="D597" s="2" t="s">
        <v>584</v>
      </c>
      <c r="E597" s="2" t="s">
        <v>192</v>
      </c>
      <c r="F597" s="2" t="s">
        <v>11</v>
      </c>
      <c r="G597" s="3" t="s">
        <v>964</v>
      </c>
      <c r="H597" s="1" t="s">
        <v>12</v>
      </c>
      <c r="I597" s="1" t="s">
        <v>46</v>
      </c>
      <c r="J597" s="1" t="s">
        <v>52</v>
      </c>
    </row>
    <row r="598" spans="2:10" x14ac:dyDescent="0.3">
      <c r="B598" s="1" t="s">
        <v>952</v>
      </c>
      <c r="C598" s="1" t="s">
        <v>17</v>
      </c>
      <c r="D598" s="2" t="s">
        <v>433</v>
      </c>
      <c r="E598" s="2" t="s">
        <v>433</v>
      </c>
      <c r="F598" s="2" t="s">
        <v>11</v>
      </c>
      <c r="G598" s="3" t="s">
        <v>965</v>
      </c>
      <c r="H598" s="1" t="s">
        <v>12</v>
      </c>
      <c r="I598" s="1" t="s">
        <v>25</v>
      </c>
      <c r="J598" s="1" t="s">
        <v>14</v>
      </c>
    </row>
    <row r="599" spans="2:10" x14ac:dyDescent="0.3">
      <c r="B599" s="1" t="s">
        <v>952</v>
      </c>
      <c r="C599" s="1" t="s">
        <v>36</v>
      </c>
      <c r="D599" s="2" t="s">
        <v>433</v>
      </c>
      <c r="E599" s="2" t="s">
        <v>433</v>
      </c>
      <c r="F599" s="2" t="s">
        <v>11</v>
      </c>
      <c r="G599" s="3" t="s">
        <v>966</v>
      </c>
      <c r="H599" s="1" t="s">
        <v>12</v>
      </c>
      <c r="I599" s="1" t="s">
        <v>58</v>
      </c>
      <c r="J599" s="1" t="s">
        <v>14</v>
      </c>
    </row>
    <row r="600" spans="2:10" x14ac:dyDescent="0.3">
      <c r="B600" s="1" t="s">
        <v>952</v>
      </c>
      <c r="C600" s="1" t="s">
        <v>46</v>
      </c>
      <c r="D600" s="2" t="s">
        <v>458</v>
      </c>
      <c r="E600" s="2" t="s">
        <v>458</v>
      </c>
      <c r="F600" s="2" t="s">
        <v>11</v>
      </c>
      <c r="G600" s="3" t="s">
        <v>967</v>
      </c>
      <c r="H600" s="1" t="s">
        <v>12</v>
      </c>
      <c r="I600" s="1" t="s">
        <v>89</v>
      </c>
      <c r="J600" s="1" t="s">
        <v>14</v>
      </c>
    </row>
    <row r="601" spans="2:10" x14ac:dyDescent="0.3">
      <c r="B601" s="1" t="s">
        <v>952</v>
      </c>
      <c r="C601" s="1" t="s">
        <v>29</v>
      </c>
      <c r="D601" s="2" t="s">
        <v>448</v>
      </c>
      <c r="E601" s="2" t="s">
        <v>448</v>
      </c>
      <c r="F601" s="2" t="s">
        <v>11</v>
      </c>
      <c r="G601" s="3" t="s">
        <v>968</v>
      </c>
      <c r="H601" s="1" t="s">
        <v>12</v>
      </c>
      <c r="I601" s="1" t="s">
        <v>42</v>
      </c>
      <c r="J601" s="1" t="s">
        <v>14</v>
      </c>
    </row>
    <row r="602" spans="2:10" x14ac:dyDescent="0.3">
      <c r="B602" s="1" t="s">
        <v>952</v>
      </c>
      <c r="C602" s="1" t="s">
        <v>26</v>
      </c>
      <c r="D602" s="2" t="s">
        <v>438</v>
      </c>
      <c r="E602" s="2" t="s">
        <v>438</v>
      </c>
      <c r="F602" s="2" t="s">
        <v>11</v>
      </c>
      <c r="G602" s="3" t="s">
        <v>969</v>
      </c>
      <c r="H602" s="1" t="s">
        <v>12</v>
      </c>
      <c r="I602" s="1" t="s">
        <v>42</v>
      </c>
      <c r="J602" s="1" t="s">
        <v>14</v>
      </c>
    </row>
    <row r="603" spans="2:10" x14ac:dyDescent="0.3">
      <c r="B603" s="1" t="s">
        <v>952</v>
      </c>
      <c r="C603" s="1" t="s">
        <v>10</v>
      </c>
      <c r="D603" s="2" t="s">
        <v>448</v>
      </c>
      <c r="E603" s="2" t="s">
        <v>448</v>
      </c>
      <c r="F603" s="2" t="s">
        <v>11</v>
      </c>
      <c r="G603" s="3" t="s">
        <v>970</v>
      </c>
      <c r="H603" s="1" t="s">
        <v>12</v>
      </c>
      <c r="I603" s="1" t="s">
        <v>42</v>
      </c>
      <c r="J603" s="1" t="s">
        <v>14</v>
      </c>
    </row>
    <row r="604" spans="2:10" x14ac:dyDescent="0.3">
      <c r="B604" s="1" t="s">
        <v>952</v>
      </c>
      <c r="C604" s="1" t="s">
        <v>19</v>
      </c>
      <c r="D604" s="2" t="s">
        <v>433</v>
      </c>
      <c r="E604" s="2" t="s">
        <v>433</v>
      </c>
      <c r="F604" s="2" t="s">
        <v>11</v>
      </c>
      <c r="G604" s="3" t="s">
        <v>971</v>
      </c>
      <c r="H604" s="1" t="s">
        <v>12</v>
      </c>
      <c r="I604" s="1" t="s">
        <v>60</v>
      </c>
      <c r="J604" s="1" t="s">
        <v>14</v>
      </c>
    </row>
    <row r="605" spans="2:10" x14ac:dyDescent="0.3">
      <c r="B605" s="1" t="s">
        <v>952</v>
      </c>
      <c r="C605" s="1" t="s">
        <v>31</v>
      </c>
      <c r="D605" s="2" t="s">
        <v>972</v>
      </c>
      <c r="E605" s="2" t="s">
        <v>972</v>
      </c>
      <c r="F605" s="2" t="s">
        <v>11</v>
      </c>
      <c r="G605" s="3" t="s">
        <v>973</v>
      </c>
      <c r="H605" s="1" t="s">
        <v>12</v>
      </c>
      <c r="I605" s="1" t="s">
        <v>22</v>
      </c>
      <c r="J605" s="1" t="s">
        <v>14</v>
      </c>
    </row>
    <row r="606" spans="2:10" x14ac:dyDescent="0.3">
      <c r="B606" s="1" t="s">
        <v>974</v>
      </c>
      <c r="C606" s="1" t="s">
        <v>29</v>
      </c>
      <c r="D606" s="2" t="s">
        <v>975</v>
      </c>
      <c r="E606" s="2" t="s">
        <v>976</v>
      </c>
      <c r="F606" s="2" t="s">
        <v>11</v>
      </c>
      <c r="G606" s="3" t="s">
        <v>977</v>
      </c>
      <c r="H606" s="1" t="s">
        <v>12</v>
      </c>
      <c r="I606" s="1" t="s">
        <v>15</v>
      </c>
      <c r="J606" s="1" t="s">
        <v>52</v>
      </c>
    </row>
    <row r="607" spans="2:10" x14ac:dyDescent="0.3">
      <c r="B607" s="1" t="s">
        <v>974</v>
      </c>
      <c r="C607" s="1" t="s">
        <v>17</v>
      </c>
      <c r="D607" s="2" t="s">
        <v>204</v>
      </c>
      <c r="E607" s="2" t="s">
        <v>204</v>
      </c>
      <c r="F607" s="2" t="s">
        <v>11</v>
      </c>
      <c r="G607" s="3" t="s">
        <v>978</v>
      </c>
      <c r="H607" s="1" t="s">
        <v>12</v>
      </c>
      <c r="I607" s="1" t="s">
        <v>27</v>
      </c>
      <c r="J607" s="1" t="s">
        <v>14</v>
      </c>
    </row>
    <row r="608" spans="2:10" x14ac:dyDescent="0.3">
      <c r="B608" s="1" t="s">
        <v>974</v>
      </c>
      <c r="C608" s="1" t="s">
        <v>24</v>
      </c>
      <c r="D608" s="2" t="s">
        <v>207</v>
      </c>
      <c r="E608" s="2" t="s">
        <v>207</v>
      </c>
      <c r="F608" s="2" t="s">
        <v>11</v>
      </c>
      <c r="G608" s="3" t="s">
        <v>979</v>
      </c>
      <c r="H608" s="1" t="s">
        <v>12</v>
      </c>
      <c r="I608" s="1" t="s">
        <v>30</v>
      </c>
      <c r="J608" s="1" t="s">
        <v>14</v>
      </c>
    </row>
    <row r="609" spans="2:10" x14ac:dyDescent="0.3">
      <c r="B609" s="1" t="s">
        <v>974</v>
      </c>
      <c r="C609" s="1" t="s">
        <v>31</v>
      </c>
      <c r="D609" s="2" t="s">
        <v>980</v>
      </c>
      <c r="E609" s="2" t="s">
        <v>980</v>
      </c>
      <c r="F609" s="2" t="s">
        <v>11</v>
      </c>
      <c r="G609" s="3" t="s">
        <v>981</v>
      </c>
      <c r="H609" s="1" t="s">
        <v>12</v>
      </c>
      <c r="I609" s="1" t="s">
        <v>13</v>
      </c>
      <c r="J609" s="1" t="s">
        <v>14</v>
      </c>
    </row>
    <row r="610" spans="2:10" x14ac:dyDescent="0.3">
      <c r="B610" s="1" t="s">
        <v>974</v>
      </c>
      <c r="C610" s="1" t="s">
        <v>41</v>
      </c>
      <c r="D610" s="2" t="s">
        <v>859</v>
      </c>
      <c r="E610" s="2" t="s">
        <v>859</v>
      </c>
      <c r="F610" s="2" t="s">
        <v>11</v>
      </c>
      <c r="G610" s="3" t="s">
        <v>982</v>
      </c>
      <c r="H610" s="1" t="s">
        <v>12</v>
      </c>
      <c r="I610" s="1" t="s">
        <v>93</v>
      </c>
      <c r="J610" s="1" t="s">
        <v>14</v>
      </c>
    </row>
    <row r="611" spans="2:10" x14ac:dyDescent="0.3">
      <c r="B611" s="1" t="s">
        <v>974</v>
      </c>
      <c r="C611" s="1" t="s">
        <v>33</v>
      </c>
      <c r="D611" s="2" t="s">
        <v>204</v>
      </c>
      <c r="E611" s="2" t="s">
        <v>204</v>
      </c>
      <c r="F611" s="2" t="s">
        <v>11</v>
      </c>
      <c r="G611" s="3" t="s">
        <v>983</v>
      </c>
      <c r="H611" s="1" t="s">
        <v>12</v>
      </c>
      <c r="I611" s="1" t="s">
        <v>41</v>
      </c>
      <c r="J611" s="1" t="s">
        <v>14</v>
      </c>
    </row>
    <row r="612" spans="2:10" x14ac:dyDescent="0.3">
      <c r="B612" s="1" t="s">
        <v>974</v>
      </c>
      <c r="C612" s="1" t="s">
        <v>15</v>
      </c>
      <c r="D612" s="2" t="s">
        <v>859</v>
      </c>
      <c r="E612" s="2" t="s">
        <v>859</v>
      </c>
      <c r="F612" s="2" t="s">
        <v>11</v>
      </c>
      <c r="G612" s="3" t="s">
        <v>984</v>
      </c>
      <c r="H612" s="1" t="s">
        <v>12</v>
      </c>
      <c r="I612" s="1" t="s">
        <v>30</v>
      </c>
      <c r="J612" s="1" t="s">
        <v>14</v>
      </c>
    </row>
    <row r="613" spans="2:10" x14ac:dyDescent="0.3">
      <c r="B613" s="1" t="s">
        <v>974</v>
      </c>
      <c r="C613" s="1" t="s">
        <v>10</v>
      </c>
      <c r="D613" s="2" t="s">
        <v>202</v>
      </c>
      <c r="E613" s="2" t="s">
        <v>202</v>
      </c>
      <c r="F613" s="2" t="s">
        <v>11</v>
      </c>
      <c r="G613" s="3" t="s">
        <v>985</v>
      </c>
      <c r="H613" s="1" t="s">
        <v>12</v>
      </c>
      <c r="I613" s="1" t="s">
        <v>106</v>
      </c>
      <c r="J613" s="1" t="s">
        <v>14</v>
      </c>
    </row>
    <row r="614" spans="2:10" x14ac:dyDescent="0.3">
      <c r="B614" s="1" t="s">
        <v>974</v>
      </c>
      <c r="C614" s="1" t="s">
        <v>35</v>
      </c>
      <c r="D614" s="2" t="s">
        <v>204</v>
      </c>
      <c r="E614" s="2" t="s">
        <v>204</v>
      </c>
      <c r="F614" s="2" t="s">
        <v>11</v>
      </c>
      <c r="G614" s="3" t="s">
        <v>986</v>
      </c>
      <c r="H614" s="1" t="s">
        <v>12</v>
      </c>
      <c r="I614" s="1" t="s">
        <v>22</v>
      </c>
      <c r="J614" s="1" t="s">
        <v>14</v>
      </c>
    </row>
    <row r="615" spans="2:10" x14ac:dyDescent="0.3">
      <c r="B615" s="1" t="s">
        <v>974</v>
      </c>
      <c r="C615" s="1" t="s">
        <v>21</v>
      </c>
      <c r="D615" s="2" t="s">
        <v>182</v>
      </c>
      <c r="E615" s="2" t="s">
        <v>182</v>
      </c>
      <c r="F615" s="2" t="s">
        <v>11</v>
      </c>
      <c r="G615" s="3" t="s">
        <v>780</v>
      </c>
      <c r="H615" s="1" t="s">
        <v>12</v>
      </c>
      <c r="I615" s="1" t="s">
        <v>110</v>
      </c>
      <c r="J615" s="1" t="s">
        <v>14</v>
      </c>
    </row>
    <row r="616" spans="2:10" x14ac:dyDescent="0.3">
      <c r="B616" s="1" t="s">
        <v>974</v>
      </c>
      <c r="C616" s="1" t="s">
        <v>43</v>
      </c>
      <c r="D616" s="2" t="s">
        <v>987</v>
      </c>
      <c r="E616" s="2" t="s">
        <v>987</v>
      </c>
      <c r="F616" s="2" t="s">
        <v>11</v>
      </c>
      <c r="G616" s="3" t="s">
        <v>988</v>
      </c>
      <c r="H616" s="1" t="s">
        <v>12</v>
      </c>
      <c r="I616" s="1" t="s">
        <v>111</v>
      </c>
      <c r="J616" s="1" t="s">
        <v>14</v>
      </c>
    </row>
    <row r="617" spans="2:10" x14ac:dyDescent="0.3">
      <c r="B617" s="1" t="s">
        <v>974</v>
      </c>
      <c r="C617" s="1" t="s">
        <v>39</v>
      </c>
      <c r="D617" s="2" t="s">
        <v>204</v>
      </c>
      <c r="E617" s="2" t="s">
        <v>204</v>
      </c>
      <c r="F617" s="2" t="s">
        <v>11</v>
      </c>
      <c r="G617" s="3" t="s">
        <v>989</v>
      </c>
      <c r="H617" s="1" t="s">
        <v>12</v>
      </c>
      <c r="I617" s="1" t="s">
        <v>27</v>
      </c>
      <c r="J617" s="1" t="s">
        <v>14</v>
      </c>
    </row>
    <row r="618" spans="2:10" x14ac:dyDescent="0.3">
      <c r="B618" s="1" t="s">
        <v>974</v>
      </c>
      <c r="C618" s="1" t="s">
        <v>46</v>
      </c>
      <c r="D618" s="2" t="s">
        <v>182</v>
      </c>
      <c r="E618" s="2" t="s">
        <v>182</v>
      </c>
      <c r="F618" s="2" t="s">
        <v>11</v>
      </c>
      <c r="G618" s="3" t="s">
        <v>990</v>
      </c>
      <c r="H618" s="1" t="s">
        <v>12</v>
      </c>
      <c r="I618" s="1" t="s">
        <v>37</v>
      </c>
      <c r="J618" s="1" t="s">
        <v>14</v>
      </c>
    </row>
    <row r="619" spans="2:10" x14ac:dyDescent="0.3">
      <c r="B619" s="1" t="s">
        <v>974</v>
      </c>
      <c r="C619" s="1" t="s">
        <v>28</v>
      </c>
      <c r="D619" s="2" t="s">
        <v>190</v>
      </c>
      <c r="E619" s="2" t="s">
        <v>190</v>
      </c>
      <c r="F619" s="2" t="s">
        <v>11</v>
      </c>
      <c r="G619" s="3" t="s">
        <v>991</v>
      </c>
      <c r="H619" s="1" t="s">
        <v>12</v>
      </c>
      <c r="I619" s="1" t="s">
        <v>51</v>
      </c>
      <c r="J619" s="1" t="s">
        <v>14</v>
      </c>
    </row>
    <row r="620" spans="2:10" x14ac:dyDescent="0.3">
      <c r="B620" s="1" t="s">
        <v>974</v>
      </c>
      <c r="C620" s="1" t="s">
        <v>19</v>
      </c>
      <c r="D620" s="2" t="s">
        <v>311</v>
      </c>
      <c r="E620" s="2" t="s">
        <v>311</v>
      </c>
      <c r="F620" s="2" t="s">
        <v>11</v>
      </c>
      <c r="G620" s="3" t="s">
        <v>853</v>
      </c>
      <c r="H620" s="1" t="s">
        <v>12</v>
      </c>
      <c r="I620" s="1" t="s">
        <v>58</v>
      </c>
      <c r="J620" s="1" t="s">
        <v>14</v>
      </c>
    </row>
    <row r="621" spans="2:10" x14ac:dyDescent="0.3">
      <c r="B621" s="1" t="s">
        <v>974</v>
      </c>
      <c r="C621" s="1" t="s">
        <v>23</v>
      </c>
      <c r="D621" s="2" t="s">
        <v>987</v>
      </c>
      <c r="E621" s="2" t="s">
        <v>987</v>
      </c>
      <c r="F621" s="2" t="s">
        <v>11</v>
      </c>
      <c r="G621" s="3" t="s">
        <v>992</v>
      </c>
      <c r="H621" s="1" t="s">
        <v>12</v>
      </c>
      <c r="I621" s="1" t="s">
        <v>18</v>
      </c>
      <c r="J621" s="1" t="s">
        <v>14</v>
      </c>
    </row>
    <row r="622" spans="2:10" x14ac:dyDescent="0.3">
      <c r="B622" s="1" t="s">
        <v>974</v>
      </c>
      <c r="C622" s="1" t="s">
        <v>36</v>
      </c>
      <c r="D622" s="2" t="s">
        <v>195</v>
      </c>
      <c r="E622" s="2" t="s">
        <v>987</v>
      </c>
      <c r="F622" s="2" t="s">
        <v>11</v>
      </c>
      <c r="G622" s="3" t="s">
        <v>993</v>
      </c>
      <c r="H622" s="1" t="s">
        <v>12</v>
      </c>
      <c r="I622" s="1" t="s">
        <v>35</v>
      </c>
      <c r="J622" s="1" t="s">
        <v>52</v>
      </c>
    </row>
    <row r="623" spans="2:10" x14ac:dyDescent="0.3">
      <c r="B623" s="1" t="s">
        <v>974</v>
      </c>
      <c r="C623" s="1" t="s">
        <v>45</v>
      </c>
      <c r="D623" s="2" t="s">
        <v>751</v>
      </c>
      <c r="E623" s="2" t="s">
        <v>751</v>
      </c>
      <c r="F623" s="2" t="s">
        <v>11</v>
      </c>
      <c r="G623" s="3" t="s">
        <v>994</v>
      </c>
      <c r="H623" s="1" t="s">
        <v>12</v>
      </c>
      <c r="I623" s="1" t="s">
        <v>40</v>
      </c>
      <c r="J623" s="1" t="s">
        <v>14</v>
      </c>
    </row>
    <row r="624" spans="2:10" x14ac:dyDescent="0.3">
      <c r="B624" s="1" t="s">
        <v>974</v>
      </c>
      <c r="C624" s="1" t="s">
        <v>26</v>
      </c>
      <c r="D624" s="2" t="s">
        <v>322</v>
      </c>
      <c r="E624" s="2" t="s">
        <v>322</v>
      </c>
      <c r="F624" s="2" t="s">
        <v>11</v>
      </c>
      <c r="G624" s="3" t="s">
        <v>995</v>
      </c>
      <c r="H624" s="1" t="s">
        <v>12</v>
      </c>
      <c r="I624" s="1" t="s">
        <v>40</v>
      </c>
      <c r="J624" s="1" t="s">
        <v>14</v>
      </c>
    </row>
    <row r="625" spans="2:10" x14ac:dyDescent="0.3">
      <c r="B625" s="1" t="s">
        <v>974</v>
      </c>
      <c r="C625" s="1" t="s">
        <v>38</v>
      </c>
      <c r="D625" s="2" t="s">
        <v>859</v>
      </c>
      <c r="E625" s="2" t="s">
        <v>859</v>
      </c>
      <c r="F625" s="2" t="s">
        <v>11</v>
      </c>
      <c r="G625" s="3" t="s">
        <v>996</v>
      </c>
      <c r="H625" s="1" t="s">
        <v>12</v>
      </c>
      <c r="I625" s="1" t="s">
        <v>47</v>
      </c>
      <c r="J625" s="1" t="s">
        <v>14</v>
      </c>
    </row>
    <row r="626" spans="2:10" x14ac:dyDescent="0.3">
      <c r="B626" s="1" t="s">
        <v>997</v>
      </c>
      <c r="C626" s="1" t="s">
        <v>33</v>
      </c>
      <c r="D626" s="2" t="s">
        <v>998</v>
      </c>
      <c r="E626" s="2" t="s">
        <v>998</v>
      </c>
      <c r="F626" s="2" t="s">
        <v>11</v>
      </c>
      <c r="G626" s="3" t="s">
        <v>999</v>
      </c>
      <c r="H626" s="1" t="s">
        <v>12</v>
      </c>
      <c r="I626" s="1" t="s">
        <v>47</v>
      </c>
      <c r="J626" s="1" t="s">
        <v>14</v>
      </c>
    </row>
    <row r="627" spans="2:10" x14ac:dyDescent="0.3">
      <c r="B627" s="1" t="s">
        <v>997</v>
      </c>
      <c r="C627" s="1" t="s">
        <v>36</v>
      </c>
      <c r="D627" s="2" t="s">
        <v>1000</v>
      </c>
      <c r="E627" s="2" t="s">
        <v>1000</v>
      </c>
      <c r="F627" s="2" t="s">
        <v>11</v>
      </c>
      <c r="G627" s="3" t="s">
        <v>1001</v>
      </c>
      <c r="H627" s="1" t="s">
        <v>12</v>
      </c>
      <c r="I627" s="1" t="s">
        <v>80</v>
      </c>
      <c r="J627" s="1" t="s">
        <v>14</v>
      </c>
    </row>
    <row r="628" spans="2:10" x14ac:dyDescent="0.3">
      <c r="B628" s="1" t="s">
        <v>997</v>
      </c>
      <c r="C628" s="1" t="s">
        <v>29</v>
      </c>
      <c r="D628" s="2" t="s">
        <v>692</v>
      </c>
      <c r="E628" s="2" t="s">
        <v>692</v>
      </c>
      <c r="F628" s="2" t="s">
        <v>11</v>
      </c>
      <c r="G628" s="3" t="s">
        <v>1002</v>
      </c>
      <c r="H628" s="1" t="s">
        <v>12</v>
      </c>
      <c r="I628" s="1" t="s">
        <v>64</v>
      </c>
      <c r="J628" s="1" t="s">
        <v>14</v>
      </c>
    </row>
    <row r="629" spans="2:10" x14ac:dyDescent="0.3">
      <c r="B629" s="1" t="s">
        <v>997</v>
      </c>
      <c r="C629" s="1" t="s">
        <v>43</v>
      </c>
      <c r="D629" s="2" t="s">
        <v>1003</v>
      </c>
      <c r="E629" s="2" t="s">
        <v>1003</v>
      </c>
      <c r="F629" s="2" t="s">
        <v>11</v>
      </c>
      <c r="G629" s="3" t="s">
        <v>1004</v>
      </c>
      <c r="H629" s="1" t="s">
        <v>12</v>
      </c>
      <c r="I629" s="1" t="s">
        <v>55</v>
      </c>
      <c r="J629" s="1" t="s">
        <v>14</v>
      </c>
    </row>
    <row r="630" spans="2:10" x14ac:dyDescent="0.3">
      <c r="B630" s="1" t="s">
        <v>997</v>
      </c>
      <c r="C630" s="1" t="s">
        <v>46</v>
      </c>
      <c r="D630" s="2" t="s">
        <v>1005</v>
      </c>
      <c r="E630" s="2" t="s">
        <v>1005</v>
      </c>
      <c r="F630" s="2" t="s">
        <v>11</v>
      </c>
      <c r="G630" s="3" t="s">
        <v>1006</v>
      </c>
      <c r="H630" s="1" t="s">
        <v>12</v>
      </c>
      <c r="I630" s="1" t="s">
        <v>30</v>
      </c>
      <c r="J630" s="1" t="s">
        <v>14</v>
      </c>
    </row>
    <row r="631" spans="2:10" x14ac:dyDescent="0.3">
      <c r="B631" s="1" t="s">
        <v>997</v>
      </c>
      <c r="C631" s="1" t="s">
        <v>35</v>
      </c>
      <c r="D631" s="2" t="s">
        <v>1000</v>
      </c>
      <c r="E631" s="2" t="s">
        <v>1000</v>
      </c>
      <c r="F631" s="2" t="s">
        <v>11</v>
      </c>
      <c r="G631" s="3" t="s">
        <v>1007</v>
      </c>
      <c r="H631" s="1" t="s">
        <v>12</v>
      </c>
      <c r="I631" s="1" t="s">
        <v>49</v>
      </c>
      <c r="J631" s="1" t="s">
        <v>14</v>
      </c>
    </row>
    <row r="632" spans="2:10" x14ac:dyDescent="0.3">
      <c r="B632" s="1" t="s">
        <v>997</v>
      </c>
      <c r="C632" s="1" t="s">
        <v>15</v>
      </c>
      <c r="D632" s="2" t="s">
        <v>1000</v>
      </c>
      <c r="E632" s="2" t="s">
        <v>1000</v>
      </c>
      <c r="F632" s="2" t="s">
        <v>11</v>
      </c>
      <c r="G632" s="3" t="s">
        <v>1008</v>
      </c>
      <c r="H632" s="1" t="s">
        <v>12</v>
      </c>
      <c r="I632" s="1" t="s">
        <v>51</v>
      </c>
      <c r="J632" s="1" t="s">
        <v>14</v>
      </c>
    </row>
    <row r="633" spans="2:10" x14ac:dyDescent="0.3">
      <c r="B633" s="1" t="s">
        <v>997</v>
      </c>
      <c r="C633" s="1" t="s">
        <v>17</v>
      </c>
      <c r="D633" s="2" t="s">
        <v>998</v>
      </c>
      <c r="E633" s="2" t="s">
        <v>998</v>
      </c>
      <c r="F633" s="2" t="s">
        <v>11</v>
      </c>
      <c r="G633" s="3" t="s">
        <v>1009</v>
      </c>
      <c r="H633" s="1" t="s">
        <v>12</v>
      </c>
      <c r="I633" s="1" t="s">
        <v>32</v>
      </c>
      <c r="J633" s="1" t="s">
        <v>14</v>
      </c>
    </row>
    <row r="634" spans="2:10" x14ac:dyDescent="0.3">
      <c r="B634" s="1" t="s">
        <v>997</v>
      </c>
      <c r="C634" s="1" t="s">
        <v>41</v>
      </c>
      <c r="D634" s="2" t="s">
        <v>1000</v>
      </c>
      <c r="E634" s="2" t="s">
        <v>1000</v>
      </c>
      <c r="F634" s="2" t="s">
        <v>11</v>
      </c>
      <c r="G634" s="3" t="s">
        <v>1010</v>
      </c>
      <c r="H634" s="1" t="s">
        <v>12</v>
      </c>
      <c r="I634" s="1" t="s">
        <v>68</v>
      </c>
      <c r="J634" s="1" t="s">
        <v>14</v>
      </c>
    </row>
    <row r="635" spans="2:10" x14ac:dyDescent="0.3">
      <c r="B635" s="1" t="s">
        <v>997</v>
      </c>
      <c r="C635" s="1" t="s">
        <v>10</v>
      </c>
      <c r="D635" s="2" t="s">
        <v>1011</v>
      </c>
      <c r="E635" s="2" t="s">
        <v>1011</v>
      </c>
      <c r="F635" s="2" t="s">
        <v>11</v>
      </c>
      <c r="G635" s="3" t="s">
        <v>1012</v>
      </c>
      <c r="H635" s="1" t="s">
        <v>12</v>
      </c>
      <c r="I635" s="1" t="s">
        <v>80</v>
      </c>
      <c r="J635" s="1" t="s">
        <v>14</v>
      </c>
    </row>
    <row r="636" spans="2:10" x14ac:dyDescent="0.3">
      <c r="B636" s="1" t="s">
        <v>997</v>
      </c>
      <c r="C636" s="1" t="s">
        <v>23</v>
      </c>
      <c r="D636" s="2" t="s">
        <v>1013</v>
      </c>
      <c r="E636" s="2" t="s">
        <v>1013</v>
      </c>
      <c r="F636" s="2" t="s">
        <v>11</v>
      </c>
      <c r="G636" s="3" t="s">
        <v>1014</v>
      </c>
      <c r="H636" s="1" t="s">
        <v>12</v>
      </c>
      <c r="I636" s="1" t="s">
        <v>62</v>
      </c>
      <c r="J636" s="1" t="s">
        <v>14</v>
      </c>
    </row>
    <row r="637" spans="2:10" x14ac:dyDescent="0.3">
      <c r="B637" s="1" t="s">
        <v>997</v>
      </c>
      <c r="C637" s="1" t="s">
        <v>21</v>
      </c>
      <c r="D637" s="2" t="s">
        <v>1000</v>
      </c>
      <c r="E637" s="2" t="s">
        <v>1000</v>
      </c>
      <c r="F637" s="2" t="s">
        <v>11</v>
      </c>
      <c r="G637" s="3" t="s">
        <v>1015</v>
      </c>
      <c r="H637" s="1" t="s">
        <v>12</v>
      </c>
      <c r="I637" s="1" t="s">
        <v>76</v>
      </c>
      <c r="J637" s="1" t="s">
        <v>14</v>
      </c>
    </row>
    <row r="638" spans="2:10" x14ac:dyDescent="0.3">
      <c r="B638" s="1" t="s">
        <v>997</v>
      </c>
      <c r="C638" s="1" t="s">
        <v>45</v>
      </c>
      <c r="D638" s="2" t="s">
        <v>1005</v>
      </c>
      <c r="E638" s="2" t="s">
        <v>1005</v>
      </c>
      <c r="F638" s="2" t="s">
        <v>11</v>
      </c>
      <c r="G638" s="3" t="s">
        <v>1016</v>
      </c>
      <c r="H638" s="1" t="s">
        <v>12</v>
      </c>
      <c r="I638" s="1" t="s">
        <v>56</v>
      </c>
      <c r="J638" s="1" t="s">
        <v>14</v>
      </c>
    </row>
    <row r="639" spans="2:10" x14ac:dyDescent="0.3">
      <c r="B639" s="1" t="s">
        <v>997</v>
      </c>
      <c r="C639" s="1" t="s">
        <v>28</v>
      </c>
      <c r="D639" s="2" t="s">
        <v>998</v>
      </c>
      <c r="E639" s="2" t="s">
        <v>998</v>
      </c>
      <c r="F639" s="2" t="s">
        <v>11</v>
      </c>
      <c r="G639" s="3" t="s">
        <v>1017</v>
      </c>
      <c r="H639" s="1" t="s">
        <v>12</v>
      </c>
      <c r="I639" s="1" t="s">
        <v>42</v>
      </c>
      <c r="J639" s="1" t="s">
        <v>14</v>
      </c>
    </row>
    <row r="640" spans="2:10" x14ac:dyDescent="0.3">
      <c r="B640" s="1" t="s">
        <v>997</v>
      </c>
      <c r="C640" s="1" t="s">
        <v>38</v>
      </c>
      <c r="D640" s="2" t="s">
        <v>998</v>
      </c>
      <c r="E640" s="2" t="s">
        <v>998</v>
      </c>
      <c r="F640" s="2" t="s">
        <v>11</v>
      </c>
      <c r="G640" s="3" t="s">
        <v>1018</v>
      </c>
      <c r="H640" s="1" t="s">
        <v>12</v>
      </c>
      <c r="I640" s="1" t="s">
        <v>70</v>
      </c>
      <c r="J640" s="1" t="s">
        <v>14</v>
      </c>
    </row>
    <row r="641" spans="2:10" x14ac:dyDescent="0.3">
      <c r="B641" s="1" t="s">
        <v>997</v>
      </c>
      <c r="C641" s="1" t="s">
        <v>31</v>
      </c>
      <c r="D641" s="2" t="s">
        <v>686</v>
      </c>
      <c r="E641" s="2" t="s">
        <v>686</v>
      </c>
      <c r="F641" s="2" t="s">
        <v>11</v>
      </c>
      <c r="G641" s="3" t="s">
        <v>1019</v>
      </c>
      <c r="H641" s="1" t="s">
        <v>12</v>
      </c>
      <c r="I641" s="1" t="s">
        <v>112</v>
      </c>
      <c r="J641" s="1" t="s">
        <v>14</v>
      </c>
    </row>
    <row r="642" spans="2:10" x14ac:dyDescent="0.3">
      <c r="B642" s="1" t="s">
        <v>997</v>
      </c>
      <c r="C642" s="1" t="s">
        <v>26</v>
      </c>
      <c r="D642" s="2" t="s">
        <v>998</v>
      </c>
      <c r="E642" s="2" t="s">
        <v>998</v>
      </c>
      <c r="F642" s="2" t="s">
        <v>11</v>
      </c>
      <c r="G642" s="3" t="s">
        <v>1020</v>
      </c>
      <c r="H642" s="1" t="s">
        <v>12</v>
      </c>
      <c r="I642" s="1" t="s">
        <v>49</v>
      </c>
      <c r="J642" s="1" t="s">
        <v>14</v>
      </c>
    </row>
    <row r="643" spans="2:10" x14ac:dyDescent="0.3">
      <c r="B643" s="1" t="s">
        <v>997</v>
      </c>
      <c r="C643" s="1" t="s">
        <v>39</v>
      </c>
      <c r="D643" s="2" t="s">
        <v>1021</v>
      </c>
      <c r="E643" s="2" t="s">
        <v>1021</v>
      </c>
      <c r="F643" s="2" t="s">
        <v>11</v>
      </c>
      <c r="G643" s="3" t="s">
        <v>1022</v>
      </c>
      <c r="H643" s="1" t="s">
        <v>12</v>
      </c>
      <c r="I643" s="1" t="s">
        <v>44</v>
      </c>
      <c r="J643" s="1" t="s">
        <v>14</v>
      </c>
    </row>
    <row r="644" spans="2:10" x14ac:dyDescent="0.3">
      <c r="B644" s="1" t="s">
        <v>997</v>
      </c>
      <c r="C644" s="1" t="s">
        <v>19</v>
      </c>
      <c r="D644" s="2" t="s">
        <v>1023</v>
      </c>
      <c r="E644" s="2" t="s">
        <v>1023</v>
      </c>
      <c r="F644" s="2" t="s">
        <v>11</v>
      </c>
      <c r="G644" s="3" t="s">
        <v>878</v>
      </c>
      <c r="H644" s="1" t="s">
        <v>12</v>
      </c>
      <c r="I644" s="1" t="s">
        <v>62</v>
      </c>
      <c r="J644" s="1" t="s">
        <v>14</v>
      </c>
    </row>
    <row r="645" spans="2:10" x14ac:dyDescent="0.3">
      <c r="B645" s="1" t="s">
        <v>997</v>
      </c>
      <c r="C645" s="1" t="s">
        <v>24</v>
      </c>
      <c r="D645" s="2" t="s">
        <v>732</v>
      </c>
      <c r="E645" s="2" t="s">
        <v>732</v>
      </c>
      <c r="F645" s="2" t="s">
        <v>11</v>
      </c>
      <c r="G645" s="3" t="s">
        <v>1024</v>
      </c>
      <c r="H645" s="1" t="s">
        <v>12</v>
      </c>
      <c r="I645" s="1" t="s">
        <v>42</v>
      </c>
      <c r="J645" s="1" t="s">
        <v>14</v>
      </c>
    </row>
    <row r="646" spans="2:10" x14ac:dyDescent="0.3">
      <c r="B646" s="1" t="s">
        <v>1025</v>
      </c>
      <c r="C646" s="1" t="s">
        <v>23</v>
      </c>
      <c r="D646" s="2" t="s">
        <v>248</v>
      </c>
      <c r="E646" s="2" t="s">
        <v>248</v>
      </c>
      <c r="F646" s="2" t="s">
        <v>11</v>
      </c>
      <c r="G646" s="3" t="s">
        <v>1026</v>
      </c>
      <c r="H646" s="1" t="s">
        <v>12</v>
      </c>
      <c r="I646" s="1" t="s">
        <v>69</v>
      </c>
      <c r="J646" s="1" t="s">
        <v>14</v>
      </c>
    </row>
    <row r="647" spans="2:10" x14ac:dyDescent="0.3">
      <c r="B647" s="1" t="s">
        <v>1025</v>
      </c>
      <c r="C647" s="1" t="s">
        <v>39</v>
      </c>
      <c r="D647" s="2" t="s">
        <v>387</v>
      </c>
      <c r="E647" s="2" t="s">
        <v>387</v>
      </c>
      <c r="F647" s="2" t="s">
        <v>11</v>
      </c>
      <c r="G647" s="3" t="s">
        <v>1027</v>
      </c>
      <c r="H647" s="1" t="s">
        <v>12</v>
      </c>
      <c r="I647" s="1" t="s">
        <v>77</v>
      </c>
      <c r="J647" s="1" t="s">
        <v>14</v>
      </c>
    </row>
    <row r="648" spans="2:10" x14ac:dyDescent="0.3">
      <c r="B648" s="1" t="s">
        <v>1025</v>
      </c>
      <c r="C648" s="1" t="s">
        <v>31</v>
      </c>
      <c r="D648" s="2" t="s">
        <v>182</v>
      </c>
      <c r="E648" s="2" t="s">
        <v>182</v>
      </c>
      <c r="F648" s="2" t="s">
        <v>11</v>
      </c>
      <c r="G648" s="3" t="s">
        <v>1028</v>
      </c>
      <c r="H648" s="1" t="s">
        <v>12</v>
      </c>
      <c r="I648" s="1" t="s">
        <v>13</v>
      </c>
      <c r="J648" s="1" t="s">
        <v>14</v>
      </c>
    </row>
    <row r="649" spans="2:10" x14ac:dyDescent="0.3">
      <c r="B649" s="1" t="s">
        <v>1025</v>
      </c>
      <c r="C649" s="1" t="s">
        <v>17</v>
      </c>
      <c r="D649" s="2" t="s">
        <v>251</v>
      </c>
      <c r="E649" s="2" t="s">
        <v>251</v>
      </c>
      <c r="F649" s="2" t="s">
        <v>11</v>
      </c>
      <c r="G649" s="3" t="s">
        <v>1029</v>
      </c>
      <c r="H649" s="1" t="s">
        <v>12</v>
      </c>
      <c r="I649" s="1" t="s">
        <v>42</v>
      </c>
      <c r="J649" s="1" t="s">
        <v>14</v>
      </c>
    </row>
    <row r="650" spans="2:10" x14ac:dyDescent="0.3">
      <c r="B650" s="1" t="s">
        <v>1025</v>
      </c>
      <c r="C650" s="1" t="s">
        <v>43</v>
      </c>
      <c r="D650" s="2" t="s">
        <v>248</v>
      </c>
      <c r="E650" s="2" t="s">
        <v>248</v>
      </c>
      <c r="F650" s="2" t="s">
        <v>11</v>
      </c>
      <c r="G650" s="3" t="s">
        <v>1030</v>
      </c>
      <c r="H650" s="1" t="s">
        <v>12</v>
      </c>
      <c r="I650" s="1" t="s">
        <v>79</v>
      </c>
      <c r="J650" s="1" t="s">
        <v>14</v>
      </c>
    </row>
    <row r="651" spans="2:10" x14ac:dyDescent="0.3">
      <c r="B651" s="1" t="s">
        <v>1025</v>
      </c>
      <c r="C651" s="1" t="s">
        <v>24</v>
      </c>
      <c r="D651" s="2" t="s">
        <v>476</v>
      </c>
      <c r="E651" s="2" t="s">
        <v>476</v>
      </c>
      <c r="F651" s="2" t="s">
        <v>11</v>
      </c>
      <c r="G651" s="3" t="s">
        <v>1031</v>
      </c>
      <c r="H651" s="1" t="s">
        <v>12</v>
      </c>
      <c r="I651" s="1" t="s">
        <v>16</v>
      </c>
      <c r="J651" s="1" t="s">
        <v>14</v>
      </c>
    </row>
    <row r="652" spans="2:10" x14ac:dyDescent="0.3">
      <c r="B652" s="1" t="s">
        <v>1025</v>
      </c>
      <c r="C652" s="1" t="s">
        <v>33</v>
      </c>
      <c r="D652" s="2" t="s">
        <v>251</v>
      </c>
      <c r="E652" s="2" t="s">
        <v>251</v>
      </c>
      <c r="F652" s="2" t="s">
        <v>11</v>
      </c>
      <c r="G652" s="3" t="s">
        <v>1032</v>
      </c>
      <c r="H652" s="1" t="s">
        <v>12</v>
      </c>
      <c r="I652" s="1" t="s">
        <v>13</v>
      </c>
      <c r="J652" s="1" t="s">
        <v>14</v>
      </c>
    </row>
    <row r="653" spans="2:10" x14ac:dyDescent="0.3">
      <c r="B653" s="1" t="s">
        <v>1025</v>
      </c>
      <c r="C653" s="1" t="s">
        <v>46</v>
      </c>
      <c r="D653" s="2" t="s">
        <v>836</v>
      </c>
      <c r="E653" s="2" t="s">
        <v>836</v>
      </c>
      <c r="F653" s="2" t="s">
        <v>11</v>
      </c>
      <c r="G653" s="3" t="s">
        <v>1033</v>
      </c>
      <c r="H653" s="1" t="s">
        <v>12</v>
      </c>
      <c r="I653" s="1" t="s">
        <v>61</v>
      </c>
      <c r="J653" s="1" t="s">
        <v>14</v>
      </c>
    </row>
    <row r="654" spans="2:10" x14ac:dyDescent="0.3">
      <c r="B654" s="1" t="s">
        <v>1025</v>
      </c>
      <c r="C654" s="1" t="s">
        <v>38</v>
      </c>
      <c r="D654" s="2" t="s">
        <v>838</v>
      </c>
      <c r="E654" s="2" t="s">
        <v>838</v>
      </c>
      <c r="F654" s="2" t="s">
        <v>11</v>
      </c>
      <c r="G654" s="3" t="s">
        <v>172</v>
      </c>
      <c r="H654" s="1" t="s">
        <v>12</v>
      </c>
      <c r="I654" s="1" t="s">
        <v>63</v>
      </c>
      <c r="J654" s="1" t="s">
        <v>14</v>
      </c>
    </row>
    <row r="655" spans="2:10" x14ac:dyDescent="0.3">
      <c r="B655" s="1" t="s">
        <v>1025</v>
      </c>
      <c r="C655" s="1" t="s">
        <v>28</v>
      </c>
      <c r="D655" s="2" t="s">
        <v>443</v>
      </c>
      <c r="E655" s="2" t="s">
        <v>443</v>
      </c>
      <c r="F655" s="2" t="s">
        <v>11</v>
      </c>
      <c r="G655" s="3" t="s">
        <v>548</v>
      </c>
      <c r="H655" s="1" t="s">
        <v>12</v>
      </c>
      <c r="I655" s="1" t="s">
        <v>74</v>
      </c>
      <c r="J655" s="1" t="s">
        <v>14</v>
      </c>
    </row>
    <row r="656" spans="2:10" x14ac:dyDescent="0.3">
      <c r="B656" s="1" t="s">
        <v>1025</v>
      </c>
      <c r="C656" s="1" t="s">
        <v>29</v>
      </c>
      <c r="D656" s="2" t="s">
        <v>248</v>
      </c>
      <c r="E656" s="2" t="s">
        <v>248</v>
      </c>
      <c r="F656" s="2" t="s">
        <v>11</v>
      </c>
      <c r="G656" s="3" t="s">
        <v>1034</v>
      </c>
      <c r="H656" s="1" t="s">
        <v>12</v>
      </c>
      <c r="I656" s="1" t="s">
        <v>16</v>
      </c>
      <c r="J656" s="1" t="s">
        <v>14</v>
      </c>
    </row>
    <row r="657" spans="2:10" x14ac:dyDescent="0.3">
      <c r="B657" s="1" t="s">
        <v>1025</v>
      </c>
      <c r="C657" s="1" t="s">
        <v>19</v>
      </c>
      <c r="D657" s="2" t="s">
        <v>836</v>
      </c>
      <c r="E657" s="2" t="s">
        <v>836</v>
      </c>
      <c r="F657" s="2" t="s">
        <v>11</v>
      </c>
      <c r="G657" s="3" t="s">
        <v>1035</v>
      </c>
      <c r="H657" s="1" t="s">
        <v>12</v>
      </c>
      <c r="I657" s="1" t="s">
        <v>16</v>
      </c>
      <c r="J657" s="1" t="s">
        <v>14</v>
      </c>
    </row>
    <row r="658" spans="2:10" x14ac:dyDescent="0.3">
      <c r="B658" s="1" t="s">
        <v>1025</v>
      </c>
      <c r="C658" s="1" t="s">
        <v>26</v>
      </c>
      <c r="D658" s="2" t="s">
        <v>476</v>
      </c>
      <c r="E658" s="2" t="s">
        <v>476</v>
      </c>
      <c r="F658" s="2" t="s">
        <v>11</v>
      </c>
      <c r="G658" s="3" t="s">
        <v>1036</v>
      </c>
      <c r="H658" s="1" t="s">
        <v>12</v>
      </c>
      <c r="I658" s="1" t="s">
        <v>66</v>
      </c>
      <c r="J658" s="1" t="s">
        <v>14</v>
      </c>
    </row>
    <row r="659" spans="2:10" x14ac:dyDescent="0.3">
      <c r="B659" s="1" t="s">
        <v>1025</v>
      </c>
      <c r="C659" s="1" t="s">
        <v>15</v>
      </c>
      <c r="D659" s="2" t="s">
        <v>268</v>
      </c>
      <c r="E659" s="2" t="s">
        <v>268</v>
      </c>
      <c r="F659" s="2" t="s">
        <v>11</v>
      </c>
      <c r="G659" s="3" t="s">
        <v>1037</v>
      </c>
      <c r="H659" s="1" t="s">
        <v>12</v>
      </c>
      <c r="I659" s="1" t="s">
        <v>62</v>
      </c>
      <c r="J659" s="1" t="s">
        <v>14</v>
      </c>
    </row>
    <row r="660" spans="2:10" x14ac:dyDescent="0.3">
      <c r="B660" s="1" t="s">
        <v>1025</v>
      </c>
      <c r="C660" s="1" t="s">
        <v>41</v>
      </c>
      <c r="D660" s="2" t="s">
        <v>240</v>
      </c>
      <c r="E660" s="2" t="s">
        <v>240</v>
      </c>
      <c r="F660" s="2" t="s">
        <v>11</v>
      </c>
      <c r="G660" s="3" t="s">
        <v>113</v>
      </c>
      <c r="H660" s="1" t="s">
        <v>12</v>
      </c>
      <c r="I660" s="1" t="s">
        <v>1038</v>
      </c>
      <c r="J660" s="1" t="s">
        <v>14</v>
      </c>
    </row>
    <row r="661" spans="2:10" x14ac:dyDescent="0.3">
      <c r="B661" s="1" t="s">
        <v>1025</v>
      </c>
      <c r="C661" s="1" t="s">
        <v>21</v>
      </c>
      <c r="D661" s="2" t="s">
        <v>476</v>
      </c>
      <c r="E661" s="2" t="s">
        <v>476</v>
      </c>
      <c r="F661" s="2" t="s">
        <v>11</v>
      </c>
      <c r="G661" s="3" t="s">
        <v>1039</v>
      </c>
      <c r="H661" s="1" t="s">
        <v>12</v>
      </c>
      <c r="I661" s="1" t="s">
        <v>49</v>
      </c>
      <c r="J661" s="1" t="s">
        <v>14</v>
      </c>
    </row>
    <row r="662" spans="2:10" x14ac:dyDescent="0.3">
      <c r="B662" s="1" t="s">
        <v>1025</v>
      </c>
      <c r="C662" s="1" t="s">
        <v>45</v>
      </c>
      <c r="D662" s="2" t="s">
        <v>251</v>
      </c>
      <c r="E662" s="2" t="s">
        <v>251</v>
      </c>
      <c r="F662" s="2" t="s">
        <v>11</v>
      </c>
      <c r="G662" s="3" t="s">
        <v>1040</v>
      </c>
      <c r="H662" s="1" t="s">
        <v>12</v>
      </c>
      <c r="I662" s="1" t="s">
        <v>65</v>
      </c>
      <c r="J662" s="1" t="s">
        <v>14</v>
      </c>
    </row>
    <row r="663" spans="2:10" x14ac:dyDescent="0.3">
      <c r="B663" s="1" t="s">
        <v>1025</v>
      </c>
      <c r="C663" s="1" t="s">
        <v>36</v>
      </c>
      <c r="D663" s="2" t="s">
        <v>248</v>
      </c>
      <c r="E663" s="2" t="s">
        <v>248</v>
      </c>
      <c r="F663" s="2" t="s">
        <v>11</v>
      </c>
      <c r="G663" s="3" t="s">
        <v>1041</v>
      </c>
      <c r="H663" s="1" t="s">
        <v>12</v>
      </c>
      <c r="I663" s="1" t="s">
        <v>104</v>
      </c>
      <c r="J663" s="1" t="s">
        <v>14</v>
      </c>
    </row>
    <row r="664" spans="2:10" x14ac:dyDescent="0.3">
      <c r="B664" s="1" t="s">
        <v>1025</v>
      </c>
      <c r="C664" s="1" t="s">
        <v>35</v>
      </c>
      <c r="D664" s="2" t="s">
        <v>476</v>
      </c>
      <c r="E664" s="2" t="s">
        <v>476</v>
      </c>
      <c r="F664" s="2" t="s">
        <v>11</v>
      </c>
      <c r="G664" s="3" t="s">
        <v>533</v>
      </c>
      <c r="H664" s="1" t="s">
        <v>12</v>
      </c>
      <c r="I664" s="1" t="s">
        <v>59</v>
      </c>
      <c r="J664" s="1" t="s">
        <v>14</v>
      </c>
    </row>
    <row r="665" spans="2:10" x14ac:dyDescent="0.3">
      <c r="B665" s="1" t="s">
        <v>1025</v>
      </c>
      <c r="C665" s="1" t="s">
        <v>10</v>
      </c>
      <c r="D665" s="2" t="s">
        <v>476</v>
      </c>
      <c r="E665" s="2" t="s">
        <v>476</v>
      </c>
      <c r="F665" s="2" t="s">
        <v>11</v>
      </c>
      <c r="G665" s="3" t="s">
        <v>1042</v>
      </c>
      <c r="H665" s="1" t="s">
        <v>12</v>
      </c>
      <c r="I665" s="1" t="s">
        <v>51</v>
      </c>
      <c r="J665" s="1" t="s">
        <v>14</v>
      </c>
    </row>
    <row r="666" spans="2:10" x14ac:dyDescent="0.3">
      <c r="B666" s="1" t="s">
        <v>1043</v>
      </c>
      <c r="C666" s="1" t="s">
        <v>26</v>
      </c>
      <c r="D666" s="2" t="s">
        <v>700</v>
      </c>
      <c r="E666" s="2" t="s">
        <v>700</v>
      </c>
      <c r="F666" s="2" t="s">
        <v>11</v>
      </c>
      <c r="G666" s="3" t="s">
        <v>445</v>
      </c>
      <c r="H666" s="1" t="s">
        <v>12</v>
      </c>
      <c r="I666" s="1" t="s">
        <v>44</v>
      </c>
      <c r="J666" s="1" t="s">
        <v>14</v>
      </c>
    </row>
    <row r="667" spans="2:10" x14ac:dyDescent="0.3">
      <c r="B667" s="1" t="s">
        <v>1043</v>
      </c>
      <c r="C667" s="1" t="s">
        <v>24</v>
      </c>
      <c r="D667" s="2" t="s">
        <v>251</v>
      </c>
      <c r="E667" s="2" t="s">
        <v>251</v>
      </c>
      <c r="F667" s="2" t="s">
        <v>11</v>
      </c>
      <c r="G667" s="3" t="s">
        <v>1044</v>
      </c>
      <c r="H667" s="1" t="s">
        <v>12</v>
      </c>
      <c r="I667" s="1" t="s">
        <v>29</v>
      </c>
      <c r="J667" s="1" t="s">
        <v>14</v>
      </c>
    </row>
    <row r="668" spans="2:10" x14ac:dyDescent="0.3">
      <c r="B668" s="1" t="s">
        <v>1043</v>
      </c>
      <c r="C668" s="1" t="s">
        <v>45</v>
      </c>
      <c r="D668" s="2" t="s">
        <v>700</v>
      </c>
      <c r="E668" s="2" t="s">
        <v>700</v>
      </c>
      <c r="F668" s="2" t="s">
        <v>11</v>
      </c>
      <c r="G668" s="3" t="s">
        <v>724</v>
      </c>
      <c r="H668" s="1" t="s">
        <v>12</v>
      </c>
      <c r="I668" s="1" t="s">
        <v>13</v>
      </c>
      <c r="J668" s="1" t="s">
        <v>14</v>
      </c>
    </row>
    <row r="669" spans="2:10" x14ac:dyDescent="0.3">
      <c r="B669" s="1" t="s">
        <v>1043</v>
      </c>
      <c r="C669" s="1" t="s">
        <v>23</v>
      </c>
      <c r="D669" s="2" t="s">
        <v>439</v>
      </c>
      <c r="E669" s="2" t="s">
        <v>439</v>
      </c>
      <c r="F669" s="2" t="s">
        <v>11</v>
      </c>
      <c r="G669" s="3" t="s">
        <v>557</v>
      </c>
      <c r="H669" s="1" t="s">
        <v>12</v>
      </c>
      <c r="I669" s="1" t="s">
        <v>51</v>
      </c>
      <c r="J669" s="1" t="s">
        <v>14</v>
      </c>
    </row>
    <row r="670" spans="2:10" x14ac:dyDescent="0.3">
      <c r="B670" s="1" t="s">
        <v>1043</v>
      </c>
      <c r="C670" s="1" t="s">
        <v>46</v>
      </c>
      <c r="D670" s="2" t="s">
        <v>700</v>
      </c>
      <c r="E670" s="2" t="s">
        <v>700</v>
      </c>
      <c r="F670" s="2" t="s">
        <v>11</v>
      </c>
      <c r="G670" s="3" t="s">
        <v>1045</v>
      </c>
      <c r="H670" s="1" t="s">
        <v>12</v>
      </c>
      <c r="I670" s="1" t="s">
        <v>89</v>
      </c>
      <c r="J670" s="1" t="s">
        <v>14</v>
      </c>
    </row>
    <row r="671" spans="2:10" x14ac:dyDescent="0.3">
      <c r="B671" s="1" t="s">
        <v>1043</v>
      </c>
      <c r="C671" s="1" t="s">
        <v>21</v>
      </c>
      <c r="D671" s="2" t="s">
        <v>1046</v>
      </c>
      <c r="E671" s="2" t="s">
        <v>1047</v>
      </c>
      <c r="F671" s="2" t="s">
        <v>11</v>
      </c>
      <c r="G671" s="3" t="s">
        <v>1048</v>
      </c>
      <c r="H671" s="1" t="s">
        <v>12</v>
      </c>
      <c r="I671" s="1" t="s">
        <v>63</v>
      </c>
      <c r="J671" s="1" t="s">
        <v>52</v>
      </c>
    </row>
    <row r="672" spans="2:10" x14ac:dyDescent="0.3">
      <c r="B672" s="1" t="s">
        <v>1043</v>
      </c>
      <c r="C672" s="1" t="s">
        <v>36</v>
      </c>
      <c r="D672" s="2" t="s">
        <v>393</v>
      </c>
      <c r="E672" s="2" t="s">
        <v>393</v>
      </c>
      <c r="F672" s="2" t="s">
        <v>11</v>
      </c>
      <c r="G672" s="3" t="s">
        <v>1049</v>
      </c>
      <c r="H672" s="1" t="s">
        <v>12</v>
      </c>
      <c r="I672" s="1" t="s">
        <v>62</v>
      </c>
      <c r="J672" s="1" t="s">
        <v>14</v>
      </c>
    </row>
    <row r="673" spans="2:10" x14ac:dyDescent="0.3">
      <c r="B673" s="1" t="s">
        <v>1043</v>
      </c>
      <c r="C673" s="1" t="s">
        <v>29</v>
      </c>
      <c r="D673" s="2" t="s">
        <v>777</v>
      </c>
      <c r="E673" s="2" t="s">
        <v>777</v>
      </c>
      <c r="F673" s="2" t="s">
        <v>11</v>
      </c>
      <c r="G673" s="3" t="s">
        <v>1050</v>
      </c>
      <c r="H673" s="1" t="s">
        <v>12</v>
      </c>
      <c r="I673" s="1" t="s">
        <v>29</v>
      </c>
      <c r="J673" s="1" t="s">
        <v>14</v>
      </c>
    </row>
    <row r="674" spans="2:10" x14ac:dyDescent="0.3">
      <c r="B674" s="1" t="s">
        <v>1043</v>
      </c>
      <c r="C674" s="1" t="s">
        <v>19</v>
      </c>
      <c r="D674" s="2" t="s">
        <v>783</v>
      </c>
      <c r="E674" s="2" t="s">
        <v>783</v>
      </c>
      <c r="F674" s="2" t="s">
        <v>11</v>
      </c>
      <c r="G674" s="3" t="s">
        <v>1051</v>
      </c>
      <c r="H674" s="1" t="s">
        <v>12</v>
      </c>
      <c r="I674" s="1" t="s">
        <v>66</v>
      </c>
      <c r="J674" s="1" t="s">
        <v>14</v>
      </c>
    </row>
    <row r="675" spans="2:10" x14ac:dyDescent="0.3">
      <c r="B675" s="1" t="s">
        <v>1043</v>
      </c>
      <c r="C675" s="1" t="s">
        <v>17</v>
      </c>
      <c r="D675" s="2" t="s">
        <v>700</v>
      </c>
      <c r="E675" s="2" t="s">
        <v>700</v>
      </c>
      <c r="F675" s="2" t="s">
        <v>11</v>
      </c>
      <c r="G675" s="3" t="s">
        <v>1052</v>
      </c>
      <c r="H675" s="1" t="s">
        <v>12</v>
      </c>
      <c r="I675" s="1" t="s">
        <v>64</v>
      </c>
      <c r="J675" s="1" t="s">
        <v>14</v>
      </c>
    </row>
    <row r="676" spans="2:10" x14ac:dyDescent="0.3">
      <c r="B676" s="1" t="s">
        <v>1043</v>
      </c>
      <c r="C676" s="1" t="s">
        <v>28</v>
      </c>
      <c r="D676" s="2" t="s">
        <v>187</v>
      </c>
      <c r="E676" s="2" t="s">
        <v>187</v>
      </c>
      <c r="F676" s="2" t="s">
        <v>11</v>
      </c>
      <c r="G676" s="3" t="s">
        <v>1053</v>
      </c>
      <c r="H676" s="1" t="s">
        <v>12</v>
      </c>
      <c r="I676" s="1" t="s">
        <v>101</v>
      </c>
      <c r="J676" s="1" t="s">
        <v>14</v>
      </c>
    </row>
    <row r="677" spans="2:10" x14ac:dyDescent="0.3">
      <c r="B677" s="1" t="s">
        <v>1043</v>
      </c>
      <c r="C677" s="1" t="s">
        <v>33</v>
      </c>
      <c r="D677" s="2" t="s">
        <v>700</v>
      </c>
      <c r="E677" s="2" t="s">
        <v>700</v>
      </c>
      <c r="F677" s="2" t="s">
        <v>11</v>
      </c>
      <c r="G677" s="3" t="s">
        <v>1054</v>
      </c>
      <c r="H677" s="1" t="s">
        <v>12</v>
      </c>
      <c r="I677" s="1" t="s">
        <v>18</v>
      </c>
      <c r="J677" s="1" t="s">
        <v>14</v>
      </c>
    </row>
    <row r="678" spans="2:10" x14ac:dyDescent="0.3">
      <c r="B678" s="1" t="s">
        <v>1043</v>
      </c>
      <c r="C678" s="1" t="s">
        <v>15</v>
      </c>
      <c r="D678" s="2" t="s">
        <v>439</v>
      </c>
      <c r="E678" s="2" t="s">
        <v>439</v>
      </c>
      <c r="F678" s="2" t="s">
        <v>11</v>
      </c>
      <c r="G678" s="3" t="s">
        <v>1055</v>
      </c>
      <c r="H678" s="1" t="s">
        <v>12</v>
      </c>
      <c r="I678" s="1" t="s">
        <v>51</v>
      </c>
      <c r="J678" s="1" t="s">
        <v>14</v>
      </c>
    </row>
    <row r="679" spans="2:10" x14ac:dyDescent="0.3">
      <c r="B679" s="1" t="s">
        <v>1043</v>
      </c>
      <c r="C679" s="1" t="s">
        <v>39</v>
      </c>
      <c r="D679" s="2" t="s">
        <v>700</v>
      </c>
      <c r="E679" s="2" t="s">
        <v>700</v>
      </c>
      <c r="F679" s="2" t="s">
        <v>11</v>
      </c>
      <c r="G679" s="3" t="s">
        <v>1056</v>
      </c>
      <c r="H679" s="1" t="s">
        <v>12</v>
      </c>
      <c r="I679" s="1" t="s">
        <v>67</v>
      </c>
      <c r="J679" s="1" t="s">
        <v>14</v>
      </c>
    </row>
    <row r="680" spans="2:10" x14ac:dyDescent="0.3">
      <c r="B680" s="1" t="s">
        <v>1043</v>
      </c>
      <c r="C680" s="1" t="s">
        <v>35</v>
      </c>
      <c r="D680" s="2" t="s">
        <v>777</v>
      </c>
      <c r="E680" s="2" t="s">
        <v>777</v>
      </c>
      <c r="F680" s="2" t="s">
        <v>11</v>
      </c>
      <c r="G680" s="3" t="s">
        <v>1057</v>
      </c>
      <c r="H680" s="1" t="s">
        <v>12</v>
      </c>
      <c r="I680" s="1" t="s">
        <v>29</v>
      </c>
      <c r="J680" s="1" t="s">
        <v>14</v>
      </c>
    </row>
    <row r="681" spans="2:10" x14ac:dyDescent="0.3">
      <c r="B681" s="1" t="s">
        <v>1043</v>
      </c>
      <c r="C681" s="1" t="s">
        <v>38</v>
      </c>
      <c r="D681" s="2" t="s">
        <v>393</v>
      </c>
      <c r="E681" s="2" t="s">
        <v>393</v>
      </c>
      <c r="F681" s="2" t="s">
        <v>11</v>
      </c>
      <c r="G681" s="3" t="s">
        <v>1058</v>
      </c>
      <c r="H681" s="1" t="s">
        <v>12</v>
      </c>
      <c r="I681" s="1" t="s">
        <v>66</v>
      </c>
      <c r="J681" s="1" t="s">
        <v>14</v>
      </c>
    </row>
    <row r="682" spans="2:10" x14ac:dyDescent="0.3">
      <c r="B682" s="1" t="s">
        <v>1043</v>
      </c>
      <c r="C682" s="1" t="s">
        <v>43</v>
      </c>
      <c r="D682" s="2" t="s">
        <v>187</v>
      </c>
      <c r="E682" s="2" t="s">
        <v>187</v>
      </c>
      <c r="F682" s="2" t="s">
        <v>11</v>
      </c>
      <c r="G682" s="3" t="s">
        <v>1059</v>
      </c>
      <c r="H682" s="1" t="s">
        <v>12</v>
      </c>
      <c r="I682" s="1" t="s">
        <v>76</v>
      </c>
      <c r="J682" s="1" t="s">
        <v>14</v>
      </c>
    </row>
    <row r="683" spans="2:10" x14ac:dyDescent="0.3">
      <c r="B683" s="1" t="s">
        <v>1043</v>
      </c>
      <c r="C683" s="1" t="s">
        <v>10</v>
      </c>
      <c r="D683" s="2" t="s">
        <v>859</v>
      </c>
      <c r="E683" s="2" t="s">
        <v>859</v>
      </c>
      <c r="F683" s="2" t="s">
        <v>11</v>
      </c>
      <c r="G683" s="3" t="s">
        <v>114</v>
      </c>
      <c r="H683" s="1" t="s">
        <v>12</v>
      </c>
      <c r="I683" s="1" t="s">
        <v>25</v>
      </c>
      <c r="J683" s="1" t="s">
        <v>14</v>
      </c>
    </row>
    <row r="684" spans="2:10" x14ac:dyDescent="0.3">
      <c r="B684" s="1" t="s">
        <v>1043</v>
      </c>
      <c r="C684" s="1" t="s">
        <v>41</v>
      </c>
      <c r="D684" s="2" t="s">
        <v>187</v>
      </c>
      <c r="E684" s="2" t="s">
        <v>187</v>
      </c>
      <c r="F684" s="2" t="s">
        <v>11</v>
      </c>
      <c r="G684" s="3" t="s">
        <v>324</v>
      </c>
      <c r="H684" s="1" t="s">
        <v>12</v>
      </c>
      <c r="I684" s="1" t="s">
        <v>49</v>
      </c>
      <c r="J684" s="1" t="s">
        <v>14</v>
      </c>
    </row>
    <row r="685" spans="2:10" x14ac:dyDescent="0.3">
      <c r="B685" s="1" t="s">
        <v>1043</v>
      </c>
      <c r="C685" s="1" t="s">
        <v>31</v>
      </c>
      <c r="D685" s="2" t="s">
        <v>700</v>
      </c>
      <c r="E685" s="2" t="s">
        <v>700</v>
      </c>
      <c r="F685" s="2" t="s">
        <v>11</v>
      </c>
      <c r="G685" s="3" t="s">
        <v>1060</v>
      </c>
      <c r="H685" s="1" t="s">
        <v>12</v>
      </c>
      <c r="I685" s="1" t="s">
        <v>30</v>
      </c>
      <c r="J685" s="1" t="s">
        <v>14</v>
      </c>
    </row>
    <row r="686" spans="2:10" x14ac:dyDescent="0.3">
      <c r="B686" s="1" t="s">
        <v>1061</v>
      </c>
      <c r="C686" s="1" t="s">
        <v>33</v>
      </c>
      <c r="D686" s="2" t="s">
        <v>622</v>
      </c>
      <c r="E686" s="2" t="s">
        <v>622</v>
      </c>
      <c r="F686" s="2" t="s">
        <v>11</v>
      </c>
      <c r="G686" s="3" t="s">
        <v>1062</v>
      </c>
      <c r="H686" s="1" t="s">
        <v>12</v>
      </c>
      <c r="I686" s="1" t="s">
        <v>13</v>
      </c>
      <c r="J686" s="1" t="s">
        <v>14</v>
      </c>
    </row>
    <row r="687" spans="2:10" x14ac:dyDescent="0.3">
      <c r="B687" s="1" t="s">
        <v>1061</v>
      </c>
      <c r="C687" s="1" t="s">
        <v>24</v>
      </c>
      <c r="D687" s="2" t="s">
        <v>1063</v>
      </c>
      <c r="E687" s="2" t="s">
        <v>1063</v>
      </c>
      <c r="F687" s="2" t="s">
        <v>11</v>
      </c>
      <c r="G687" s="3" t="s">
        <v>1064</v>
      </c>
      <c r="H687" s="1" t="s">
        <v>12</v>
      </c>
      <c r="I687" s="1" t="s">
        <v>50</v>
      </c>
      <c r="J687" s="1" t="s">
        <v>14</v>
      </c>
    </row>
    <row r="688" spans="2:10" x14ac:dyDescent="0.3">
      <c r="B688" s="1" t="s">
        <v>1061</v>
      </c>
      <c r="C688" s="1" t="s">
        <v>45</v>
      </c>
      <c r="D688" s="2" t="s">
        <v>622</v>
      </c>
      <c r="E688" s="2" t="s">
        <v>622</v>
      </c>
      <c r="F688" s="2" t="s">
        <v>11</v>
      </c>
      <c r="G688" s="3" t="s">
        <v>1065</v>
      </c>
      <c r="H688" s="1" t="s">
        <v>12</v>
      </c>
      <c r="I688" s="1" t="s">
        <v>32</v>
      </c>
      <c r="J688" s="1" t="s">
        <v>14</v>
      </c>
    </row>
    <row r="689" spans="2:10" x14ac:dyDescent="0.3">
      <c r="B689" s="1" t="s">
        <v>1061</v>
      </c>
      <c r="C689" s="1" t="s">
        <v>26</v>
      </c>
      <c r="D689" s="2" t="s">
        <v>572</v>
      </c>
      <c r="E689" s="2" t="s">
        <v>572</v>
      </c>
      <c r="F689" s="2" t="s">
        <v>11</v>
      </c>
      <c r="G689" s="3" t="s">
        <v>1066</v>
      </c>
      <c r="H689" s="1" t="s">
        <v>12</v>
      </c>
      <c r="I689" s="1" t="s">
        <v>51</v>
      </c>
      <c r="J689" s="1" t="s">
        <v>14</v>
      </c>
    </row>
    <row r="690" spans="2:10" x14ac:dyDescent="0.3">
      <c r="B690" s="1" t="s">
        <v>1061</v>
      </c>
      <c r="C690" s="1" t="s">
        <v>36</v>
      </c>
      <c r="D690" s="2" t="s">
        <v>622</v>
      </c>
      <c r="E690" s="2" t="s">
        <v>622</v>
      </c>
      <c r="F690" s="2" t="s">
        <v>11</v>
      </c>
      <c r="G690" s="3" t="s">
        <v>1067</v>
      </c>
      <c r="H690" s="1" t="s">
        <v>12</v>
      </c>
      <c r="I690" s="1" t="s">
        <v>22</v>
      </c>
      <c r="J690" s="1" t="s">
        <v>14</v>
      </c>
    </row>
    <row r="691" spans="2:10" x14ac:dyDescent="0.3">
      <c r="B691" s="1" t="s">
        <v>1061</v>
      </c>
      <c r="C691" s="1" t="s">
        <v>35</v>
      </c>
      <c r="D691" s="2" t="s">
        <v>620</v>
      </c>
      <c r="E691" s="2" t="s">
        <v>620</v>
      </c>
      <c r="F691" s="2" t="s">
        <v>11</v>
      </c>
      <c r="G691" s="3" t="s">
        <v>854</v>
      </c>
      <c r="H691" s="1" t="s">
        <v>12</v>
      </c>
      <c r="I691" s="1" t="s">
        <v>25</v>
      </c>
      <c r="J691" s="1" t="s">
        <v>14</v>
      </c>
    </row>
    <row r="692" spans="2:10" x14ac:dyDescent="0.3">
      <c r="B692" s="1" t="s">
        <v>1061</v>
      </c>
      <c r="C692" s="1" t="s">
        <v>46</v>
      </c>
      <c r="D692" s="2" t="s">
        <v>1068</v>
      </c>
      <c r="E692" s="2" t="s">
        <v>1068</v>
      </c>
      <c r="F692" s="2" t="s">
        <v>11</v>
      </c>
      <c r="G692" s="3" t="s">
        <v>1069</v>
      </c>
      <c r="H692" s="1" t="s">
        <v>12</v>
      </c>
      <c r="I692" s="1" t="s">
        <v>22</v>
      </c>
      <c r="J692" s="1" t="s">
        <v>14</v>
      </c>
    </row>
    <row r="693" spans="2:10" x14ac:dyDescent="0.3">
      <c r="B693" s="1" t="s">
        <v>1061</v>
      </c>
      <c r="C693" s="1" t="s">
        <v>17</v>
      </c>
      <c r="D693" s="2" t="s">
        <v>1070</v>
      </c>
      <c r="E693" s="2" t="s">
        <v>1070</v>
      </c>
      <c r="F693" s="2" t="s">
        <v>11</v>
      </c>
      <c r="G693" s="3" t="s">
        <v>1071</v>
      </c>
      <c r="H693" s="1" t="s">
        <v>12</v>
      </c>
      <c r="I693" s="1" t="s">
        <v>66</v>
      </c>
      <c r="J693" s="1" t="s">
        <v>14</v>
      </c>
    </row>
    <row r="694" spans="2:10" x14ac:dyDescent="0.3">
      <c r="B694" s="1" t="s">
        <v>1061</v>
      </c>
      <c r="C694" s="1" t="s">
        <v>31</v>
      </c>
      <c r="D694" s="2" t="s">
        <v>1072</v>
      </c>
      <c r="E694" s="2" t="s">
        <v>1072</v>
      </c>
      <c r="F694" s="2" t="s">
        <v>11</v>
      </c>
      <c r="G694" s="3" t="s">
        <v>1073</v>
      </c>
      <c r="H694" s="1" t="s">
        <v>12</v>
      </c>
      <c r="I694" s="1" t="s">
        <v>18</v>
      </c>
      <c r="J694" s="1" t="s">
        <v>14</v>
      </c>
    </row>
    <row r="695" spans="2:10" x14ac:dyDescent="0.3">
      <c r="B695" s="1" t="s">
        <v>1061</v>
      </c>
      <c r="C695" s="1" t="s">
        <v>19</v>
      </c>
      <c r="D695" s="2" t="s">
        <v>1068</v>
      </c>
      <c r="E695" s="2" t="s">
        <v>1068</v>
      </c>
      <c r="F695" s="2" t="s">
        <v>11</v>
      </c>
      <c r="G695" s="3" t="s">
        <v>1074</v>
      </c>
      <c r="H695" s="1" t="s">
        <v>12</v>
      </c>
      <c r="I695" s="1" t="s">
        <v>69</v>
      </c>
      <c r="J695" s="1" t="s">
        <v>14</v>
      </c>
    </row>
    <row r="696" spans="2:10" x14ac:dyDescent="0.3">
      <c r="B696" s="1" t="s">
        <v>1061</v>
      </c>
      <c r="C696" s="1" t="s">
        <v>29</v>
      </c>
      <c r="D696" s="2" t="s">
        <v>1075</v>
      </c>
      <c r="E696" s="2" t="s">
        <v>1075</v>
      </c>
      <c r="F696" s="2" t="s">
        <v>11</v>
      </c>
      <c r="G696" s="3" t="s">
        <v>1076</v>
      </c>
      <c r="H696" s="1" t="s">
        <v>12</v>
      </c>
      <c r="I696" s="1" t="s">
        <v>30</v>
      </c>
      <c r="J696" s="1" t="s">
        <v>14</v>
      </c>
    </row>
    <row r="697" spans="2:10" x14ac:dyDescent="0.3">
      <c r="B697" s="1" t="s">
        <v>1061</v>
      </c>
      <c r="C697" s="1" t="s">
        <v>23</v>
      </c>
      <c r="D697" s="2" t="s">
        <v>1077</v>
      </c>
      <c r="E697" s="2" t="s">
        <v>1077</v>
      </c>
      <c r="F697" s="2" t="s">
        <v>11</v>
      </c>
      <c r="G697" s="3" t="s">
        <v>1078</v>
      </c>
      <c r="H697" s="1" t="s">
        <v>12</v>
      </c>
      <c r="I697" s="1" t="s">
        <v>60</v>
      </c>
      <c r="J697" s="1" t="s">
        <v>14</v>
      </c>
    </row>
    <row r="698" spans="2:10" x14ac:dyDescent="0.3">
      <c r="B698" s="1" t="s">
        <v>1061</v>
      </c>
      <c r="C698" s="1" t="s">
        <v>41</v>
      </c>
      <c r="D698" s="2" t="s">
        <v>1068</v>
      </c>
      <c r="E698" s="2" t="s">
        <v>1068</v>
      </c>
      <c r="F698" s="2" t="s">
        <v>11</v>
      </c>
      <c r="G698" s="3" t="s">
        <v>930</v>
      </c>
      <c r="H698" s="1" t="s">
        <v>12</v>
      </c>
      <c r="I698" s="1" t="s">
        <v>55</v>
      </c>
      <c r="J698" s="1" t="s">
        <v>14</v>
      </c>
    </row>
    <row r="699" spans="2:10" x14ac:dyDescent="0.3">
      <c r="B699" s="1" t="s">
        <v>1061</v>
      </c>
      <c r="C699" s="1" t="s">
        <v>28</v>
      </c>
      <c r="D699" s="2" t="s">
        <v>1072</v>
      </c>
      <c r="E699" s="2" t="s">
        <v>1072</v>
      </c>
      <c r="F699" s="2" t="s">
        <v>11</v>
      </c>
      <c r="G699" s="3" t="s">
        <v>1079</v>
      </c>
      <c r="H699" s="1" t="s">
        <v>12</v>
      </c>
      <c r="I699" s="1" t="s">
        <v>44</v>
      </c>
      <c r="J699" s="1" t="s">
        <v>14</v>
      </c>
    </row>
    <row r="700" spans="2:10" x14ac:dyDescent="0.3">
      <c r="B700" s="1" t="s">
        <v>1061</v>
      </c>
      <c r="C700" s="1" t="s">
        <v>38</v>
      </c>
      <c r="D700" s="2" t="s">
        <v>1080</v>
      </c>
      <c r="E700" s="2" t="s">
        <v>1080</v>
      </c>
      <c r="F700" s="2" t="s">
        <v>11</v>
      </c>
      <c r="G700" s="3" t="s">
        <v>1081</v>
      </c>
      <c r="H700" s="1" t="s">
        <v>12</v>
      </c>
      <c r="I700" s="1" t="s">
        <v>37</v>
      </c>
      <c r="J700" s="1" t="s">
        <v>14</v>
      </c>
    </row>
    <row r="701" spans="2:10" x14ac:dyDescent="0.3">
      <c r="B701" s="1" t="s">
        <v>1061</v>
      </c>
      <c r="C701" s="1" t="s">
        <v>43</v>
      </c>
      <c r="D701" s="2" t="s">
        <v>622</v>
      </c>
      <c r="E701" s="2" t="s">
        <v>622</v>
      </c>
      <c r="F701" s="2" t="s">
        <v>11</v>
      </c>
      <c r="G701" s="3" t="s">
        <v>1082</v>
      </c>
      <c r="H701" s="1" t="s">
        <v>12</v>
      </c>
      <c r="I701" s="1" t="s">
        <v>40</v>
      </c>
      <c r="J701" s="1" t="s">
        <v>14</v>
      </c>
    </row>
    <row r="702" spans="2:10" x14ac:dyDescent="0.3">
      <c r="B702" s="1" t="s">
        <v>1061</v>
      </c>
      <c r="C702" s="1" t="s">
        <v>39</v>
      </c>
      <c r="D702" s="2" t="s">
        <v>1075</v>
      </c>
      <c r="E702" s="2" t="s">
        <v>1075</v>
      </c>
      <c r="F702" s="2" t="s">
        <v>11</v>
      </c>
      <c r="G702" s="3" t="s">
        <v>1083</v>
      </c>
      <c r="H702" s="1" t="s">
        <v>12</v>
      </c>
      <c r="I702" s="1" t="s">
        <v>55</v>
      </c>
      <c r="J702" s="1" t="s">
        <v>14</v>
      </c>
    </row>
    <row r="703" spans="2:10" x14ac:dyDescent="0.3">
      <c r="B703" s="1" t="s">
        <v>1061</v>
      </c>
      <c r="C703" s="1" t="s">
        <v>15</v>
      </c>
      <c r="D703" s="2" t="s">
        <v>622</v>
      </c>
      <c r="E703" s="2" t="s">
        <v>622</v>
      </c>
      <c r="F703" s="2" t="s">
        <v>11</v>
      </c>
      <c r="G703" s="3" t="s">
        <v>1084</v>
      </c>
      <c r="H703" s="1" t="s">
        <v>12</v>
      </c>
      <c r="I703" s="1" t="s">
        <v>50</v>
      </c>
      <c r="J703" s="1" t="s">
        <v>14</v>
      </c>
    </row>
    <row r="704" spans="2:10" x14ac:dyDescent="0.3">
      <c r="B704" s="1" t="s">
        <v>1061</v>
      </c>
      <c r="C704" s="1" t="s">
        <v>10</v>
      </c>
      <c r="D704" s="2" t="s">
        <v>572</v>
      </c>
      <c r="E704" s="2" t="s">
        <v>572</v>
      </c>
      <c r="F704" s="2" t="s">
        <v>11</v>
      </c>
      <c r="G704" s="3" t="s">
        <v>1001</v>
      </c>
      <c r="H704" s="1" t="s">
        <v>12</v>
      </c>
      <c r="I704" s="1" t="s">
        <v>32</v>
      </c>
      <c r="J704" s="1" t="s">
        <v>14</v>
      </c>
    </row>
    <row r="705" spans="2:10" x14ac:dyDescent="0.3">
      <c r="B705" s="1" t="s">
        <v>1061</v>
      </c>
      <c r="C705" s="1" t="s">
        <v>21</v>
      </c>
      <c r="D705" s="2" t="s">
        <v>1068</v>
      </c>
      <c r="E705" s="2" t="s">
        <v>1068</v>
      </c>
      <c r="F705" s="2" t="s">
        <v>11</v>
      </c>
      <c r="G705" s="3" t="s">
        <v>1085</v>
      </c>
      <c r="H705" s="1" t="s">
        <v>12</v>
      </c>
      <c r="I705" s="1" t="s">
        <v>56</v>
      </c>
      <c r="J705" s="1" t="s">
        <v>14</v>
      </c>
    </row>
    <row r="706" spans="2:10" x14ac:dyDescent="0.3">
      <c r="B706" s="1" t="s">
        <v>1086</v>
      </c>
      <c r="C706" s="1" t="s">
        <v>15</v>
      </c>
      <c r="D706" s="2" t="s">
        <v>686</v>
      </c>
      <c r="E706" s="2" t="s">
        <v>686</v>
      </c>
      <c r="F706" s="2" t="s">
        <v>11</v>
      </c>
      <c r="G706" s="3" t="s">
        <v>1087</v>
      </c>
      <c r="H706" s="1" t="s">
        <v>12</v>
      </c>
      <c r="I706" s="1" t="s">
        <v>56</v>
      </c>
      <c r="J706" s="1" t="s">
        <v>14</v>
      </c>
    </row>
    <row r="707" spans="2:10" x14ac:dyDescent="0.3">
      <c r="B707" s="1" t="s">
        <v>1086</v>
      </c>
      <c r="C707" s="1" t="s">
        <v>43</v>
      </c>
      <c r="D707" s="2" t="s">
        <v>332</v>
      </c>
      <c r="E707" s="2" t="s">
        <v>1088</v>
      </c>
      <c r="F707" s="2" t="s">
        <v>11</v>
      </c>
      <c r="G707" s="3" t="s">
        <v>1089</v>
      </c>
      <c r="H707" s="1" t="s">
        <v>12</v>
      </c>
      <c r="I707" s="1" t="s">
        <v>15</v>
      </c>
      <c r="J707" s="1" t="s">
        <v>52</v>
      </c>
    </row>
    <row r="708" spans="2:10" x14ac:dyDescent="0.3">
      <c r="B708" s="1" t="s">
        <v>1086</v>
      </c>
      <c r="C708" s="1" t="s">
        <v>41</v>
      </c>
      <c r="D708" s="2" t="s">
        <v>692</v>
      </c>
      <c r="E708" s="2" t="s">
        <v>692</v>
      </c>
      <c r="F708" s="2" t="s">
        <v>11</v>
      </c>
      <c r="G708" s="3" t="s">
        <v>1090</v>
      </c>
      <c r="H708" s="1" t="s">
        <v>12</v>
      </c>
      <c r="I708" s="1" t="s">
        <v>16</v>
      </c>
      <c r="J708" s="1" t="s">
        <v>14</v>
      </c>
    </row>
    <row r="709" spans="2:10" x14ac:dyDescent="0.3">
      <c r="B709" s="1" t="s">
        <v>1086</v>
      </c>
      <c r="C709" s="1" t="s">
        <v>45</v>
      </c>
      <c r="D709" s="2" t="s">
        <v>1063</v>
      </c>
      <c r="E709" s="2" t="s">
        <v>387</v>
      </c>
      <c r="F709" s="2" t="s">
        <v>11</v>
      </c>
      <c r="G709" s="3" t="s">
        <v>1091</v>
      </c>
      <c r="H709" s="1" t="s">
        <v>12</v>
      </c>
      <c r="I709" s="1" t="s">
        <v>46</v>
      </c>
      <c r="J709" s="1" t="s">
        <v>52</v>
      </c>
    </row>
    <row r="710" spans="2:10" x14ac:dyDescent="0.3">
      <c r="B710" s="1" t="s">
        <v>1086</v>
      </c>
      <c r="C710" s="1" t="s">
        <v>38</v>
      </c>
      <c r="D710" s="2" t="s">
        <v>216</v>
      </c>
      <c r="E710" s="2" t="s">
        <v>216</v>
      </c>
      <c r="F710" s="2" t="s">
        <v>11</v>
      </c>
      <c r="G710" s="3" t="s">
        <v>472</v>
      </c>
      <c r="H710" s="1" t="s">
        <v>12</v>
      </c>
      <c r="I710" s="1" t="s">
        <v>25</v>
      </c>
      <c r="J710" s="1" t="s">
        <v>14</v>
      </c>
    </row>
    <row r="711" spans="2:10" x14ac:dyDescent="0.3">
      <c r="B711" s="1" t="s">
        <v>1086</v>
      </c>
      <c r="C711" s="1" t="s">
        <v>36</v>
      </c>
      <c r="D711" s="2" t="s">
        <v>506</v>
      </c>
      <c r="E711" s="2" t="s">
        <v>506</v>
      </c>
      <c r="F711" s="2" t="s">
        <v>11</v>
      </c>
      <c r="G711" s="3" t="s">
        <v>1092</v>
      </c>
      <c r="H711" s="1" t="s">
        <v>12</v>
      </c>
      <c r="I711" s="1" t="s">
        <v>58</v>
      </c>
      <c r="J711" s="1" t="s">
        <v>14</v>
      </c>
    </row>
    <row r="712" spans="2:10" x14ac:dyDescent="0.3">
      <c r="B712" s="1" t="s">
        <v>1086</v>
      </c>
      <c r="C712" s="1" t="s">
        <v>10</v>
      </c>
      <c r="D712" s="2" t="s">
        <v>836</v>
      </c>
      <c r="E712" s="2" t="s">
        <v>836</v>
      </c>
      <c r="F712" s="2" t="s">
        <v>11</v>
      </c>
      <c r="G712" s="3" t="s">
        <v>1093</v>
      </c>
      <c r="H712" s="1" t="s">
        <v>12</v>
      </c>
      <c r="I712" s="1" t="s">
        <v>48</v>
      </c>
      <c r="J712" s="1" t="s">
        <v>14</v>
      </c>
    </row>
    <row r="713" spans="2:10" x14ac:dyDescent="0.3">
      <c r="B713" s="1" t="s">
        <v>1086</v>
      </c>
      <c r="C713" s="1" t="s">
        <v>31</v>
      </c>
      <c r="D713" s="2" t="s">
        <v>686</v>
      </c>
      <c r="E713" s="2" t="s">
        <v>686</v>
      </c>
      <c r="F713" s="2" t="s">
        <v>11</v>
      </c>
      <c r="G713" s="3" t="s">
        <v>1094</v>
      </c>
      <c r="H713" s="1" t="s">
        <v>12</v>
      </c>
      <c r="I713" s="1" t="s">
        <v>89</v>
      </c>
      <c r="J713" s="1" t="s">
        <v>14</v>
      </c>
    </row>
    <row r="714" spans="2:10" x14ac:dyDescent="0.3">
      <c r="B714" s="1" t="s">
        <v>1086</v>
      </c>
      <c r="C714" s="1" t="s">
        <v>17</v>
      </c>
      <c r="D714" s="2" t="s">
        <v>692</v>
      </c>
      <c r="E714" s="2" t="s">
        <v>692</v>
      </c>
      <c r="F714" s="2" t="s">
        <v>11</v>
      </c>
      <c r="G714" s="3" t="s">
        <v>1095</v>
      </c>
      <c r="H714" s="1" t="s">
        <v>12</v>
      </c>
      <c r="I714" s="1" t="s">
        <v>78</v>
      </c>
      <c r="J714" s="1" t="s">
        <v>14</v>
      </c>
    </row>
    <row r="715" spans="2:10" x14ac:dyDescent="0.3">
      <c r="B715" s="1" t="s">
        <v>1086</v>
      </c>
      <c r="C715" s="1" t="s">
        <v>29</v>
      </c>
      <c r="D715" s="2" t="s">
        <v>686</v>
      </c>
      <c r="E715" s="2" t="s">
        <v>686</v>
      </c>
      <c r="F715" s="2" t="s">
        <v>11</v>
      </c>
      <c r="G715" s="3" t="s">
        <v>1096</v>
      </c>
      <c r="H715" s="1" t="s">
        <v>12</v>
      </c>
      <c r="I715" s="1" t="s">
        <v>66</v>
      </c>
      <c r="J715" s="1" t="s">
        <v>14</v>
      </c>
    </row>
    <row r="716" spans="2:10" x14ac:dyDescent="0.3">
      <c r="B716" s="1" t="s">
        <v>1086</v>
      </c>
      <c r="C716" s="1" t="s">
        <v>24</v>
      </c>
      <c r="D716" s="2" t="s">
        <v>216</v>
      </c>
      <c r="E716" s="2" t="s">
        <v>216</v>
      </c>
      <c r="F716" s="2" t="s">
        <v>11</v>
      </c>
      <c r="G716" s="3" t="s">
        <v>1097</v>
      </c>
      <c r="H716" s="1" t="s">
        <v>12</v>
      </c>
      <c r="I716" s="1" t="s">
        <v>29</v>
      </c>
      <c r="J716" s="1" t="s">
        <v>14</v>
      </c>
    </row>
    <row r="717" spans="2:10" x14ac:dyDescent="0.3">
      <c r="B717" s="1" t="s">
        <v>1086</v>
      </c>
      <c r="C717" s="1" t="s">
        <v>23</v>
      </c>
      <c r="D717" s="2" t="s">
        <v>390</v>
      </c>
      <c r="E717" s="2" t="s">
        <v>390</v>
      </c>
      <c r="F717" s="2" t="s">
        <v>11</v>
      </c>
      <c r="G717" s="3" t="s">
        <v>1098</v>
      </c>
      <c r="H717" s="1" t="s">
        <v>12</v>
      </c>
      <c r="I717" s="1" t="s">
        <v>69</v>
      </c>
      <c r="J717" s="1" t="s">
        <v>14</v>
      </c>
    </row>
    <row r="718" spans="2:10" x14ac:dyDescent="0.3">
      <c r="B718" s="1" t="s">
        <v>1086</v>
      </c>
      <c r="C718" s="1" t="s">
        <v>21</v>
      </c>
      <c r="D718" s="2" t="s">
        <v>216</v>
      </c>
      <c r="E718" s="2" t="s">
        <v>216</v>
      </c>
      <c r="F718" s="2" t="s">
        <v>11</v>
      </c>
      <c r="G718" s="3" t="s">
        <v>1099</v>
      </c>
      <c r="H718" s="1" t="s">
        <v>12</v>
      </c>
      <c r="I718" s="1" t="s">
        <v>38</v>
      </c>
      <c r="J718" s="1" t="s">
        <v>14</v>
      </c>
    </row>
    <row r="719" spans="2:10" x14ac:dyDescent="0.3">
      <c r="B719" s="1" t="s">
        <v>1086</v>
      </c>
      <c r="C719" s="1" t="s">
        <v>26</v>
      </c>
      <c r="D719" s="2" t="s">
        <v>1100</v>
      </c>
      <c r="E719" s="2" t="s">
        <v>1101</v>
      </c>
      <c r="F719" s="2" t="s">
        <v>11</v>
      </c>
      <c r="G719" s="3" t="s">
        <v>389</v>
      </c>
      <c r="H719" s="1" t="s">
        <v>12</v>
      </c>
      <c r="I719" s="1" t="s">
        <v>23</v>
      </c>
      <c r="J719" s="1" t="s">
        <v>52</v>
      </c>
    </row>
    <row r="720" spans="2:10" x14ac:dyDescent="0.3">
      <c r="B720" s="1" t="s">
        <v>1086</v>
      </c>
      <c r="C720" s="1" t="s">
        <v>39</v>
      </c>
      <c r="D720" s="2" t="s">
        <v>483</v>
      </c>
      <c r="E720" s="2" t="s">
        <v>483</v>
      </c>
      <c r="F720" s="2" t="s">
        <v>11</v>
      </c>
      <c r="G720" s="3" t="s">
        <v>722</v>
      </c>
      <c r="H720" s="1" t="s">
        <v>12</v>
      </c>
      <c r="I720" s="1" t="s">
        <v>44</v>
      </c>
      <c r="J720" s="1" t="s">
        <v>14</v>
      </c>
    </row>
    <row r="721" spans="2:10" x14ac:dyDescent="0.3">
      <c r="B721" s="1" t="s">
        <v>1086</v>
      </c>
      <c r="C721" s="1" t="s">
        <v>28</v>
      </c>
      <c r="D721" s="2" t="s">
        <v>686</v>
      </c>
      <c r="E721" s="2" t="s">
        <v>686</v>
      </c>
      <c r="F721" s="2" t="s">
        <v>11</v>
      </c>
      <c r="G721" s="3" t="s">
        <v>1102</v>
      </c>
      <c r="H721" s="1" t="s">
        <v>12</v>
      </c>
      <c r="I721" s="1" t="s">
        <v>30</v>
      </c>
      <c r="J721" s="1" t="s">
        <v>14</v>
      </c>
    </row>
    <row r="722" spans="2:10" x14ac:dyDescent="0.3">
      <c r="B722" s="1" t="s">
        <v>1086</v>
      </c>
      <c r="C722" s="1" t="s">
        <v>35</v>
      </c>
      <c r="D722" s="2" t="s">
        <v>692</v>
      </c>
      <c r="E722" s="2" t="s">
        <v>692</v>
      </c>
      <c r="F722" s="2" t="s">
        <v>11</v>
      </c>
      <c r="G722" s="3" t="s">
        <v>1103</v>
      </c>
      <c r="H722" s="1" t="s">
        <v>12</v>
      </c>
      <c r="I722" s="1" t="s">
        <v>104</v>
      </c>
      <c r="J722" s="1" t="s">
        <v>14</v>
      </c>
    </row>
    <row r="723" spans="2:10" x14ac:dyDescent="0.3">
      <c r="B723" s="1" t="s">
        <v>1086</v>
      </c>
      <c r="C723" s="1" t="s">
        <v>46</v>
      </c>
      <c r="D723" s="2" t="s">
        <v>686</v>
      </c>
      <c r="E723" s="2" t="s">
        <v>686</v>
      </c>
      <c r="F723" s="2" t="s">
        <v>11</v>
      </c>
      <c r="G723" s="3" t="s">
        <v>1104</v>
      </c>
      <c r="H723" s="1" t="s">
        <v>12</v>
      </c>
      <c r="I723" s="1" t="s">
        <v>22</v>
      </c>
      <c r="J723" s="1" t="s">
        <v>14</v>
      </c>
    </row>
    <row r="724" spans="2:10" x14ac:dyDescent="0.3">
      <c r="B724" s="1" t="s">
        <v>1086</v>
      </c>
      <c r="C724" s="1" t="s">
        <v>33</v>
      </c>
      <c r="D724" s="2" t="s">
        <v>692</v>
      </c>
      <c r="E724" s="2" t="s">
        <v>692</v>
      </c>
      <c r="F724" s="2" t="s">
        <v>11</v>
      </c>
      <c r="G724" s="3" t="s">
        <v>1105</v>
      </c>
      <c r="H724" s="1" t="s">
        <v>12</v>
      </c>
      <c r="I724" s="1" t="s">
        <v>63</v>
      </c>
      <c r="J724" s="1" t="s">
        <v>14</v>
      </c>
    </row>
    <row r="725" spans="2:10" x14ac:dyDescent="0.3">
      <c r="B725" s="1" t="s">
        <v>1086</v>
      </c>
      <c r="C725" s="1" t="s">
        <v>19</v>
      </c>
      <c r="D725" s="2" t="s">
        <v>692</v>
      </c>
      <c r="E725" s="2" t="s">
        <v>692</v>
      </c>
      <c r="F725" s="2" t="s">
        <v>11</v>
      </c>
      <c r="G725" s="3" t="s">
        <v>1106</v>
      </c>
      <c r="H725" s="1" t="s">
        <v>12</v>
      </c>
      <c r="I725" s="1" t="s">
        <v>21</v>
      </c>
      <c r="J725" s="1" t="s">
        <v>14</v>
      </c>
    </row>
    <row r="726" spans="2:10" x14ac:dyDescent="0.3">
      <c r="B726" s="1" t="s">
        <v>1107</v>
      </c>
      <c r="C726" s="1" t="s">
        <v>28</v>
      </c>
      <c r="D726" s="2" t="s">
        <v>747</v>
      </c>
      <c r="E726" s="2" t="s">
        <v>747</v>
      </c>
      <c r="F726" s="2" t="s">
        <v>11</v>
      </c>
      <c r="G726" s="3" t="s">
        <v>1108</v>
      </c>
      <c r="H726" s="1" t="s">
        <v>12</v>
      </c>
      <c r="I726" s="1" t="s">
        <v>50</v>
      </c>
      <c r="J726" s="1" t="s">
        <v>14</v>
      </c>
    </row>
    <row r="727" spans="2:10" x14ac:dyDescent="0.3">
      <c r="B727" s="1" t="s">
        <v>1107</v>
      </c>
      <c r="C727" s="1" t="s">
        <v>41</v>
      </c>
      <c r="D727" s="2" t="s">
        <v>758</v>
      </c>
      <c r="E727" s="2" t="s">
        <v>758</v>
      </c>
      <c r="F727" s="2" t="s">
        <v>11</v>
      </c>
      <c r="G727" s="3" t="s">
        <v>1109</v>
      </c>
      <c r="H727" s="1" t="s">
        <v>12</v>
      </c>
      <c r="I727" s="1" t="s">
        <v>27</v>
      </c>
      <c r="J727" s="1" t="s">
        <v>14</v>
      </c>
    </row>
    <row r="728" spans="2:10" x14ac:dyDescent="0.3">
      <c r="B728" s="1" t="s">
        <v>1107</v>
      </c>
      <c r="C728" s="1" t="s">
        <v>15</v>
      </c>
      <c r="D728" s="2" t="s">
        <v>836</v>
      </c>
      <c r="E728" s="2" t="s">
        <v>700</v>
      </c>
      <c r="F728" s="2" t="s">
        <v>11</v>
      </c>
      <c r="G728" s="3" t="s">
        <v>1110</v>
      </c>
      <c r="H728" s="1" t="s">
        <v>12</v>
      </c>
      <c r="I728" s="1" t="s">
        <v>35</v>
      </c>
      <c r="J728" s="1" t="s">
        <v>52</v>
      </c>
    </row>
    <row r="729" spans="2:10" x14ac:dyDescent="0.3">
      <c r="B729" s="1" t="s">
        <v>1107</v>
      </c>
      <c r="C729" s="1" t="s">
        <v>19</v>
      </c>
      <c r="D729" s="2" t="s">
        <v>187</v>
      </c>
      <c r="E729" s="2" t="s">
        <v>187</v>
      </c>
      <c r="F729" s="2" t="s">
        <v>11</v>
      </c>
      <c r="G729" s="3" t="s">
        <v>1111</v>
      </c>
      <c r="H729" s="1" t="s">
        <v>12</v>
      </c>
      <c r="I729" s="1" t="s">
        <v>66</v>
      </c>
      <c r="J729" s="1" t="s">
        <v>14</v>
      </c>
    </row>
    <row r="730" spans="2:10" x14ac:dyDescent="0.3">
      <c r="B730" s="1" t="s">
        <v>1107</v>
      </c>
      <c r="C730" s="1" t="s">
        <v>39</v>
      </c>
      <c r="D730" s="2" t="s">
        <v>182</v>
      </c>
      <c r="E730" s="2" t="s">
        <v>182</v>
      </c>
      <c r="F730" s="2" t="s">
        <v>11</v>
      </c>
      <c r="G730" s="3" t="s">
        <v>1112</v>
      </c>
      <c r="H730" s="1" t="s">
        <v>12</v>
      </c>
      <c r="I730" s="1" t="s">
        <v>51</v>
      </c>
      <c r="J730" s="1" t="s">
        <v>14</v>
      </c>
    </row>
    <row r="731" spans="2:10" x14ac:dyDescent="0.3">
      <c r="B731" s="1" t="s">
        <v>1107</v>
      </c>
      <c r="C731" s="1" t="s">
        <v>36</v>
      </c>
      <c r="D731" s="2" t="s">
        <v>747</v>
      </c>
      <c r="E731" s="2" t="s">
        <v>747</v>
      </c>
      <c r="F731" s="2" t="s">
        <v>11</v>
      </c>
      <c r="G731" s="3" t="s">
        <v>1113</v>
      </c>
      <c r="H731" s="1" t="s">
        <v>12</v>
      </c>
      <c r="I731" s="1" t="s">
        <v>95</v>
      </c>
      <c r="J731" s="1" t="s">
        <v>14</v>
      </c>
    </row>
    <row r="732" spans="2:10" x14ac:dyDescent="0.3">
      <c r="B732" s="1" t="s">
        <v>1107</v>
      </c>
      <c r="C732" s="1" t="s">
        <v>23</v>
      </c>
      <c r="D732" s="2" t="s">
        <v>747</v>
      </c>
      <c r="E732" s="2" t="s">
        <v>747</v>
      </c>
      <c r="F732" s="2" t="s">
        <v>11</v>
      </c>
      <c r="G732" s="3" t="s">
        <v>1114</v>
      </c>
      <c r="H732" s="1" t="s">
        <v>12</v>
      </c>
      <c r="I732" s="1" t="s">
        <v>22</v>
      </c>
      <c r="J732" s="1" t="s">
        <v>14</v>
      </c>
    </row>
    <row r="733" spans="2:10" x14ac:dyDescent="0.3">
      <c r="B733" s="1" t="s">
        <v>1107</v>
      </c>
      <c r="C733" s="1" t="s">
        <v>26</v>
      </c>
      <c r="D733" s="2" t="s">
        <v>823</v>
      </c>
      <c r="E733" s="2" t="s">
        <v>823</v>
      </c>
      <c r="F733" s="2" t="s">
        <v>11</v>
      </c>
      <c r="G733" s="3" t="s">
        <v>1115</v>
      </c>
      <c r="H733" s="1" t="s">
        <v>12</v>
      </c>
      <c r="I733" s="1" t="s">
        <v>89</v>
      </c>
      <c r="J733" s="1" t="s">
        <v>14</v>
      </c>
    </row>
    <row r="734" spans="2:10" x14ac:dyDescent="0.3">
      <c r="B734" s="1" t="s">
        <v>1107</v>
      </c>
      <c r="C734" s="1" t="s">
        <v>10</v>
      </c>
      <c r="D734" s="2" t="s">
        <v>758</v>
      </c>
      <c r="E734" s="2" t="s">
        <v>758</v>
      </c>
      <c r="F734" s="2" t="s">
        <v>11</v>
      </c>
      <c r="G734" s="3" t="s">
        <v>1116</v>
      </c>
      <c r="H734" s="1" t="s">
        <v>12</v>
      </c>
      <c r="I734" s="1" t="s">
        <v>16</v>
      </c>
      <c r="J734" s="1" t="s">
        <v>14</v>
      </c>
    </row>
    <row r="735" spans="2:10" x14ac:dyDescent="0.3">
      <c r="B735" s="1" t="s">
        <v>1107</v>
      </c>
      <c r="C735" s="1" t="s">
        <v>35</v>
      </c>
      <c r="D735" s="2" t="s">
        <v>192</v>
      </c>
      <c r="E735" s="2" t="s">
        <v>192</v>
      </c>
      <c r="F735" s="2" t="s">
        <v>11</v>
      </c>
      <c r="G735" s="3" t="s">
        <v>1117</v>
      </c>
      <c r="H735" s="1" t="s">
        <v>12</v>
      </c>
      <c r="I735" s="1" t="s">
        <v>79</v>
      </c>
      <c r="J735" s="1" t="s">
        <v>14</v>
      </c>
    </row>
    <row r="736" spans="2:10" x14ac:dyDescent="0.3">
      <c r="B736" s="1" t="s">
        <v>1107</v>
      </c>
      <c r="C736" s="1" t="s">
        <v>21</v>
      </c>
      <c r="D736" s="2" t="s">
        <v>1118</v>
      </c>
      <c r="E736" s="2" t="s">
        <v>1119</v>
      </c>
      <c r="F736" s="2" t="s">
        <v>11</v>
      </c>
      <c r="G736" s="3" t="s">
        <v>1120</v>
      </c>
      <c r="H736" s="1" t="s">
        <v>12</v>
      </c>
      <c r="I736" s="1" t="s">
        <v>76</v>
      </c>
      <c r="J736" s="1" t="s">
        <v>52</v>
      </c>
    </row>
    <row r="737" spans="2:10" x14ac:dyDescent="0.3">
      <c r="B737" s="1" t="s">
        <v>1107</v>
      </c>
      <c r="C737" s="1" t="s">
        <v>43</v>
      </c>
      <c r="D737" s="2" t="s">
        <v>594</v>
      </c>
      <c r="E737" s="2" t="s">
        <v>1121</v>
      </c>
      <c r="F737" s="2" t="s">
        <v>11</v>
      </c>
      <c r="G737" s="3" t="s">
        <v>1122</v>
      </c>
      <c r="H737" s="1" t="s">
        <v>12</v>
      </c>
      <c r="I737" s="1" t="s">
        <v>49</v>
      </c>
      <c r="J737" s="1" t="s">
        <v>52</v>
      </c>
    </row>
    <row r="738" spans="2:10" x14ac:dyDescent="0.3">
      <c r="B738" s="1" t="s">
        <v>1107</v>
      </c>
      <c r="C738" s="1" t="s">
        <v>31</v>
      </c>
      <c r="D738" s="2" t="s">
        <v>1123</v>
      </c>
      <c r="E738" s="2" t="s">
        <v>1123</v>
      </c>
      <c r="F738" s="2" t="s">
        <v>11</v>
      </c>
      <c r="G738" s="3" t="s">
        <v>1124</v>
      </c>
      <c r="H738" s="1" t="s">
        <v>12</v>
      </c>
      <c r="I738" s="1" t="s">
        <v>65</v>
      </c>
      <c r="J738" s="1" t="s">
        <v>14</v>
      </c>
    </row>
    <row r="739" spans="2:10" x14ac:dyDescent="0.3">
      <c r="B739" s="1" t="s">
        <v>1107</v>
      </c>
      <c r="C739" s="1" t="s">
        <v>45</v>
      </c>
      <c r="D739" s="2" t="s">
        <v>1123</v>
      </c>
      <c r="E739" s="2" t="s">
        <v>1123</v>
      </c>
      <c r="F739" s="2" t="s">
        <v>11</v>
      </c>
      <c r="G739" s="3" t="s">
        <v>1125</v>
      </c>
      <c r="H739" s="1" t="s">
        <v>12</v>
      </c>
      <c r="I739" s="1" t="s">
        <v>64</v>
      </c>
      <c r="J739" s="1" t="s">
        <v>14</v>
      </c>
    </row>
    <row r="740" spans="2:10" x14ac:dyDescent="0.3">
      <c r="B740" s="1" t="s">
        <v>1107</v>
      </c>
      <c r="C740" s="1" t="s">
        <v>29</v>
      </c>
      <c r="D740" s="2" t="s">
        <v>758</v>
      </c>
      <c r="E740" s="2" t="s">
        <v>758</v>
      </c>
      <c r="F740" s="2" t="s">
        <v>11</v>
      </c>
      <c r="G740" s="3" t="s">
        <v>1126</v>
      </c>
      <c r="H740" s="1" t="s">
        <v>12</v>
      </c>
      <c r="I740" s="1" t="s">
        <v>87</v>
      </c>
      <c r="J740" s="1" t="s">
        <v>14</v>
      </c>
    </row>
    <row r="741" spans="2:10" x14ac:dyDescent="0.3">
      <c r="B741" s="1" t="s">
        <v>1107</v>
      </c>
      <c r="C741" s="1" t="s">
        <v>24</v>
      </c>
      <c r="D741" s="2" t="s">
        <v>200</v>
      </c>
      <c r="E741" s="2" t="s">
        <v>200</v>
      </c>
      <c r="F741" s="2" t="s">
        <v>11</v>
      </c>
      <c r="G741" s="3" t="s">
        <v>1127</v>
      </c>
      <c r="H741" s="1" t="s">
        <v>12</v>
      </c>
      <c r="I741" s="1" t="s">
        <v>47</v>
      </c>
      <c r="J741" s="1" t="s">
        <v>14</v>
      </c>
    </row>
    <row r="742" spans="2:10" x14ac:dyDescent="0.3">
      <c r="B742" s="1" t="s">
        <v>1107</v>
      </c>
      <c r="C742" s="1" t="s">
        <v>33</v>
      </c>
      <c r="D742" s="2" t="s">
        <v>747</v>
      </c>
      <c r="E742" s="2" t="s">
        <v>747</v>
      </c>
      <c r="F742" s="2" t="s">
        <v>11</v>
      </c>
      <c r="G742" s="3" t="s">
        <v>1128</v>
      </c>
      <c r="H742" s="1" t="s">
        <v>12</v>
      </c>
      <c r="I742" s="1" t="s">
        <v>58</v>
      </c>
      <c r="J742" s="1" t="s">
        <v>14</v>
      </c>
    </row>
    <row r="743" spans="2:10" x14ac:dyDescent="0.3">
      <c r="B743" s="1" t="s">
        <v>1107</v>
      </c>
      <c r="C743" s="1" t="s">
        <v>17</v>
      </c>
      <c r="D743" s="2" t="s">
        <v>758</v>
      </c>
      <c r="E743" s="2" t="s">
        <v>758</v>
      </c>
      <c r="F743" s="2" t="s">
        <v>11</v>
      </c>
      <c r="G743" s="3" t="s">
        <v>1129</v>
      </c>
      <c r="H743" s="1" t="s">
        <v>12</v>
      </c>
      <c r="I743" s="1" t="s">
        <v>34</v>
      </c>
      <c r="J743" s="1" t="s">
        <v>14</v>
      </c>
    </row>
    <row r="744" spans="2:10" x14ac:dyDescent="0.3">
      <c r="B744" s="1" t="s">
        <v>1107</v>
      </c>
      <c r="C744" s="1" t="s">
        <v>38</v>
      </c>
      <c r="D744" s="2" t="s">
        <v>1123</v>
      </c>
      <c r="E744" s="2" t="s">
        <v>1123</v>
      </c>
      <c r="F744" s="2" t="s">
        <v>11</v>
      </c>
      <c r="G744" s="3" t="s">
        <v>1130</v>
      </c>
      <c r="H744" s="1" t="s">
        <v>12</v>
      </c>
      <c r="I744" s="1" t="s">
        <v>74</v>
      </c>
      <c r="J744" s="1" t="s">
        <v>14</v>
      </c>
    </row>
    <row r="745" spans="2:10" x14ac:dyDescent="0.3">
      <c r="B745" s="1" t="s">
        <v>1107</v>
      </c>
      <c r="C745" s="1" t="s">
        <v>46</v>
      </c>
      <c r="D745" s="2" t="s">
        <v>200</v>
      </c>
      <c r="E745" s="2" t="s">
        <v>200</v>
      </c>
      <c r="F745" s="2" t="s">
        <v>11</v>
      </c>
      <c r="G745" s="3" t="s">
        <v>1131</v>
      </c>
      <c r="H745" s="1" t="s">
        <v>12</v>
      </c>
      <c r="I745" s="1" t="s">
        <v>32</v>
      </c>
      <c r="J745" s="1" t="s">
        <v>14</v>
      </c>
    </row>
    <row r="746" spans="2:10" x14ac:dyDescent="0.3">
      <c r="B746" s="1" t="s">
        <v>1132</v>
      </c>
      <c r="C746" s="1" t="s">
        <v>41</v>
      </c>
      <c r="D746" s="2" t="s">
        <v>376</v>
      </c>
      <c r="E746" s="2" t="s">
        <v>376</v>
      </c>
      <c r="F746" s="2" t="s">
        <v>11</v>
      </c>
      <c r="G746" s="3" t="s">
        <v>1133</v>
      </c>
      <c r="H746" s="1" t="s">
        <v>12</v>
      </c>
      <c r="I746" s="1" t="s">
        <v>74</v>
      </c>
      <c r="J746" s="1" t="s">
        <v>14</v>
      </c>
    </row>
    <row r="747" spans="2:10" x14ac:dyDescent="0.3">
      <c r="B747" s="1" t="s">
        <v>1132</v>
      </c>
      <c r="C747" s="1" t="s">
        <v>35</v>
      </c>
      <c r="D747" s="2" t="s">
        <v>376</v>
      </c>
      <c r="E747" s="2" t="s">
        <v>376</v>
      </c>
      <c r="F747" s="2" t="s">
        <v>11</v>
      </c>
      <c r="G747" s="3" t="s">
        <v>785</v>
      </c>
      <c r="H747" s="1" t="s">
        <v>12</v>
      </c>
      <c r="I747" s="1" t="s">
        <v>18</v>
      </c>
      <c r="J747" s="1" t="s">
        <v>14</v>
      </c>
    </row>
    <row r="748" spans="2:10" x14ac:dyDescent="0.3">
      <c r="B748" s="1" t="s">
        <v>1132</v>
      </c>
      <c r="C748" s="1" t="s">
        <v>29</v>
      </c>
      <c r="D748" s="2" t="s">
        <v>376</v>
      </c>
      <c r="E748" s="2" t="s">
        <v>376</v>
      </c>
      <c r="F748" s="2" t="s">
        <v>11</v>
      </c>
      <c r="G748" s="3" t="s">
        <v>1134</v>
      </c>
      <c r="H748" s="1" t="s">
        <v>12</v>
      </c>
      <c r="I748" s="1" t="s">
        <v>48</v>
      </c>
      <c r="J748" s="1" t="s">
        <v>14</v>
      </c>
    </row>
    <row r="749" spans="2:10" x14ac:dyDescent="0.3">
      <c r="B749" s="1" t="s">
        <v>1132</v>
      </c>
      <c r="C749" s="1" t="s">
        <v>33</v>
      </c>
      <c r="D749" s="2" t="s">
        <v>397</v>
      </c>
      <c r="E749" s="2" t="s">
        <v>397</v>
      </c>
      <c r="F749" s="2" t="s">
        <v>11</v>
      </c>
      <c r="G749" s="3" t="s">
        <v>1135</v>
      </c>
      <c r="H749" s="1" t="s">
        <v>12</v>
      </c>
      <c r="I749" s="1" t="s">
        <v>40</v>
      </c>
      <c r="J749" s="1" t="s">
        <v>14</v>
      </c>
    </row>
    <row r="750" spans="2:10" x14ac:dyDescent="0.3">
      <c r="B750" s="1" t="s">
        <v>1132</v>
      </c>
      <c r="C750" s="1" t="s">
        <v>31</v>
      </c>
      <c r="D750" s="2" t="s">
        <v>522</v>
      </c>
      <c r="E750" s="2" t="s">
        <v>522</v>
      </c>
      <c r="F750" s="2" t="s">
        <v>11</v>
      </c>
      <c r="G750" s="3" t="s">
        <v>1136</v>
      </c>
      <c r="H750" s="1" t="s">
        <v>12</v>
      </c>
      <c r="I750" s="1" t="s">
        <v>63</v>
      </c>
      <c r="J750" s="1" t="s">
        <v>14</v>
      </c>
    </row>
    <row r="751" spans="2:10" x14ac:dyDescent="0.3">
      <c r="B751" s="1" t="s">
        <v>1132</v>
      </c>
      <c r="C751" s="1" t="s">
        <v>19</v>
      </c>
      <c r="D751" s="2" t="s">
        <v>376</v>
      </c>
      <c r="E751" s="2" t="s">
        <v>376</v>
      </c>
      <c r="F751" s="2" t="s">
        <v>11</v>
      </c>
      <c r="G751" s="3" t="s">
        <v>1137</v>
      </c>
      <c r="H751" s="1" t="s">
        <v>12</v>
      </c>
      <c r="I751" s="1" t="s">
        <v>62</v>
      </c>
      <c r="J751" s="1" t="s">
        <v>14</v>
      </c>
    </row>
    <row r="752" spans="2:10" x14ac:dyDescent="0.3">
      <c r="B752" s="1" t="s">
        <v>1132</v>
      </c>
      <c r="C752" s="1" t="s">
        <v>45</v>
      </c>
      <c r="D752" s="2" t="s">
        <v>376</v>
      </c>
      <c r="E752" s="2" t="s">
        <v>376</v>
      </c>
      <c r="F752" s="2" t="s">
        <v>11</v>
      </c>
      <c r="G752" s="3" t="s">
        <v>1138</v>
      </c>
      <c r="H752" s="1" t="s">
        <v>12</v>
      </c>
      <c r="I752" s="1" t="s">
        <v>56</v>
      </c>
      <c r="J752" s="1" t="s">
        <v>14</v>
      </c>
    </row>
    <row r="753" spans="2:10" x14ac:dyDescent="0.3">
      <c r="B753" s="1" t="s">
        <v>1132</v>
      </c>
      <c r="C753" s="1" t="s">
        <v>46</v>
      </c>
      <c r="D753" s="2" t="s">
        <v>376</v>
      </c>
      <c r="E753" s="2" t="s">
        <v>376</v>
      </c>
      <c r="F753" s="2" t="s">
        <v>11</v>
      </c>
      <c r="G753" s="3" t="s">
        <v>1139</v>
      </c>
      <c r="H753" s="1" t="s">
        <v>12</v>
      </c>
      <c r="I753" s="1" t="s">
        <v>22</v>
      </c>
      <c r="J753" s="1" t="s">
        <v>14</v>
      </c>
    </row>
    <row r="754" spans="2:10" x14ac:dyDescent="0.3">
      <c r="B754" s="1" t="s">
        <v>1132</v>
      </c>
      <c r="C754" s="1" t="s">
        <v>23</v>
      </c>
      <c r="D754" s="2" t="s">
        <v>376</v>
      </c>
      <c r="E754" s="2" t="s">
        <v>376</v>
      </c>
      <c r="F754" s="2" t="s">
        <v>11</v>
      </c>
      <c r="G754" s="3" t="s">
        <v>1140</v>
      </c>
      <c r="H754" s="1" t="s">
        <v>12</v>
      </c>
      <c r="I754" s="1" t="s">
        <v>68</v>
      </c>
      <c r="J754" s="1" t="s">
        <v>14</v>
      </c>
    </row>
    <row r="755" spans="2:10" x14ac:dyDescent="0.3">
      <c r="B755" s="1" t="s">
        <v>1132</v>
      </c>
      <c r="C755" s="1" t="s">
        <v>24</v>
      </c>
      <c r="D755" s="2" t="s">
        <v>376</v>
      </c>
      <c r="E755" s="2" t="s">
        <v>376</v>
      </c>
      <c r="F755" s="2" t="s">
        <v>11</v>
      </c>
      <c r="G755" s="3" t="s">
        <v>1141</v>
      </c>
      <c r="H755" s="1" t="s">
        <v>12</v>
      </c>
      <c r="I755" s="1" t="s">
        <v>32</v>
      </c>
      <c r="J755" s="1" t="s">
        <v>14</v>
      </c>
    </row>
    <row r="756" spans="2:10" x14ac:dyDescent="0.3">
      <c r="B756" s="1" t="s">
        <v>1132</v>
      </c>
      <c r="C756" s="1" t="s">
        <v>43</v>
      </c>
      <c r="D756" s="2" t="s">
        <v>376</v>
      </c>
      <c r="E756" s="2" t="s">
        <v>376</v>
      </c>
      <c r="F756" s="2" t="s">
        <v>11</v>
      </c>
      <c r="G756" s="3" t="s">
        <v>559</v>
      </c>
      <c r="H756" s="1" t="s">
        <v>12</v>
      </c>
      <c r="I756" s="1" t="s">
        <v>47</v>
      </c>
      <c r="J756" s="1" t="s">
        <v>14</v>
      </c>
    </row>
    <row r="757" spans="2:10" x14ac:dyDescent="0.3">
      <c r="B757" s="1" t="s">
        <v>1132</v>
      </c>
      <c r="C757" s="1" t="s">
        <v>15</v>
      </c>
      <c r="D757" s="2" t="s">
        <v>376</v>
      </c>
      <c r="E757" s="2" t="s">
        <v>376</v>
      </c>
      <c r="F757" s="2" t="s">
        <v>11</v>
      </c>
      <c r="G757" s="3" t="s">
        <v>1142</v>
      </c>
      <c r="H757" s="1" t="s">
        <v>12</v>
      </c>
      <c r="I757" s="1" t="s">
        <v>62</v>
      </c>
      <c r="J757" s="1" t="s">
        <v>14</v>
      </c>
    </row>
    <row r="758" spans="2:10" x14ac:dyDescent="0.3">
      <c r="B758" s="1" t="s">
        <v>1132</v>
      </c>
      <c r="C758" s="1" t="s">
        <v>38</v>
      </c>
      <c r="D758" s="2" t="s">
        <v>376</v>
      </c>
      <c r="E758" s="2" t="s">
        <v>376</v>
      </c>
      <c r="F758" s="2" t="s">
        <v>11</v>
      </c>
      <c r="G758" s="3" t="s">
        <v>1143</v>
      </c>
      <c r="H758" s="1" t="s">
        <v>12</v>
      </c>
      <c r="I758" s="1" t="s">
        <v>58</v>
      </c>
      <c r="J758" s="1" t="s">
        <v>14</v>
      </c>
    </row>
    <row r="759" spans="2:10" x14ac:dyDescent="0.3">
      <c r="B759" s="1" t="s">
        <v>1132</v>
      </c>
      <c r="C759" s="1" t="s">
        <v>36</v>
      </c>
      <c r="D759" s="2" t="s">
        <v>506</v>
      </c>
      <c r="E759" s="2" t="s">
        <v>506</v>
      </c>
      <c r="F759" s="2" t="s">
        <v>11</v>
      </c>
      <c r="G759" s="3" t="s">
        <v>1144</v>
      </c>
      <c r="H759" s="1" t="s">
        <v>12</v>
      </c>
      <c r="I759" s="1" t="s">
        <v>20</v>
      </c>
      <c r="J759" s="1" t="s">
        <v>14</v>
      </c>
    </row>
    <row r="760" spans="2:10" x14ac:dyDescent="0.3">
      <c r="B760" s="1" t="s">
        <v>1132</v>
      </c>
      <c r="C760" s="1" t="s">
        <v>21</v>
      </c>
      <c r="D760" s="2" t="s">
        <v>489</v>
      </c>
      <c r="E760" s="2" t="s">
        <v>489</v>
      </c>
      <c r="F760" s="2" t="s">
        <v>11</v>
      </c>
      <c r="G760" s="3" t="s">
        <v>1145</v>
      </c>
      <c r="H760" s="1" t="s">
        <v>12</v>
      </c>
      <c r="I760" s="1" t="s">
        <v>80</v>
      </c>
      <c r="J760" s="1" t="s">
        <v>14</v>
      </c>
    </row>
    <row r="761" spans="2:10" x14ac:dyDescent="0.3">
      <c r="B761" s="1" t="s">
        <v>1132</v>
      </c>
      <c r="C761" s="1" t="s">
        <v>17</v>
      </c>
      <c r="D761" s="2" t="s">
        <v>398</v>
      </c>
      <c r="E761" s="2" t="s">
        <v>398</v>
      </c>
      <c r="F761" s="2" t="s">
        <v>11</v>
      </c>
      <c r="G761" s="3" t="s">
        <v>1146</v>
      </c>
      <c r="H761" s="1" t="s">
        <v>12</v>
      </c>
      <c r="I761" s="1" t="s">
        <v>36</v>
      </c>
      <c r="J761" s="1" t="s">
        <v>14</v>
      </c>
    </row>
    <row r="762" spans="2:10" x14ac:dyDescent="0.3">
      <c r="B762" s="1" t="s">
        <v>1132</v>
      </c>
      <c r="C762" s="1" t="s">
        <v>28</v>
      </c>
      <c r="D762" s="2" t="s">
        <v>220</v>
      </c>
      <c r="E762" s="2" t="s">
        <v>220</v>
      </c>
      <c r="F762" s="2" t="s">
        <v>11</v>
      </c>
      <c r="G762" s="3" t="s">
        <v>1147</v>
      </c>
      <c r="H762" s="1" t="s">
        <v>12</v>
      </c>
      <c r="I762" s="1" t="s">
        <v>79</v>
      </c>
      <c r="J762" s="1" t="s">
        <v>14</v>
      </c>
    </row>
    <row r="763" spans="2:10" x14ac:dyDescent="0.3">
      <c r="B763" s="1" t="s">
        <v>1132</v>
      </c>
      <c r="C763" s="1" t="s">
        <v>39</v>
      </c>
      <c r="D763" s="2" t="s">
        <v>376</v>
      </c>
      <c r="E763" s="2" t="s">
        <v>376</v>
      </c>
      <c r="F763" s="2" t="s">
        <v>11</v>
      </c>
      <c r="G763" s="3" t="s">
        <v>1148</v>
      </c>
      <c r="H763" s="1" t="s">
        <v>12</v>
      </c>
      <c r="I763" s="1" t="s">
        <v>79</v>
      </c>
      <c r="J763" s="1" t="s">
        <v>14</v>
      </c>
    </row>
    <row r="764" spans="2:10" x14ac:dyDescent="0.3">
      <c r="B764" s="1" t="s">
        <v>1132</v>
      </c>
      <c r="C764" s="1" t="s">
        <v>10</v>
      </c>
      <c r="D764" s="2" t="s">
        <v>702</v>
      </c>
      <c r="E764" s="2" t="s">
        <v>702</v>
      </c>
      <c r="F764" s="2" t="s">
        <v>11</v>
      </c>
      <c r="G764" s="3" t="s">
        <v>1149</v>
      </c>
      <c r="H764" s="1" t="s">
        <v>12</v>
      </c>
      <c r="I764" s="1" t="s">
        <v>20</v>
      </c>
      <c r="J764" s="1" t="s">
        <v>14</v>
      </c>
    </row>
    <row r="765" spans="2:10" x14ac:dyDescent="0.3">
      <c r="B765" s="1" t="s">
        <v>1132</v>
      </c>
      <c r="C765" s="1" t="s">
        <v>26</v>
      </c>
      <c r="D765" s="2" t="s">
        <v>376</v>
      </c>
      <c r="E765" s="2" t="s">
        <v>376</v>
      </c>
      <c r="F765" s="2" t="s">
        <v>11</v>
      </c>
      <c r="G765" s="3" t="s">
        <v>1150</v>
      </c>
      <c r="H765" s="1" t="s">
        <v>12</v>
      </c>
      <c r="I765" s="1" t="s">
        <v>25</v>
      </c>
      <c r="J765" s="1" t="s">
        <v>14</v>
      </c>
    </row>
    <row r="766" spans="2:10" x14ac:dyDescent="0.3">
      <c r="B766" s="1" t="s">
        <v>1151</v>
      </c>
      <c r="C766" s="1" t="s">
        <v>46</v>
      </c>
      <c r="D766" s="2" t="s">
        <v>458</v>
      </c>
      <c r="E766" s="2" t="s">
        <v>458</v>
      </c>
      <c r="F766" s="2" t="s">
        <v>11</v>
      </c>
      <c r="G766" s="3" t="s">
        <v>211</v>
      </c>
      <c r="H766" s="1" t="s">
        <v>12</v>
      </c>
      <c r="I766" s="1" t="s">
        <v>47</v>
      </c>
      <c r="J766" s="1" t="s">
        <v>14</v>
      </c>
    </row>
    <row r="767" spans="2:10" x14ac:dyDescent="0.3">
      <c r="B767" s="1" t="s">
        <v>1151</v>
      </c>
      <c r="C767" s="1" t="s">
        <v>24</v>
      </c>
      <c r="D767" s="2" t="s">
        <v>458</v>
      </c>
      <c r="E767" s="2" t="s">
        <v>458</v>
      </c>
      <c r="F767" s="2" t="s">
        <v>11</v>
      </c>
      <c r="G767" s="3" t="s">
        <v>1152</v>
      </c>
      <c r="H767" s="1" t="s">
        <v>12</v>
      </c>
      <c r="I767" s="1" t="s">
        <v>25</v>
      </c>
      <c r="J767" s="1" t="s">
        <v>14</v>
      </c>
    </row>
    <row r="768" spans="2:10" x14ac:dyDescent="0.3">
      <c r="B768" s="1" t="s">
        <v>1151</v>
      </c>
      <c r="C768" s="1" t="s">
        <v>15</v>
      </c>
      <c r="D768" s="2" t="s">
        <v>433</v>
      </c>
      <c r="E768" s="2" t="s">
        <v>433</v>
      </c>
      <c r="F768" s="2" t="s">
        <v>11</v>
      </c>
      <c r="G768" s="3" t="s">
        <v>183</v>
      </c>
      <c r="H768" s="1" t="s">
        <v>12</v>
      </c>
      <c r="I768" s="1" t="s">
        <v>63</v>
      </c>
      <c r="J768" s="1" t="s">
        <v>14</v>
      </c>
    </row>
    <row r="769" spans="2:10" x14ac:dyDescent="0.3">
      <c r="B769" s="1" t="s">
        <v>1151</v>
      </c>
      <c r="C769" s="1" t="s">
        <v>38</v>
      </c>
      <c r="D769" s="2" t="s">
        <v>458</v>
      </c>
      <c r="E769" s="2" t="s">
        <v>458</v>
      </c>
      <c r="F769" s="2" t="s">
        <v>11</v>
      </c>
      <c r="G769" s="3" t="s">
        <v>1153</v>
      </c>
      <c r="H769" s="1" t="s">
        <v>12</v>
      </c>
      <c r="I769" s="1" t="s">
        <v>59</v>
      </c>
      <c r="J769" s="1" t="s">
        <v>14</v>
      </c>
    </row>
    <row r="770" spans="2:10" x14ac:dyDescent="0.3">
      <c r="B770" s="1" t="s">
        <v>1151</v>
      </c>
      <c r="C770" s="1" t="s">
        <v>10</v>
      </c>
      <c r="D770" s="2" t="s">
        <v>458</v>
      </c>
      <c r="E770" s="2" t="s">
        <v>458</v>
      </c>
      <c r="F770" s="2" t="s">
        <v>11</v>
      </c>
      <c r="G770" s="3" t="s">
        <v>1154</v>
      </c>
      <c r="H770" s="1" t="s">
        <v>12</v>
      </c>
      <c r="I770" s="1" t="s">
        <v>87</v>
      </c>
      <c r="J770" s="1" t="s">
        <v>14</v>
      </c>
    </row>
    <row r="771" spans="2:10" x14ac:dyDescent="0.3">
      <c r="B771" s="1" t="s">
        <v>1151</v>
      </c>
      <c r="C771" s="1" t="s">
        <v>33</v>
      </c>
      <c r="D771" s="2" t="s">
        <v>433</v>
      </c>
      <c r="E771" s="2" t="s">
        <v>433</v>
      </c>
      <c r="F771" s="2" t="s">
        <v>11</v>
      </c>
      <c r="G771" s="3" t="s">
        <v>1155</v>
      </c>
      <c r="H771" s="1" t="s">
        <v>12</v>
      </c>
      <c r="I771" s="1" t="s">
        <v>62</v>
      </c>
      <c r="J771" s="1" t="s">
        <v>14</v>
      </c>
    </row>
    <row r="772" spans="2:10" x14ac:dyDescent="0.3">
      <c r="B772" s="1" t="s">
        <v>1151</v>
      </c>
      <c r="C772" s="1" t="s">
        <v>19</v>
      </c>
      <c r="D772" s="2" t="s">
        <v>458</v>
      </c>
      <c r="E772" s="2" t="s">
        <v>458</v>
      </c>
      <c r="F772" s="2" t="s">
        <v>11</v>
      </c>
      <c r="G772" s="3" t="s">
        <v>1156</v>
      </c>
      <c r="H772" s="1" t="s">
        <v>12</v>
      </c>
      <c r="I772" s="1" t="s">
        <v>13</v>
      </c>
      <c r="J772" s="1" t="s">
        <v>14</v>
      </c>
    </row>
    <row r="773" spans="2:10" x14ac:dyDescent="0.3">
      <c r="B773" s="1" t="s">
        <v>1151</v>
      </c>
      <c r="C773" s="1" t="s">
        <v>31</v>
      </c>
      <c r="D773" s="2" t="s">
        <v>458</v>
      </c>
      <c r="E773" s="2" t="s">
        <v>458</v>
      </c>
      <c r="F773" s="2" t="s">
        <v>11</v>
      </c>
      <c r="G773" s="3" t="s">
        <v>1157</v>
      </c>
      <c r="H773" s="1" t="s">
        <v>12</v>
      </c>
      <c r="I773" s="1" t="s">
        <v>41</v>
      </c>
      <c r="J773" s="1" t="s">
        <v>14</v>
      </c>
    </row>
    <row r="774" spans="2:10" x14ac:dyDescent="0.3">
      <c r="B774" s="1" t="s">
        <v>1151</v>
      </c>
      <c r="C774" s="1" t="s">
        <v>35</v>
      </c>
      <c r="D774" s="2" t="s">
        <v>987</v>
      </c>
      <c r="E774" s="2" t="s">
        <v>987</v>
      </c>
      <c r="F774" s="2" t="s">
        <v>11</v>
      </c>
      <c r="G774" s="3" t="s">
        <v>682</v>
      </c>
      <c r="H774" s="1" t="s">
        <v>12</v>
      </c>
      <c r="I774" s="1" t="s">
        <v>18</v>
      </c>
      <c r="J774" s="1" t="s">
        <v>14</v>
      </c>
    </row>
    <row r="775" spans="2:10" x14ac:dyDescent="0.3">
      <c r="B775" s="1" t="s">
        <v>1151</v>
      </c>
      <c r="C775" s="1" t="s">
        <v>17</v>
      </c>
      <c r="D775" s="2" t="s">
        <v>314</v>
      </c>
      <c r="E775" s="2" t="s">
        <v>314</v>
      </c>
      <c r="F775" s="2" t="s">
        <v>11</v>
      </c>
      <c r="G775" s="3" t="s">
        <v>795</v>
      </c>
      <c r="H775" s="1" t="s">
        <v>12</v>
      </c>
      <c r="I775" s="1" t="s">
        <v>33</v>
      </c>
      <c r="J775" s="1" t="s">
        <v>14</v>
      </c>
    </row>
    <row r="776" spans="2:10" x14ac:dyDescent="0.3">
      <c r="B776" s="1" t="s">
        <v>1151</v>
      </c>
      <c r="C776" s="1" t="s">
        <v>41</v>
      </c>
      <c r="D776" s="2" t="s">
        <v>1158</v>
      </c>
      <c r="E776" s="2" t="s">
        <v>1159</v>
      </c>
      <c r="F776" s="2" t="s">
        <v>11</v>
      </c>
      <c r="G776" s="3" t="s">
        <v>1160</v>
      </c>
      <c r="H776" s="1" t="s">
        <v>12</v>
      </c>
      <c r="I776" s="1" t="s">
        <v>23</v>
      </c>
      <c r="J776" s="1" t="s">
        <v>52</v>
      </c>
    </row>
    <row r="777" spans="2:10" x14ac:dyDescent="0.3">
      <c r="B777" s="1" t="s">
        <v>1151</v>
      </c>
      <c r="C777" s="1" t="s">
        <v>36</v>
      </c>
      <c r="D777" s="2" t="s">
        <v>696</v>
      </c>
      <c r="E777" s="2" t="s">
        <v>696</v>
      </c>
      <c r="F777" s="2" t="s">
        <v>11</v>
      </c>
      <c r="G777" s="3" t="s">
        <v>714</v>
      </c>
      <c r="H777" s="1" t="s">
        <v>12</v>
      </c>
      <c r="I777" s="1" t="s">
        <v>78</v>
      </c>
      <c r="J777" s="1" t="s">
        <v>14</v>
      </c>
    </row>
    <row r="778" spans="2:10" x14ac:dyDescent="0.3">
      <c r="B778" s="1" t="s">
        <v>1151</v>
      </c>
      <c r="C778" s="1" t="s">
        <v>39</v>
      </c>
      <c r="D778" s="2" t="s">
        <v>433</v>
      </c>
      <c r="E778" s="2" t="s">
        <v>433</v>
      </c>
      <c r="F778" s="2" t="s">
        <v>11</v>
      </c>
      <c r="G778" s="3" t="s">
        <v>1161</v>
      </c>
      <c r="H778" s="1" t="s">
        <v>12</v>
      </c>
      <c r="I778" s="1" t="s">
        <v>50</v>
      </c>
      <c r="J778" s="1" t="s">
        <v>14</v>
      </c>
    </row>
    <row r="779" spans="2:10" x14ac:dyDescent="0.3">
      <c r="B779" s="1" t="s">
        <v>1151</v>
      </c>
      <c r="C779" s="1" t="s">
        <v>26</v>
      </c>
      <c r="D779" s="2" t="s">
        <v>316</v>
      </c>
      <c r="E779" s="2" t="s">
        <v>316</v>
      </c>
      <c r="F779" s="2" t="s">
        <v>11</v>
      </c>
      <c r="G779" s="3" t="s">
        <v>1162</v>
      </c>
      <c r="H779" s="1" t="s">
        <v>12</v>
      </c>
      <c r="I779" s="1" t="s">
        <v>69</v>
      </c>
      <c r="J779" s="1" t="s">
        <v>14</v>
      </c>
    </row>
    <row r="780" spans="2:10" x14ac:dyDescent="0.3">
      <c r="B780" s="1" t="s">
        <v>1151</v>
      </c>
      <c r="C780" s="1" t="s">
        <v>45</v>
      </c>
      <c r="D780" s="2" t="s">
        <v>458</v>
      </c>
      <c r="E780" s="2" t="s">
        <v>458</v>
      </c>
      <c r="F780" s="2" t="s">
        <v>11</v>
      </c>
      <c r="G780" s="3" t="s">
        <v>230</v>
      </c>
      <c r="H780" s="1" t="s">
        <v>12</v>
      </c>
      <c r="I780" s="1" t="s">
        <v>16</v>
      </c>
      <c r="J780" s="1" t="s">
        <v>14</v>
      </c>
    </row>
    <row r="781" spans="2:10" x14ac:dyDescent="0.3">
      <c r="B781" s="1" t="s">
        <v>1151</v>
      </c>
      <c r="C781" s="1" t="s">
        <v>43</v>
      </c>
      <c r="D781" s="2" t="s">
        <v>314</v>
      </c>
      <c r="E781" s="2" t="s">
        <v>314</v>
      </c>
      <c r="F781" s="2" t="s">
        <v>11</v>
      </c>
      <c r="G781" s="3" t="s">
        <v>1163</v>
      </c>
      <c r="H781" s="1" t="s">
        <v>12</v>
      </c>
      <c r="I781" s="1" t="s">
        <v>69</v>
      </c>
      <c r="J781" s="1" t="s">
        <v>14</v>
      </c>
    </row>
    <row r="782" spans="2:10" x14ac:dyDescent="0.3">
      <c r="B782" s="1" t="s">
        <v>1151</v>
      </c>
      <c r="C782" s="1" t="s">
        <v>28</v>
      </c>
      <c r="D782" s="2" t="s">
        <v>433</v>
      </c>
      <c r="E782" s="2" t="s">
        <v>433</v>
      </c>
      <c r="F782" s="2" t="s">
        <v>11</v>
      </c>
      <c r="G782" s="3" t="s">
        <v>1164</v>
      </c>
      <c r="H782" s="1" t="s">
        <v>12</v>
      </c>
      <c r="I782" s="1" t="s">
        <v>51</v>
      </c>
      <c r="J782" s="1" t="s">
        <v>14</v>
      </c>
    </row>
    <row r="783" spans="2:10" x14ac:dyDescent="0.3">
      <c r="B783" s="1" t="s">
        <v>1151</v>
      </c>
      <c r="C783" s="1" t="s">
        <v>29</v>
      </c>
      <c r="D783" s="2" t="s">
        <v>859</v>
      </c>
      <c r="E783" s="2" t="s">
        <v>859</v>
      </c>
      <c r="F783" s="2" t="s">
        <v>11</v>
      </c>
      <c r="G783" s="3" t="s">
        <v>1165</v>
      </c>
      <c r="H783" s="1" t="s">
        <v>12</v>
      </c>
      <c r="I783" s="1" t="s">
        <v>65</v>
      </c>
      <c r="J783" s="1" t="s">
        <v>14</v>
      </c>
    </row>
    <row r="784" spans="2:10" x14ac:dyDescent="0.3">
      <c r="B784" s="1" t="s">
        <v>1151</v>
      </c>
      <c r="C784" s="1" t="s">
        <v>21</v>
      </c>
      <c r="D784" s="2" t="s">
        <v>875</v>
      </c>
      <c r="E784" s="2" t="s">
        <v>875</v>
      </c>
      <c r="F784" s="2" t="s">
        <v>11</v>
      </c>
      <c r="G784" s="3" t="s">
        <v>1166</v>
      </c>
      <c r="H784" s="1" t="s">
        <v>12</v>
      </c>
      <c r="I784" s="1" t="s">
        <v>62</v>
      </c>
      <c r="J784" s="1" t="s">
        <v>14</v>
      </c>
    </row>
    <row r="785" spans="2:10" x14ac:dyDescent="0.3">
      <c r="B785" s="1" t="s">
        <v>1151</v>
      </c>
      <c r="C785" s="1" t="s">
        <v>23</v>
      </c>
      <c r="D785" s="2" t="s">
        <v>433</v>
      </c>
      <c r="E785" s="2" t="s">
        <v>433</v>
      </c>
      <c r="F785" s="2" t="s">
        <v>11</v>
      </c>
      <c r="G785" s="3" t="s">
        <v>1167</v>
      </c>
      <c r="H785" s="1" t="s">
        <v>12</v>
      </c>
      <c r="I785" s="1" t="s">
        <v>34</v>
      </c>
      <c r="J785" s="1" t="s">
        <v>14</v>
      </c>
    </row>
    <row r="786" spans="2:10" x14ac:dyDescent="0.3">
      <c r="B786" s="1" t="s">
        <v>1168</v>
      </c>
      <c r="C786" s="1" t="s">
        <v>38</v>
      </c>
      <c r="D786" s="2" t="s">
        <v>1169</v>
      </c>
      <c r="E786" s="2" t="s">
        <v>1169</v>
      </c>
      <c r="F786" s="2" t="s">
        <v>11</v>
      </c>
      <c r="G786" s="3" t="s">
        <v>1095</v>
      </c>
      <c r="H786" s="1" t="s">
        <v>12</v>
      </c>
      <c r="I786" s="1" t="s">
        <v>22</v>
      </c>
      <c r="J786" s="1" t="s">
        <v>14</v>
      </c>
    </row>
    <row r="787" spans="2:10" x14ac:dyDescent="0.3">
      <c r="B787" s="1" t="s">
        <v>1168</v>
      </c>
      <c r="C787" s="1" t="s">
        <v>26</v>
      </c>
      <c r="D787" s="2" t="s">
        <v>1170</v>
      </c>
      <c r="E787" s="2" t="s">
        <v>1170</v>
      </c>
      <c r="F787" s="2" t="s">
        <v>11</v>
      </c>
      <c r="G787" s="3" t="s">
        <v>1171</v>
      </c>
      <c r="H787" s="1" t="s">
        <v>12</v>
      </c>
      <c r="I787" s="1" t="s">
        <v>25</v>
      </c>
      <c r="J787" s="1" t="s">
        <v>14</v>
      </c>
    </row>
    <row r="788" spans="2:10" x14ac:dyDescent="0.3">
      <c r="B788" s="1" t="s">
        <v>1168</v>
      </c>
      <c r="C788" s="1" t="s">
        <v>31</v>
      </c>
      <c r="D788" s="2" t="s">
        <v>462</v>
      </c>
      <c r="E788" s="2" t="s">
        <v>462</v>
      </c>
      <c r="F788" s="2" t="s">
        <v>11</v>
      </c>
      <c r="G788" s="3" t="s">
        <v>1172</v>
      </c>
      <c r="H788" s="1" t="s">
        <v>12</v>
      </c>
      <c r="I788" s="1" t="s">
        <v>60</v>
      </c>
      <c r="J788" s="1" t="s">
        <v>14</v>
      </c>
    </row>
    <row r="789" spans="2:10" x14ac:dyDescent="0.3">
      <c r="B789" s="1" t="s">
        <v>1168</v>
      </c>
      <c r="C789" s="1" t="s">
        <v>45</v>
      </c>
      <c r="D789" s="2" t="s">
        <v>1169</v>
      </c>
      <c r="E789" s="2" t="s">
        <v>1169</v>
      </c>
      <c r="F789" s="2" t="s">
        <v>11</v>
      </c>
      <c r="G789" s="3" t="s">
        <v>1173</v>
      </c>
      <c r="H789" s="1" t="s">
        <v>12</v>
      </c>
      <c r="I789" s="1" t="s">
        <v>18</v>
      </c>
      <c r="J789" s="1" t="s">
        <v>14</v>
      </c>
    </row>
    <row r="790" spans="2:10" x14ac:dyDescent="0.3">
      <c r="B790" s="1" t="s">
        <v>1168</v>
      </c>
      <c r="C790" s="1" t="s">
        <v>43</v>
      </c>
      <c r="D790" s="2" t="s">
        <v>1174</v>
      </c>
      <c r="E790" s="2" t="s">
        <v>320</v>
      </c>
      <c r="F790" s="2" t="s">
        <v>11</v>
      </c>
      <c r="G790" s="3" t="s">
        <v>1175</v>
      </c>
      <c r="H790" s="1" t="s">
        <v>12</v>
      </c>
      <c r="I790" s="1" t="s">
        <v>15</v>
      </c>
      <c r="J790" s="1" t="s">
        <v>52</v>
      </c>
    </row>
    <row r="791" spans="2:10" x14ac:dyDescent="0.3">
      <c r="B791" s="1" t="s">
        <v>1168</v>
      </c>
      <c r="C791" s="1" t="s">
        <v>21</v>
      </c>
      <c r="D791" s="2" t="s">
        <v>1169</v>
      </c>
      <c r="E791" s="2" t="s">
        <v>1169</v>
      </c>
      <c r="F791" s="2" t="s">
        <v>11</v>
      </c>
      <c r="G791" s="3" t="s">
        <v>1176</v>
      </c>
      <c r="H791" s="1" t="s">
        <v>12</v>
      </c>
      <c r="I791" s="1" t="s">
        <v>51</v>
      </c>
      <c r="J791" s="1" t="s">
        <v>14</v>
      </c>
    </row>
    <row r="792" spans="2:10" x14ac:dyDescent="0.3">
      <c r="B792" s="1" t="s">
        <v>1168</v>
      </c>
      <c r="C792" s="1" t="s">
        <v>24</v>
      </c>
      <c r="D792" s="2" t="s">
        <v>227</v>
      </c>
      <c r="E792" s="2" t="s">
        <v>227</v>
      </c>
      <c r="F792" s="2" t="s">
        <v>11</v>
      </c>
      <c r="G792" s="3" t="s">
        <v>1177</v>
      </c>
      <c r="H792" s="1" t="s">
        <v>12</v>
      </c>
      <c r="I792" s="1" t="s">
        <v>13</v>
      </c>
      <c r="J792" s="1" t="s">
        <v>14</v>
      </c>
    </row>
    <row r="793" spans="2:10" x14ac:dyDescent="0.3">
      <c r="B793" s="1" t="s">
        <v>1168</v>
      </c>
      <c r="C793" s="1" t="s">
        <v>33</v>
      </c>
      <c r="D793" s="2" t="s">
        <v>1170</v>
      </c>
      <c r="E793" s="2" t="s">
        <v>1170</v>
      </c>
      <c r="F793" s="2" t="s">
        <v>11</v>
      </c>
      <c r="G793" s="3" t="s">
        <v>1178</v>
      </c>
      <c r="H793" s="1" t="s">
        <v>12</v>
      </c>
      <c r="I793" s="1" t="s">
        <v>47</v>
      </c>
      <c r="J793" s="1" t="s">
        <v>115</v>
      </c>
    </row>
    <row r="794" spans="2:10" x14ac:dyDescent="0.3">
      <c r="B794" s="1" t="s">
        <v>1168</v>
      </c>
      <c r="C794" s="1" t="s">
        <v>35</v>
      </c>
      <c r="D794" s="2" t="s">
        <v>1170</v>
      </c>
      <c r="E794" s="2" t="s">
        <v>1170</v>
      </c>
      <c r="F794" s="2" t="s">
        <v>11</v>
      </c>
      <c r="G794" s="3" t="s">
        <v>1179</v>
      </c>
      <c r="H794" s="1" t="s">
        <v>12</v>
      </c>
      <c r="I794" s="1" t="s">
        <v>63</v>
      </c>
      <c r="J794" s="1" t="s">
        <v>14</v>
      </c>
    </row>
    <row r="795" spans="2:10" x14ac:dyDescent="0.3">
      <c r="B795" s="1" t="s">
        <v>1168</v>
      </c>
      <c r="C795" s="1" t="s">
        <v>15</v>
      </c>
      <c r="D795" s="2" t="s">
        <v>1180</v>
      </c>
      <c r="E795" s="2" t="s">
        <v>1180</v>
      </c>
      <c r="F795" s="2" t="s">
        <v>11</v>
      </c>
      <c r="G795" s="3" t="s">
        <v>1181</v>
      </c>
      <c r="H795" s="1" t="s">
        <v>12</v>
      </c>
      <c r="I795" s="1" t="s">
        <v>58</v>
      </c>
      <c r="J795" s="1" t="s">
        <v>14</v>
      </c>
    </row>
    <row r="796" spans="2:10" x14ac:dyDescent="0.3">
      <c r="B796" s="1" t="s">
        <v>1168</v>
      </c>
      <c r="C796" s="1" t="s">
        <v>17</v>
      </c>
      <c r="D796" s="2" t="s">
        <v>1182</v>
      </c>
      <c r="E796" s="2" t="s">
        <v>1182</v>
      </c>
      <c r="F796" s="2" t="s">
        <v>11</v>
      </c>
      <c r="G796" s="3" t="s">
        <v>1183</v>
      </c>
      <c r="H796" s="1" t="s">
        <v>12</v>
      </c>
      <c r="I796" s="1" t="s">
        <v>116</v>
      </c>
      <c r="J796" s="1" t="s">
        <v>14</v>
      </c>
    </row>
    <row r="797" spans="2:10" x14ac:dyDescent="0.3">
      <c r="B797" s="1" t="s">
        <v>1168</v>
      </c>
      <c r="C797" s="1" t="s">
        <v>19</v>
      </c>
      <c r="D797" s="2" t="s">
        <v>1182</v>
      </c>
      <c r="E797" s="2" t="s">
        <v>1182</v>
      </c>
      <c r="F797" s="2" t="s">
        <v>11</v>
      </c>
      <c r="G797" s="3" t="s">
        <v>1184</v>
      </c>
      <c r="H797" s="1" t="s">
        <v>12</v>
      </c>
      <c r="I797" s="1" t="s">
        <v>64</v>
      </c>
      <c r="J797" s="1" t="s">
        <v>14</v>
      </c>
    </row>
    <row r="798" spans="2:10" x14ac:dyDescent="0.3">
      <c r="B798" s="1" t="s">
        <v>1168</v>
      </c>
      <c r="C798" s="1" t="s">
        <v>10</v>
      </c>
      <c r="D798" s="2" t="s">
        <v>491</v>
      </c>
      <c r="E798" s="2" t="s">
        <v>491</v>
      </c>
      <c r="F798" s="2" t="s">
        <v>11</v>
      </c>
      <c r="G798" s="3" t="s">
        <v>1185</v>
      </c>
      <c r="H798" s="1" t="s">
        <v>12</v>
      </c>
      <c r="I798" s="1" t="s">
        <v>30</v>
      </c>
      <c r="J798" s="1" t="s">
        <v>14</v>
      </c>
    </row>
    <row r="799" spans="2:10" x14ac:dyDescent="0.3">
      <c r="B799" s="1" t="s">
        <v>1168</v>
      </c>
      <c r="C799" s="1" t="s">
        <v>28</v>
      </c>
      <c r="D799" s="2" t="s">
        <v>1182</v>
      </c>
      <c r="E799" s="2" t="s">
        <v>1182</v>
      </c>
      <c r="F799" s="2" t="s">
        <v>11</v>
      </c>
      <c r="G799" s="3" t="s">
        <v>1186</v>
      </c>
      <c r="H799" s="1" t="s">
        <v>12</v>
      </c>
      <c r="I799" s="1" t="s">
        <v>44</v>
      </c>
      <c r="J799" s="1" t="s">
        <v>14</v>
      </c>
    </row>
    <row r="800" spans="2:10" x14ac:dyDescent="0.3">
      <c r="B800" s="1" t="s">
        <v>1168</v>
      </c>
      <c r="C800" s="1" t="s">
        <v>41</v>
      </c>
      <c r="D800" s="2" t="s">
        <v>231</v>
      </c>
      <c r="E800" s="2" t="s">
        <v>231</v>
      </c>
      <c r="F800" s="2" t="s">
        <v>11</v>
      </c>
      <c r="G800" s="3" t="s">
        <v>1187</v>
      </c>
      <c r="H800" s="1" t="s">
        <v>12</v>
      </c>
      <c r="I800" s="1" t="s">
        <v>63</v>
      </c>
      <c r="J800" s="1" t="s">
        <v>14</v>
      </c>
    </row>
    <row r="801" spans="2:10" x14ac:dyDescent="0.3">
      <c r="B801" s="1" t="s">
        <v>1168</v>
      </c>
      <c r="C801" s="1" t="s">
        <v>29</v>
      </c>
      <c r="D801" s="2" t="s">
        <v>1188</v>
      </c>
      <c r="E801" s="2" t="s">
        <v>1188</v>
      </c>
      <c r="F801" s="2" t="s">
        <v>11</v>
      </c>
      <c r="G801" s="3" t="s">
        <v>1189</v>
      </c>
      <c r="H801" s="1" t="s">
        <v>12</v>
      </c>
      <c r="I801" s="1" t="s">
        <v>83</v>
      </c>
      <c r="J801" s="1" t="s">
        <v>14</v>
      </c>
    </row>
    <row r="802" spans="2:10" x14ac:dyDescent="0.3">
      <c r="B802" s="1" t="s">
        <v>1168</v>
      </c>
      <c r="C802" s="1" t="s">
        <v>23</v>
      </c>
      <c r="D802" s="2" t="s">
        <v>499</v>
      </c>
      <c r="E802" s="2" t="s">
        <v>499</v>
      </c>
      <c r="F802" s="2" t="s">
        <v>11</v>
      </c>
      <c r="G802" s="3" t="s">
        <v>1190</v>
      </c>
      <c r="H802" s="1" t="s">
        <v>12</v>
      </c>
      <c r="I802" s="1" t="s">
        <v>62</v>
      </c>
      <c r="J802" s="1" t="s">
        <v>14</v>
      </c>
    </row>
    <row r="803" spans="2:10" x14ac:dyDescent="0.3">
      <c r="B803" s="1" t="s">
        <v>1168</v>
      </c>
      <c r="C803" s="1" t="s">
        <v>36</v>
      </c>
      <c r="D803" s="2" t="s">
        <v>231</v>
      </c>
      <c r="E803" s="2" t="s">
        <v>231</v>
      </c>
      <c r="F803" s="2" t="s">
        <v>11</v>
      </c>
      <c r="G803" s="3" t="s">
        <v>1191</v>
      </c>
      <c r="H803" s="1" t="s">
        <v>12</v>
      </c>
      <c r="I803" s="1" t="s">
        <v>74</v>
      </c>
      <c r="J803" s="1" t="s">
        <v>14</v>
      </c>
    </row>
    <row r="804" spans="2:10" x14ac:dyDescent="0.3">
      <c r="B804" s="1" t="s">
        <v>1168</v>
      </c>
      <c r="C804" s="1" t="s">
        <v>46</v>
      </c>
      <c r="D804" s="2" t="s">
        <v>1180</v>
      </c>
      <c r="E804" s="2" t="s">
        <v>1180</v>
      </c>
      <c r="F804" s="2" t="s">
        <v>11</v>
      </c>
      <c r="G804" s="3" t="s">
        <v>1192</v>
      </c>
      <c r="H804" s="1" t="s">
        <v>12</v>
      </c>
      <c r="I804" s="1" t="s">
        <v>93</v>
      </c>
      <c r="J804" s="1" t="s">
        <v>14</v>
      </c>
    </row>
    <row r="805" spans="2:10" x14ac:dyDescent="0.3">
      <c r="B805" s="1" t="s">
        <v>1168</v>
      </c>
      <c r="C805" s="1" t="s">
        <v>39</v>
      </c>
      <c r="D805" s="2" t="s">
        <v>584</v>
      </c>
      <c r="E805" s="2" t="s">
        <v>584</v>
      </c>
      <c r="F805" s="2" t="s">
        <v>11</v>
      </c>
      <c r="G805" s="3" t="s">
        <v>837</v>
      </c>
      <c r="H805" s="1" t="s">
        <v>12</v>
      </c>
      <c r="I805" s="1" t="s">
        <v>44</v>
      </c>
      <c r="J805" s="1" t="s">
        <v>14</v>
      </c>
    </row>
    <row r="806" spans="2:10" x14ac:dyDescent="0.3">
      <c r="B806" s="1" t="s">
        <v>1193</v>
      </c>
      <c r="C806" s="1" t="s">
        <v>45</v>
      </c>
      <c r="D806" s="2" t="s">
        <v>251</v>
      </c>
      <c r="E806" s="2" t="s">
        <v>251</v>
      </c>
      <c r="F806" s="2" t="s">
        <v>11</v>
      </c>
      <c r="G806" s="3" t="s">
        <v>315</v>
      </c>
      <c r="H806" s="1" t="s">
        <v>12</v>
      </c>
      <c r="I806" s="1" t="s">
        <v>25</v>
      </c>
      <c r="J806" s="1" t="s">
        <v>14</v>
      </c>
    </row>
    <row r="807" spans="2:10" x14ac:dyDescent="0.3">
      <c r="B807" s="1" t="s">
        <v>1193</v>
      </c>
      <c r="C807" s="1" t="s">
        <v>35</v>
      </c>
      <c r="D807" s="2" t="s">
        <v>443</v>
      </c>
      <c r="E807" s="2" t="s">
        <v>443</v>
      </c>
      <c r="F807" s="2" t="s">
        <v>11</v>
      </c>
      <c r="G807" s="3" t="s">
        <v>1194</v>
      </c>
      <c r="H807" s="1" t="s">
        <v>12</v>
      </c>
      <c r="I807" s="1" t="s">
        <v>60</v>
      </c>
      <c r="J807" s="1" t="s">
        <v>14</v>
      </c>
    </row>
    <row r="808" spans="2:10" x14ac:dyDescent="0.3">
      <c r="B808" s="1" t="s">
        <v>1193</v>
      </c>
      <c r="C808" s="1" t="s">
        <v>21</v>
      </c>
      <c r="D808" s="2" t="s">
        <v>439</v>
      </c>
      <c r="E808" s="2" t="s">
        <v>439</v>
      </c>
      <c r="F808" s="2" t="s">
        <v>11</v>
      </c>
      <c r="G808" s="3" t="s">
        <v>703</v>
      </c>
      <c r="H808" s="1" t="s">
        <v>12</v>
      </c>
      <c r="I808" s="1" t="s">
        <v>51</v>
      </c>
      <c r="J808" s="1" t="s">
        <v>14</v>
      </c>
    </row>
    <row r="809" spans="2:10" x14ac:dyDescent="0.3">
      <c r="B809" s="1" t="s">
        <v>1193</v>
      </c>
      <c r="C809" s="1" t="s">
        <v>29</v>
      </c>
      <c r="D809" s="2" t="s">
        <v>529</v>
      </c>
      <c r="E809" s="2" t="s">
        <v>529</v>
      </c>
      <c r="F809" s="2" t="s">
        <v>11</v>
      </c>
      <c r="G809" s="3" t="s">
        <v>1195</v>
      </c>
      <c r="H809" s="1" t="s">
        <v>12</v>
      </c>
      <c r="I809" s="1" t="s">
        <v>66</v>
      </c>
      <c r="J809" s="1" t="s">
        <v>14</v>
      </c>
    </row>
    <row r="810" spans="2:10" x14ac:dyDescent="0.3">
      <c r="B810" s="1" t="s">
        <v>1193</v>
      </c>
      <c r="C810" s="1" t="s">
        <v>41</v>
      </c>
      <c r="D810" s="2" t="s">
        <v>443</v>
      </c>
      <c r="E810" s="2" t="s">
        <v>443</v>
      </c>
      <c r="F810" s="2" t="s">
        <v>11</v>
      </c>
      <c r="G810" s="3" t="s">
        <v>1149</v>
      </c>
      <c r="H810" s="1" t="s">
        <v>12</v>
      </c>
      <c r="I810" s="1" t="s">
        <v>78</v>
      </c>
      <c r="J810" s="1" t="s">
        <v>14</v>
      </c>
    </row>
    <row r="811" spans="2:10" x14ac:dyDescent="0.3">
      <c r="B811" s="1" t="s">
        <v>1193</v>
      </c>
      <c r="C811" s="1" t="s">
        <v>15</v>
      </c>
      <c r="D811" s="2" t="s">
        <v>438</v>
      </c>
      <c r="E811" s="2" t="s">
        <v>438</v>
      </c>
      <c r="F811" s="2" t="s">
        <v>11</v>
      </c>
      <c r="G811" s="3" t="s">
        <v>1196</v>
      </c>
      <c r="H811" s="1" t="s">
        <v>12</v>
      </c>
      <c r="I811" s="1" t="s">
        <v>40</v>
      </c>
      <c r="J811" s="1" t="s">
        <v>14</v>
      </c>
    </row>
    <row r="812" spans="2:10" x14ac:dyDescent="0.3">
      <c r="B812" s="1" t="s">
        <v>1193</v>
      </c>
      <c r="C812" s="1" t="s">
        <v>43</v>
      </c>
      <c r="D812" s="2" t="s">
        <v>439</v>
      </c>
      <c r="E812" s="2" t="s">
        <v>439</v>
      </c>
      <c r="F812" s="2" t="s">
        <v>11</v>
      </c>
      <c r="G812" s="3" t="s">
        <v>1197</v>
      </c>
      <c r="H812" s="1" t="s">
        <v>12</v>
      </c>
      <c r="I812" s="1" t="s">
        <v>74</v>
      </c>
      <c r="J812" s="1" t="s">
        <v>14</v>
      </c>
    </row>
    <row r="813" spans="2:10" x14ac:dyDescent="0.3">
      <c r="B813" s="1" t="s">
        <v>1193</v>
      </c>
      <c r="C813" s="1" t="s">
        <v>46</v>
      </c>
      <c r="D813" s="2" t="s">
        <v>439</v>
      </c>
      <c r="E813" s="2" t="s">
        <v>439</v>
      </c>
      <c r="F813" s="2" t="s">
        <v>11</v>
      </c>
      <c r="G813" s="3" t="s">
        <v>1198</v>
      </c>
      <c r="H813" s="1" t="s">
        <v>12</v>
      </c>
      <c r="I813" s="1" t="s">
        <v>73</v>
      </c>
      <c r="J813" s="1" t="s">
        <v>14</v>
      </c>
    </row>
    <row r="814" spans="2:10" x14ac:dyDescent="0.3">
      <c r="B814" s="1" t="s">
        <v>1193</v>
      </c>
      <c r="C814" s="1" t="s">
        <v>24</v>
      </c>
      <c r="D814" s="2" t="s">
        <v>251</v>
      </c>
      <c r="E814" s="2" t="s">
        <v>251</v>
      </c>
      <c r="F814" s="2" t="s">
        <v>11</v>
      </c>
      <c r="G814" s="3" t="s">
        <v>691</v>
      </c>
      <c r="H814" s="1" t="s">
        <v>12</v>
      </c>
      <c r="I814" s="1" t="s">
        <v>25</v>
      </c>
      <c r="J814" s="1" t="s">
        <v>14</v>
      </c>
    </row>
    <row r="815" spans="2:10" x14ac:dyDescent="0.3">
      <c r="B815" s="1" t="s">
        <v>1193</v>
      </c>
      <c r="C815" s="1" t="s">
        <v>26</v>
      </c>
      <c r="D815" s="2" t="s">
        <v>182</v>
      </c>
      <c r="E815" s="2" t="s">
        <v>182</v>
      </c>
      <c r="F815" s="2" t="s">
        <v>11</v>
      </c>
      <c r="G815" s="3" t="s">
        <v>1199</v>
      </c>
      <c r="H815" s="1" t="s">
        <v>12</v>
      </c>
      <c r="I815" s="1" t="s">
        <v>64</v>
      </c>
      <c r="J815" s="1" t="s">
        <v>14</v>
      </c>
    </row>
    <row r="816" spans="2:10" x14ac:dyDescent="0.3">
      <c r="B816" s="1" t="s">
        <v>1193</v>
      </c>
      <c r="C816" s="1" t="s">
        <v>31</v>
      </c>
      <c r="D816" s="2" t="s">
        <v>584</v>
      </c>
      <c r="E816" s="2" t="s">
        <v>584</v>
      </c>
      <c r="F816" s="2" t="s">
        <v>11</v>
      </c>
      <c r="G816" s="3" t="s">
        <v>1200</v>
      </c>
      <c r="H816" s="1" t="s">
        <v>12</v>
      </c>
      <c r="I816" s="1" t="s">
        <v>25</v>
      </c>
      <c r="J816" s="1" t="s">
        <v>14</v>
      </c>
    </row>
    <row r="817" spans="2:10" x14ac:dyDescent="0.3">
      <c r="B817" s="1" t="s">
        <v>1193</v>
      </c>
      <c r="C817" s="1" t="s">
        <v>23</v>
      </c>
      <c r="D817" s="2" t="s">
        <v>187</v>
      </c>
      <c r="E817" s="2" t="s">
        <v>187</v>
      </c>
      <c r="F817" s="2" t="s">
        <v>11</v>
      </c>
      <c r="G817" s="3" t="s">
        <v>1201</v>
      </c>
      <c r="H817" s="1" t="s">
        <v>12</v>
      </c>
      <c r="I817" s="1" t="s">
        <v>47</v>
      </c>
      <c r="J817" s="1" t="s">
        <v>14</v>
      </c>
    </row>
    <row r="818" spans="2:10" x14ac:dyDescent="0.3">
      <c r="B818" s="1" t="s">
        <v>1193</v>
      </c>
      <c r="C818" s="1" t="s">
        <v>10</v>
      </c>
      <c r="D818" s="2" t="s">
        <v>439</v>
      </c>
      <c r="E818" s="2" t="s">
        <v>439</v>
      </c>
      <c r="F818" s="2" t="s">
        <v>11</v>
      </c>
      <c r="G818" s="3" t="s">
        <v>1202</v>
      </c>
      <c r="H818" s="1" t="s">
        <v>12</v>
      </c>
      <c r="I818" s="1" t="s">
        <v>69</v>
      </c>
      <c r="J818" s="1" t="s">
        <v>14</v>
      </c>
    </row>
    <row r="819" spans="2:10" x14ac:dyDescent="0.3">
      <c r="B819" s="1" t="s">
        <v>1193</v>
      </c>
      <c r="C819" s="1" t="s">
        <v>33</v>
      </c>
      <c r="D819" s="2" t="s">
        <v>529</v>
      </c>
      <c r="E819" s="2" t="s">
        <v>529</v>
      </c>
      <c r="F819" s="2" t="s">
        <v>11</v>
      </c>
      <c r="G819" s="3" t="s">
        <v>1203</v>
      </c>
      <c r="H819" s="1" t="s">
        <v>12</v>
      </c>
      <c r="I819" s="1" t="s">
        <v>57</v>
      </c>
      <c r="J819" s="1" t="s">
        <v>14</v>
      </c>
    </row>
    <row r="820" spans="2:10" x14ac:dyDescent="0.3">
      <c r="B820" s="1" t="s">
        <v>1193</v>
      </c>
      <c r="C820" s="1" t="s">
        <v>19</v>
      </c>
      <c r="D820" s="2" t="s">
        <v>439</v>
      </c>
      <c r="E820" s="2" t="s">
        <v>439</v>
      </c>
      <c r="F820" s="2" t="s">
        <v>11</v>
      </c>
      <c r="G820" s="3" t="s">
        <v>1204</v>
      </c>
      <c r="H820" s="1" t="s">
        <v>12</v>
      </c>
      <c r="I820" s="1" t="s">
        <v>74</v>
      </c>
      <c r="J820" s="1" t="s">
        <v>14</v>
      </c>
    </row>
    <row r="821" spans="2:10" x14ac:dyDescent="0.3">
      <c r="B821" s="1" t="s">
        <v>1193</v>
      </c>
      <c r="C821" s="1" t="s">
        <v>17</v>
      </c>
      <c r="D821" s="2" t="s">
        <v>182</v>
      </c>
      <c r="E821" s="2" t="s">
        <v>182</v>
      </c>
      <c r="F821" s="2" t="s">
        <v>11</v>
      </c>
      <c r="G821" s="3" t="s">
        <v>1205</v>
      </c>
      <c r="H821" s="1" t="s">
        <v>12</v>
      </c>
      <c r="I821" s="1" t="s">
        <v>64</v>
      </c>
      <c r="J821" s="1" t="s">
        <v>14</v>
      </c>
    </row>
    <row r="822" spans="2:10" x14ac:dyDescent="0.3">
      <c r="B822" s="1" t="s">
        <v>1193</v>
      </c>
      <c r="C822" s="1" t="s">
        <v>28</v>
      </c>
      <c r="D822" s="2" t="s">
        <v>443</v>
      </c>
      <c r="E822" s="2" t="s">
        <v>443</v>
      </c>
      <c r="F822" s="2" t="s">
        <v>11</v>
      </c>
      <c r="G822" s="3" t="s">
        <v>1206</v>
      </c>
      <c r="H822" s="1" t="s">
        <v>12</v>
      </c>
      <c r="I822" s="1" t="s">
        <v>62</v>
      </c>
      <c r="J822" s="1" t="s">
        <v>14</v>
      </c>
    </row>
    <row r="823" spans="2:10" x14ac:dyDescent="0.3">
      <c r="B823" s="1" t="s">
        <v>1193</v>
      </c>
      <c r="C823" s="1" t="s">
        <v>39</v>
      </c>
      <c r="D823" s="2" t="s">
        <v>443</v>
      </c>
      <c r="E823" s="2" t="s">
        <v>443</v>
      </c>
      <c r="F823" s="2" t="s">
        <v>11</v>
      </c>
      <c r="G823" s="3" t="s">
        <v>1207</v>
      </c>
      <c r="H823" s="1" t="s">
        <v>12</v>
      </c>
      <c r="I823" s="1" t="s">
        <v>42</v>
      </c>
      <c r="J823" s="1" t="s">
        <v>14</v>
      </c>
    </row>
    <row r="824" spans="2:10" x14ac:dyDescent="0.3">
      <c r="B824" s="1" t="s">
        <v>1193</v>
      </c>
      <c r="C824" s="1" t="s">
        <v>36</v>
      </c>
      <c r="D824" s="2" t="s">
        <v>529</v>
      </c>
      <c r="E824" s="2" t="s">
        <v>529</v>
      </c>
      <c r="F824" s="2" t="s">
        <v>11</v>
      </c>
      <c r="G824" s="3" t="s">
        <v>1208</v>
      </c>
      <c r="H824" s="1" t="s">
        <v>12</v>
      </c>
      <c r="I824" s="1" t="s">
        <v>94</v>
      </c>
      <c r="J824" s="1" t="s">
        <v>14</v>
      </c>
    </row>
    <row r="825" spans="2:10" x14ac:dyDescent="0.3">
      <c r="B825" s="1" t="s">
        <v>1193</v>
      </c>
      <c r="C825" s="1" t="s">
        <v>38</v>
      </c>
      <c r="D825" s="2" t="s">
        <v>859</v>
      </c>
      <c r="E825" s="2" t="s">
        <v>859</v>
      </c>
      <c r="F825" s="2" t="s">
        <v>11</v>
      </c>
      <c r="G825" s="3" t="s">
        <v>1209</v>
      </c>
      <c r="H825" s="1" t="s">
        <v>12</v>
      </c>
      <c r="I825" s="1" t="s">
        <v>30</v>
      </c>
      <c r="J825" s="1" t="s">
        <v>14</v>
      </c>
    </row>
    <row r="826" spans="2:10" x14ac:dyDescent="0.3">
      <c r="B826" s="1" t="s">
        <v>1210</v>
      </c>
      <c r="C826" s="1" t="s">
        <v>15</v>
      </c>
      <c r="D826" s="2" t="s">
        <v>696</v>
      </c>
      <c r="E826" s="2" t="s">
        <v>696</v>
      </c>
      <c r="F826" s="2" t="s">
        <v>11</v>
      </c>
      <c r="G826" s="3" t="s">
        <v>1211</v>
      </c>
      <c r="H826" s="1" t="s">
        <v>12</v>
      </c>
      <c r="I826" s="1" t="s">
        <v>91</v>
      </c>
      <c r="J826" s="1" t="s">
        <v>14</v>
      </c>
    </row>
    <row r="827" spans="2:10" x14ac:dyDescent="0.3">
      <c r="B827" s="1" t="s">
        <v>1210</v>
      </c>
      <c r="C827" s="1" t="s">
        <v>24</v>
      </c>
      <c r="D827" s="2" t="s">
        <v>322</v>
      </c>
      <c r="E827" s="2" t="s">
        <v>322</v>
      </c>
      <c r="F827" s="2" t="s">
        <v>11</v>
      </c>
      <c r="G827" s="3" t="s">
        <v>1212</v>
      </c>
      <c r="H827" s="1" t="s">
        <v>12</v>
      </c>
      <c r="I827" s="1" t="s">
        <v>42</v>
      </c>
      <c r="J827" s="1" t="s">
        <v>14</v>
      </c>
    </row>
    <row r="828" spans="2:10" x14ac:dyDescent="0.3">
      <c r="B828" s="1" t="s">
        <v>1210</v>
      </c>
      <c r="C828" s="1" t="s">
        <v>26</v>
      </c>
      <c r="D828" s="2" t="s">
        <v>747</v>
      </c>
      <c r="E828" s="2" t="s">
        <v>747</v>
      </c>
      <c r="F828" s="2" t="s">
        <v>11</v>
      </c>
      <c r="G828" s="3" t="s">
        <v>1213</v>
      </c>
      <c r="H828" s="1" t="s">
        <v>12</v>
      </c>
      <c r="I828" s="1" t="s">
        <v>13</v>
      </c>
      <c r="J828" s="1" t="s">
        <v>14</v>
      </c>
    </row>
    <row r="829" spans="2:10" x14ac:dyDescent="0.3">
      <c r="B829" s="1" t="s">
        <v>1210</v>
      </c>
      <c r="C829" s="1" t="s">
        <v>23</v>
      </c>
      <c r="D829" s="2" t="s">
        <v>316</v>
      </c>
      <c r="E829" s="2" t="s">
        <v>316</v>
      </c>
      <c r="F829" s="2" t="s">
        <v>11</v>
      </c>
      <c r="G829" s="3" t="s">
        <v>1122</v>
      </c>
      <c r="H829" s="1" t="s">
        <v>12</v>
      </c>
      <c r="I829" s="1" t="s">
        <v>71</v>
      </c>
      <c r="J829" s="1" t="s">
        <v>14</v>
      </c>
    </row>
    <row r="830" spans="2:10" x14ac:dyDescent="0.3">
      <c r="B830" s="1" t="s">
        <v>1210</v>
      </c>
      <c r="C830" s="1" t="s">
        <v>35</v>
      </c>
      <c r="D830" s="2" t="s">
        <v>758</v>
      </c>
      <c r="E830" s="2" t="s">
        <v>758</v>
      </c>
      <c r="F830" s="2" t="s">
        <v>11</v>
      </c>
      <c r="G830" s="3" t="s">
        <v>1214</v>
      </c>
      <c r="H830" s="1" t="s">
        <v>12</v>
      </c>
      <c r="I830" s="1" t="s">
        <v>41</v>
      </c>
      <c r="J830" s="1" t="s">
        <v>14</v>
      </c>
    </row>
    <row r="831" spans="2:10" x14ac:dyDescent="0.3">
      <c r="B831" s="1" t="s">
        <v>1210</v>
      </c>
      <c r="C831" s="1" t="s">
        <v>33</v>
      </c>
      <c r="D831" s="2" t="s">
        <v>337</v>
      </c>
      <c r="E831" s="2" t="s">
        <v>337</v>
      </c>
      <c r="F831" s="2" t="s">
        <v>11</v>
      </c>
      <c r="G831" s="3" t="s">
        <v>1215</v>
      </c>
      <c r="H831" s="1" t="s">
        <v>12</v>
      </c>
      <c r="I831" s="1" t="s">
        <v>36</v>
      </c>
      <c r="J831" s="1" t="s">
        <v>14</v>
      </c>
    </row>
    <row r="832" spans="2:10" x14ac:dyDescent="0.3">
      <c r="B832" s="1" t="s">
        <v>1210</v>
      </c>
      <c r="C832" s="1" t="s">
        <v>41</v>
      </c>
      <c r="D832" s="2" t="s">
        <v>747</v>
      </c>
      <c r="E832" s="2" t="s">
        <v>747</v>
      </c>
      <c r="F832" s="2" t="s">
        <v>11</v>
      </c>
      <c r="G832" s="3" t="s">
        <v>1216</v>
      </c>
      <c r="H832" s="1" t="s">
        <v>12</v>
      </c>
      <c r="I832" s="1" t="s">
        <v>50</v>
      </c>
      <c r="J832" s="1" t="s">
        <v>14</v>
      </c>
    </row>
    <row r="833" spans="2:10" x14ac:dyDescent="0.3">
      <c r="B833" s="1" t="s">
        <v>1210</v>
      </c>
      <c r="C833" s="1" t="s">
        <v>39</v>
      </c>
      <c r="D833" s="2" t="s">
        <v>747</v>
      </c>
      <c r="E833" s="2" t="s">
        <v>747</v>
      </c>
      <c r="F833" s="2" t="s">
        <v>11</v>
      </c>
      <c r="G833" s="3" t="s">
        <v>1217</v>
      </c>
      <c r="H833" s="1" t="s">
        <v>12</v>
      </c>
      <c r="I833" s="1" t="s">
        <v>40</v>
      </c>
      <c r="J833" s="1" t="s">
        <v>14</v>
      </c>
    </row>
    <row r="834" spans="2:10" x14ac:dyDescent="0.3">
      <c r="B834" s="1" t="s">
        <v>1210</v>
      </c>
      <c r="C834" s="1" t="s">
        <v>43</v>
      </c>
      <c r="D834" s="2" t="s">
        <v>337</v>
      </c>
      <c r="E834" s="2" t="s">
        <v>337</v>
      </c>
      <c r="F834" s="2" t="s">
        <v>11</v>
      </c>
      <c r="G834" s="3" t="s">
        <v>1218</v>
      </c>
      <c r="H834" s="1" t="s">
        <v>12</v>
      </c>
      <c r="I834" s="1" t="s">
        <v>80</v>
      </c>
      <c r="J834" s="1" t="s">
        <v>14</v>
      </c>
    </row>
    <row r="835" spans="2:10" x14ac:dyDescent="0.3">
      <c r="B835" s="1" t="s">
        <v>1210</v>
      </c>
      <c r="C835" s="1" t="s">
        <v>45</v>
      </c>
      <c r="D835" s="2" t="s">
        <v>337</v>
      </c>
      <c r="E835" s="2" t="s">
        <v>337</v>
      </c>
      <c r="F835" s="2" t="s">
        <v>11</v>
      </c>
      <c r="G835" s="3" t="s">
        <v>1219</v>
      </c>
      <c r="H835" s="1" t="s">
        <v>12</v>
      </c>
      <c r="I835" s="1" t="s">
        <v>61</v>
      </c>
      <c r="J835" s="1" t="s">
        <v>14</v>
      </c>
    </row>
    <row r="836" spans="2:10" x14ac:dyDescent="0.3">
      <c r="B836" s="1" t="s">
        <v>1210</v>
      </c>
      <c r="C836" s="1" t="s">
        <v>10</v>
      </c>
      <c r="D836" s="2" t="s">
        <v>185</v>
      </c>
      <c r="E836" s="2" t="s">
        <v>185</v>
      </c>
      <c r="F836" s="2" t="s">
        <v>11</v>
      </c>
      <c r="G836" s="3" t="s">
        <v>315</v>
      </c>
      <c r="H836" s="1" t="s">
        <v>12</v>
      </c>
      <c r="I836" s="1" t="s">
        <v>40</v>
      </c>
      <c r="J836" s="1" t="s">
        <v>14</v>
      </c>
    </row>
    <row r="837" spans="2:10" x14ac:dyDescent="0.3">
      <c r="B837" s="1" t="s">
        <v>1210</v>
      </c>
      <c r="C837" s="1" t="s">
        <v>17</v>
      </c>
      <c r="D837" s="2" t="s">
        <v>202</v>
      </c>
      <c r="E837" s="2" t="s">
        <v>202</v>
      </c>
      <c r="F837" s="2" t="s">
        <v>11</v>
      </c>
      <c r="G837" s="3" t="s">
        <v>623</v>
      </c>
      <c r="H837" s="1" t="s">
        <v>12</v>
      </c>
      <c r="I837" s="1" t="s">
        <v>47</v>
      </c>
      <c r="J837" s="1" t="s">
        <v>14</v>
      </c>
    </row>
    <row r="838" spans="2:10" x14ac:dyDescent="0.3">
      <c r="B838" s="1" t="s">
        <v>1210</v>
      </c>
      <c r="C838" s="1" t="s">
        <v>38</v>
      </c>
      <c r="D838" s="2" t="s">
        <v>195</v>
      </c>
      <c r="E838" s="2" t="s">
        <v>455</v>
      </c>
      <c r="F838" s="2" t="s">
        <v>11</v>
      </c>
      <c r="G838" s="3" t="s">
        <v>1220</v>
      </c>
      <c r="H838" s="1" t="s">
        <v>12</v>
      </c>
      <c r="I838" s="1" t="s">
        <v>15</v>
      </c>
      <c r="J838" s="1" t="s">
        <v>52</v>
      </c>
    </row>
    <row r="839" spans="2:10" x14ac:dyDescent="0.3">
      <c r="B839" s="1" t="s">
        <v>1210</v>
      </c>
      <c r="C839" s="1" t="s">
        <v>19</v>
      </c>
      <c r="D839" s="2" t="s">
        <v>204</v>
      </c>
      <c r="E839" s="2" t="s">
        <v>204</v>
      </c>
      <c r="F839" s="2" t="s">
        <v>11</v>
      </c>
      <c r="G839" s="3" t="s">
        <v>1221</v>
      </c>
      <c r="H839" s="1" t="s">
        <v>12</v>
      </c>
      <c r="I839" s="1" t="s">
        <v>69</v>
      </c>
      <c r="J839" s="1" t="s">
        <v>14</v>
      </c>
    </row>
    <row r="840" spans="2:10" x14ac:dyDescent="0.3">
      <c r="B840" s="1" t="s">
        <v>1210</v>
      </c>
      <c r="C840" s="1" t="s">
        <v>21</v>
      </c>
      <c r="D840" s="2" t="s">
        <v>512</v>
      </c>
      <c r="E840" s="2" t="s">
        <v>512</v>
      </c>
      <c r="F840" s="2" t="s">
        <v>11</v>
      </c>
      <c r="G840" s="3" t="s">
        <v>1222</v>
      </c>
      <c r="H840" s="1" t="s">
        <v>12</v>
      </c>
      <c r="I840" s="1" t="s">
        <v>80</v>
      </c>
      <c r="J840" s="1" t="s">
        <v>14</v>
      </c>
    </row>
    <row r="841" spans="2:10" x14ac:dyDescent="0.3">
      <c r="B841" s="1" t="s">
        <v>1210</v>
      </c>
      <c r="C841" s="1" t="s">
        <v>29</v>
      </c>
      <c r="D841" s="2" t="s">
        <v>747</v>
      </c>
      <c r="E841" s="2" t="s">
        <v>747</v>
      </c>
      <c r="F841" s="2" t="s">
        <v>11</v>
      </c>
      <c r="G841" s="3" t="s">
        <v>621</v>
      </c>
      <c r="H841" s="1" t="s">
        <v>12</v>
      </c>
      <c r="I841" s="1" t="s">
        <v>30</v>
      </c>
      <c r="J841" s="1" t="s">
        <v>14</v>
      </c>
    </row>
    <row r="842" spans="2:10" x14ac:dyDescent="0.3">
      <c r="B842" s="1" t="s">
        <v>1210</v>
      </c>
      <c r="C842" s="1" t="s">
        <v>31</v>
      </c>
      <c r="D842" s="2" t="s">
        <v>337</v>
      </c>
      <c r="E842" s="2" t="s">
        <v>337</v>
      </c>
      <c r="F842" s="2" t="s">
        <v>11</v>
      </c>
      <c r="G842" s="3" t="s">
        <v>1223</v>
      </c>
      <c r="H842" s="1" t="s">
        <v>12</v>
      </c>
      <c r="I842" s="1" t="s">
        <v>55</v>
      </c>
      <c r="J842" s="1" t="s">
        <v>14</v>
      </c>
    </row>
    <row r="843" spans="2:10" x14ac:dyDescent="0.3">
      <c r="B843" s="1" t="s">
        <v>1210</v>
      </c>
      <c r="C843" s="1" t="s">
        <v>36</v>
      </c>
      <c r="D843" s="2" t="s">
        <v>696</v>
      </c>
      <c r="E843" s="2" t="s">
        <v>696</v>
      </c>
      <c r="F843" s="2" t="s">
        <v>11</v>
      </c>
      <c r="G843" s="3" t="s">
        <v>1224</v>
      </c>
      <c r="H843" s="1" t="s">
        <v>12</v>
      </c>
      <c r="I843" s="1" t="s">
        <v>20</v>
      </c>
      <c r="J843" s="1" t="s">
        <v>14</v>
      </c>
    </row>
    <row r="844" spans="2:10" x14ac:dyDescent="0.3">
      <c r="B844" s="1" t="s">
        <v>1210</v>
      </c>
      <c r="C844" s="1" t="s">
        <v>28</v>
      </c>
      <c r="D844" s="2" t="s">
        <v>620</v>
      </c>
      <c r="E844" s="2" t="s">
        <v>1225</v>
      </c>
      <c r="F844" s="2" t="s">
        <v>11</v>
      </c>
      <c r="G844" s="3" t="s">
        <v>1226</v>
      </c>
      <c r="H844" s="1" t="s">
        <v>12</v>
      </c>
      <c r="I844" s="1" t="s">
        <v>15</v>
      </c>
      <c r="J844" s="1" t="s">
        <v>52</v>
      </c>
    </row>
    <row r="845" spans="2:10" x14ac:dyDescent="0.3">
      <c r="B845" s="1" t="s">
        <v>1210</v>
      </c>
      <c r="C845" s="1" t="s">
        <v>46</v>
      </c>
      <c r="D845" s="2" t="s">
        <v>747</v>
      </c>
      <c r="E845" s="2" t="s">
        <v>747</v>
      </c>
      <c r="F845" s="2" t="s">
        <v>11</v>
      </c>
      <c r="G845" s="3" t="s">
        <v>117</v>
      </c>
      <c r="H845" s="1" t="s">
        <v>12</v>
      </c>
      <c r="I845" s="1" t="s">
        <v>32</v>
      </c>
      <c r="J845" s="1" t="s">
        <v>14</v>
      </c>
    </row>
    <row r="846" spans="2:10" x14ac:dyDescent="0.3">
      <c r="B846" s="1" t="s">
        <v>1227</v>
      </c>
      <c r="C846" s="1" t="s">
        <v>23</v>
      </c>
      <c r="D846" s="2" t="s">
        <v>552</v>
      </c>
      <c r="E846" s="2" t="s">
        <v>1228</v>
      </c>
      <c r="F846" s="2" t="s">
        <v>11</v>
      </c>
      <c r="G846" s="3" t="s">
        <v>1229</v>
      </c>
      <c r="H846" s="1" t="s">
        <v>12</v>
      </c>
      <c r="I846" s="1" t="s">
        <v>23</v>
      </c>
      <c r="J846" s="1" t="s">
        <v>52</v>
      </c>
    </row>
    <row r="847" spans="2:10" x14ac:dyDescent="0.3">
      <c r="B847" s="1" t="s">
        <v>1227</v>
      </c>
      <c r="C847" s="1" t="s">
        <v>21</v>
      </c>
      <c r="D847" s="2" t="s">
        <v>268</v>
      </c>
      <c r="E847" s="2" t="s">
        <v>268</v>
      </c>
      <c r="F847" s="2" t="s">
        <v>11</v>
      </c>
      <c r="G847" s="3" t="s">
        <v>1230</v>
      </c>
      <c r="H847" s="1" t="s">
        <v>12</v>
      </c>
      <c r="I847" s="1" t="s">
        <v>64</v>
      </c>
      <c r="J847" s="1" t="s">
        <v>14</v>
      </c>
    </row>
    <row r="848" spans="2:10" x14ac:dyDescent="0.3">
      <c r="B848" s="1" t="s">
        <v>1227</v>
      </c>
      <c r="C848" s="1" t="s">
        <v>36</v>
      </c>
      <c r="D848" s="2" t="s">
        <v>268</v>
      </c>
      <c r="E848" s="2" t="s">
        <v>268</v>
      </c>
      <c r="F848" s="2" t="s">
        <v>11</v>
      </c>
      <c r="G848" s="3" t="s">
        <v>118</v>
      </c>
      <c r="H848" s="1" t="s">
        <v>12</v>
      </c>
      <c r="I848" s="1" t="s">
        <v>72</v>
      </c>
      <c r="J848" s="1" t="s">
        <v>14</v>
      </c>
    </row>
    <row r="849" spans="2:10" x14ac:dyDescent="0.3">
      <c r="B849" s="1" t="s">
        <v>1227</v>
      </c>
      <c r="C849" s="1" t="s">
        <v>45</v>
      </c>
      <c r="D849" s="2" t="s">
        <v>693</v>
      </c>
      <c r="E849" s="2" t="s">
        <v>693</v>
      </c>
      <c r="F849" s="2" t="s">
        <v>11</v>
      </c>
      <c r="G849" s="3" t="s">
        <v>1231</v>
      </c>
      <c r="H849" s="1" t="s">
        <v>12</v>
      </c>
      <c r="I849" s="1" t="s">
        <v>13</v>
      </c>
      <c r="J849" s="1" t="s">
        <v>14</v>
      </c>
    </row>
    <row r="850" spans="2:10" x14ac:dyDescent="0.3">
      <c r="B850" s="1" t="s">
        <v>1227</v>
      </c>
      <c r="C850" s="1" t="s">
        <v>28</v>
      </c>
      <c r="D850" s="2" t="s">
        <v>693</v>
      </c>
      <c r="E850" s="2" t="s">
        <v>693</v>
      </c>
      <c r="F850" s="2" t="s">
        <v>11</v>
      </c>
      <c r="G850" s="3" t="s">
        <v>1232</v>
      </c>
      <c r="H850" s="1" t="s">
        <v>12</v>
      </c>
      <c r="I850" s="1" t="s">
        <v>89</v>
      </c>
      <c r="J850" s="1" t="s">
        <v>14</v>
      </c>
    </row>
    <row r="851" spans="2:10" x14ac:dyDescent="0.3">
      <c r="B851" s="1" t="s">
        <v>1227</v>
      </c>
      <c r="C851" s="1" t="s">
        <v>39</v>
      </c>
      <c r="D851" s="2" t="s">
        <v>256</v>
      </c>
      <c r="E851" s="2" t="s">
        <v>256</v>
      </c>
      <c r="F851" s="2" t="s">
        <v>11</v>
      </c>
      <c r="G851" s="3" t="s">
        <v>1233</v>
      </c>
      <c r="H851" s="1" t="s">
        <v>12</v>
      </c>
      <c r="I851" s="1" t="s">
        <v>58</v>
      </c>
      <c r="J851" s="1" t="s">
        <v>14</v>
      </c>
    </row>
    <row r="852" spans="2:10" x14ac:dyDescent="0.3">
      <c r="B852" s="1" t="s">
        <v>1227</v>
      </c>
      <c r="C852" s="1" t="s">
        <v>43</v>
      </c>
      <c r="D852" s="2" t="s">
        <v>256</v>
      </c>
      <c r="E852" s="2" t="s">
        <v>256</v>
      </c>
      <c r="F852" s="2" t="s">
        <v>11</v>
      </c>
      <c r="G852" s="3" t="s">
        <v>1173</v>
      </c>
      <c r="H852" s="1" t="s">
        <v>12</v>
      </c>
      <c r="I852" s="1" t="s">
        <v>40</v>
      </c>
      <c r="J852" s="1" t="s">
        <v>14</v>
      </c>
    </row>
    <row r="853" spans="2:10" x14ac:dyDescent="0.3">
      <c r="B853" s="1" t="s">
        <v>1227</v>
      </c>
      <c r="C853" s="1" t="s">
        <v>24</v>
      </c>
      <c r="D853" s="2" t="s">
        <v>836</v>
      </c>
      <c r="E853" s="2" t="s">
        <v>836</v>
      </c>
      <c r="F853" s="2" t="s">
        <v>11</v>
      </c>
      <c r="G853" s="3" t="s">
        <v>1234</v>
      </c>
      <c r="H853" s="1" t="s">
        <v>12</v>
      </c>
      <c r="I853" s="1" t="s">
        <v>22</v>
      </c>
      <c r="J853" s="1" t="s">
        <v>14</v>
      </c>
    </row>
    <row r="854" spans="2:10" x14ac:dyDescent="0.3">
      <c r="B854" s="1" t="s">
        <v>1227</v>
      </c>
      <c r="C854" s="1" t="s">
        <v>26</v>
      </c>
      <c r="D854" s="2" t="s">
        <v>316</v>
      </c>
      <c r="E854" s="2" t="s">
        <v>316</v>
      </c>
      <c r="F854" s="2" t="s">
        <v>11</v>
      </c>
      <c r="G854" s="3" t="s">
        <v>1235</v>
      </c>
      <c r="H854" s="1" t="s">
        <v>12</v>
      </c>
      <c r="I854" s="1" t="s">
        <v>62</v>
      </c>
      <c r="J854" s="1" t="s">
        <v>14</v>
      </c>
    </row>
    <row r="855" spans="2:10" x14ac:dyDescent="0.3">
      <c r="B855" s="1" t="s">
        <v>1227</v>
      </c>
      <c r="C855" s="1" t="s">
        <v>10</v>
      </c>
      <c r="D855" s="2" t="s">
        <v>200</v>
      </c>
      <c r="E855" s="2" t="s">
        <v>200</v>
      </c>
      <c r="F855" s="2" t="s">
        <v>11</v>
      </c>
      <c r="G855" s="3" t="s">
        <v>1236</v>
      </c>
      <c r="H855" s="1" t="s">
        <v>12</v>
      </c>
      <c r="I855" s="1" t="s">
        <v>62</v>
      </c>
      <c r="J855" s="1" t="s">
        <v>14</v>
      </c>
    </row>
    <row r="856" spans="2:10" x14ac:dyDescent="0.3">
      <c r="B856" s="1" t="s">
        <v>1227</v>
      </c>
      <c r="C856" s="1" t="s">
        <v>35</v>
      </c>
      <c r="D856" s="2" t="s">
        <v>443</v>
      </c>
      <c r="E856" s="2" t="s">
        <v>443</v>
      </c>
      <c r="F856" s="2" t="s">
        <v>11</v>
      </c>
      <c r="G856" s="3" t="s">
        <v>1235</v>
      </c>
      <c r="H856" s="1" t="s">
        <v>12</v>
      </c>
      <c r="I856" s="1" t="s">
        <v>42</v>
      </c>
      <c r="J856" s="1" t="s">
        <v>14</v>
      </c>
    </row>
    <row r="857" spans="2:10" x14ac:dyDescent="0.3">
      <c r="B857" s="1" t="s">
        <v>1227</v>
      </c>
      <c r="C857" s="1" t="s">
        <v>38</v>
      </c>
      <c r="D857" s="2" t="s">
        <v>836</v>
      </c>
      <c r="E857" s="2" t="s">
        <v>836</v>
      </c>
      <c r="F857" s="2" t="s">
        <v>11</v>
      </c>
      <c r="G857" s="3" t="s">
        <v>951</v>
      </c>
      <c r="H857" s="1" t="s">
        <v>12</v>
      </c>
      <c r="I857" s="1" t="s">
        <v>47</v>
      </c>
      <c r="J857" s="1" t="s">
        <v>14</v>
      </c>
    </row>
    <row r="858" spans="2:10" x14ac:dyDescent="0.3">
      <c r="B858" s="1" t="s">
        <v>1227</v>
      </c>
      <c r="C858" s="1" t="s">
        <v>29</v>
      </c>
      <c r="D858" s="2" t="s">
        <v>256</v>
      </c>
      <c r="E858" s="2" t="s">
        <v>256</v>
      </c>
      <c r="F858" s="2" t="s">
        <v>11</v>
      </c>
      <c r="G858" s="3" t="s">
        <v>1237</v>
      </c>
      <c r="H858" s="1" t="s">
        <v>12</v>
      </c>
      <c r="I858" s="1" t="s">
        <v>62</v>
      </c>
      <c r="J858" s="1" t="s">
        <v>14</v>
      </c>
    </row>
    <row r="859" spans="2:10" x14ac:dyDescent="0.3">
      <c r="B859" s="1" t="s">
        <v>1227</v>
      </c>
      <c r="C859" s="1" t="s">
        <v>15</v>
      </c>
      <c r="D859" s="2" t="s">
        <v>248</v>
      </c>
      <c r="E859" s="2" t="s">
        <v>248</v>
      </c>
      <c r="F859" s="2" t="s">
        <v>11</v>
      </c>
      <c r="G859" s="3" t="s">
        <v>1238</v>
      </c>
      <c r="H859" s="1" t="s">
        <v>12</v>
      </c>
      <c r="I859" s="1" t="s">
        <v>51</v>
      </c>
      <c r="J859" s="1" t="s">
        <v>14</v>
      </c>
    </row>
    <row r="860" spans="2:10" x14ac:dyDescent="0.3">
      <c r="B860" s="1" t="s">
        <v>1227</v>
      </c>
      <c r="C860" s="1" t="s">
        <v>33</v>
      </c>
      <c r="D860" s="2" t="s">
        <v>783</v>
      </c>
      <c r="E860" s="2" t="s">
        <v>783</v>
      </c>
      <c r="F860" s="2" t="s">
        <v>11</v>
      </c>
      <c r="G860" s="3" t="s">
        <v>885</v>
      </c>
      <c r="H860" s="1" t="s">
        <v>12</v>
      </c>
      <c r="I860" s="1" t="s">
        <v>98</v>
      </c>
      <c r="J860" s="1" t="s">
        <v>14</v>
      </c>
    </row>
    <row r="861" spans="2:10" x14ac:dyDescent="0.3">
      <c r="B861" s="1" t="s">
        <v>1227</v>
      </c>
      <c r="C861" s="1" t="s">
        <v>17</v>
      </c>
      <c r="D861" s="2" t="s">
        <v>393</v>
      </c>
      <c r="E861" s="2" t="s">
        <v>393</v>
      </c>
      <c r="F861" s="2" t="s">
        <v>11</v>
      </c>
      <c r="G861" s="3" t="s">
        <v>1239</v>
      </c>
      <c r="H861" s="1" t="s">
        <v>12</v>
      </c>
      <c r="I861" s="1" t="s">
        <v>22</v>
      </c>
      <c r="J861" s="1" t="s">
        <v>14</v>
      </c>
    </row>
    <row r="862" spans="2:10" x14ac:dyDescent="0.3">
      <c r="B862" s="1" t="s">
        <v>1227</v>
      </c>
      <c r="C862" s="1" t="s">
        <v>41</v>
      </c>
      <c r="D862" s="2" t="s">
        <v>987</v>
      </c>
      <c r="E862" s="2" t="s">
        <v>987</v>
      </c>
      <c r="F862" s="2" t="s">
        <v>11</v>
      </c>
      <c r="G862" s="3" t="s">
        <v>1240</v>
      </c>
      <c r="H862" s="1" t="s">
        <v>12</v>
      </c>
      <c r="I862" s="1" t="s">
        <v>119</v>
      </c>
      <c r="J862" s="1" t="s">
        <v>14</v>
      </c>
    </row>
    <row r="863" spans="2:10" x14ac:dyDescent="0.3">
      <c r="B863" s="1" t="s">
        <v>1227</v>
      </c>
      <c r="C863" s="1" t="s">
        <v>31</v>
      </c>
      <c r="D863" s="2" t="s">
        <v>268</v>
      </c>
      <c r="E863" s="2" t="s">
        <v>268</v>
      </c>
      <c r="F863" s="2" t="s">
        <v>11</v>
      </c>
      <c r="G863" s="3" t="s">
        <v>1241</v>
      </c>
      <c r="H863" s="1" t="s">
        <v>12</v>
      </c>
      <c r="I863" s="1" t="s">
        <v>18</v>
      </c>
      <c r="J863" s="1" t="s">
        <v>14</v>
      </c>
    </row>
    <row r="864" spans="2:10" x14ac:dyDescent="0.3">
      <c r="B864" s="1" t="s">
        <v>1227</v>
      </c>
      <c r="C864" s="1" t="s">
        <v>46</v>
      </c>
      <c r="D864" s="2" t="s">
        <v>836</v>
      </c>
      <c r="E864" s="2" t="s">
        <v>836</v>
      </c>
      <c r="F864" s="2" t="s">
        <v>11</v>
      </c>
      <c r="G864" s="3" t="s">
        <v>1242</v>
      </c>
      <c r="H864" s="1" t="s">
        <v>12</v>
      </c>
      <c r="I864" s="1" t="s">
        <v>78</v>
      </c>
      <c r="J864" s="1" t="s">
        <v>14</v>
      </c>
    </row>
    <row r="865" spans="2:10" x14ac:dyDescent="0.3">
      <c r="B865" s="1" t="s">
        <v>1227</v>
      </c>
      <c r="C865" s="1" t="s">
        <v>19</v>
      </c>
      <c r="D865" s="2" t="s">
        <v>443</v>
      </c>
      <c r="E865" s="2" t="s">
        <v>443</v>
      </c>
      <c r="F865" s="2" t="s">
        <v>11</v>
      </c>
      <c r="G865" s="3" t="s">
        <v>1243</v>
      </c>
      <c r="H865" s="1" t="s">
        <v>12</v>
      </c>
      <c r="I865" s="1" t="s">
        <v>44</v>
      </c>
      <c r="J865" s="1" t="s">
        <v>14</v>
      </c>
    </row>
    <row r="866" spans="2:10" x14ac:dyDescent="0.3">
      <c r="B866" s="1" t="s">
        <v>1244</v>
      </c>
      <c r="C866" s="1" t="s">
        <v>41</v>
      </c>
      <c r="D866" s="2" t="s">
        <v>190</v>
      </c>
      <c r="E866" s="2" t="s">
        <v>190</v>
      </c>
      <c r="F866" s="2" t="s">
        <v>11</v>
      </c>
      <c r="G866" s="3" t="s">
        <v>1245</v>
      </c>
      <c r="H866" s="1" t="s">
        <v>12</v>
      </c>
      <c r="I866" s="1" t="s">
        <v>94</v>
      </c>
      <c r="J866" s="1" t="s">
        <v>14</v>
      </c>
    </row>
    <row r="867" spans="2:10" x14ac:dyDescent="0.3">
      <c r="B867" s="1" t="s">
        <v>1244</v>
      </c>
      <c r="C867" s="1" t="s">
        <v>17</v>
      </c>
      <c r="D867" s="2" t="s">
        <v>398</v>
      </c>
      <c r="E867" s="2" t="s">
        <v>398</v>
      </c>
      <c r="F867" s="2" t="s">
        <v>11</v>
      </c>
      <c r="G867" s="3" t="s">
        <v>1246</v>
      </c>
      <c r="H867" s="1" t="s">
        <v>12</v>
      </c>
      <c r="I867" s="1" t="s">
        <v>47</v>
      </c>
      <c r="J867" s="1" t="s">
        <v>14</v>
      </c>
    </row>
    <row r="868" spans="2:10" x14ac:dyDescent="0.3">
      <c r="B868" s="1" t="s">
        <v>1244</v>
      </c>
      <c r="C868" s="1" t="s">
        <v>15</v>
      </c>
      <c r="D868" s="2" t="s">
        <v>483</v>
      </c>
      <c r="E868" s="2" t="s">
        <v>483</v>
      </c>
      <c r="F868" s="2" t="s">
        <v>11</v>
      </c>
      <c r="G868" s="3" t="s">
        <v>172</v>
      </c>
      <c r="H868" s="1" t="s">
        <v>12</v>
      </c>
      <c r="I868" s="1" t="s">
        <v>30</v>
      </c>
      <c r="J868" s="1" t="s">
        <v>14</v>
      </c>
    </row>
    <row r="869" spans="2:10" x14ac:dyDescent="0.3">
      <c r="B869" s="1" t="s">
        <v>1244</v>
      </c>
      <c r="C869" s="1" t="s">
        <v>33</v>
      </c>
      <c r="D869" s="2" t="s">
        <v>686</v>
      </c>
      <c r="E869" s="2" t="s">
        <v>686</v>
      </c>
      <c r="F869" s="2" t="s">
        <v>11</v>
      </c>
      <c r="G869" s="3" t="s">
        <v>1247</v>
      </c>
      <c r="H869" s="1" t="s">
        <v>12</v>
      </c>
      <c r="I869" s="1" t="s">
        <v>18</v>
      </c>
      <c r="J869" s="1" t="s">
        <v>14</v>
      </c>
    </row>
    <row r="870" spans="2:10" x14ac:dyDescent="0.3">
      <c r="B870" s="1" t="s">
        <v>1244</v>
      </c>
      <c r="C870" s="1" t="s">
        <v>21</v>
      </c>
      <c r="D870" s="2" t="s">
        <v>464</v>
      </c>
      <c r="E870" s="2" t="s">
        <v>464</v>
      </c>
      <c r="F870" s="2" t="s">
        <v>11</v>
      </c>
      <c r="G870" s="3" t="s">
        <v>966</v>
      </c>
      <c r="H870" s="1" t="s">
        <v>12</v>
      </c>
      <c r="I870" s="1" t="s">
        <v>18</v>
      </c>
      <c r="J870" s="1" t="s">
        <v>14</v>
      </c>
    </row>
    <row r="871" spans="2:10" x14ac:dyDescent="0.3">
      <c r="B871" s="1" t="s">
        <v>1244</v>
      </c>
      <c r="C871" s="1" t="s">
        <v>10</v>
      </c>
      <c r="D871" s="2" t="s">
        <v>696</v>
      </c>
      <c r="E871" s="2" t="s">
        <v>696</v>
      </c>
      <c r="F871" s="2" t="s">
        <v>11</v>
      </c>
      <c r="G871" s="3" t="s">
        <v>1248</v>
      </c>
      <c r="H871" s="1" t="s">
        <v>12</v>
      </c>
      <c r="I871" s="1" t="s">
        <v>69</v>
      </c>
      <c r="J871" s="1" t="s">
        <v>14</v>
      </c>
    </row>
    <row r="872" spans="2:10" x14ac:dyDescent="0.3">
      <c r="B872" s="1" t="s">
        <v>1244</v>
      </c>
      <c r="C872" s="1" t="s">
        <v>23</v>
      </c>
      <c r="D872" s="2" t="s">
        <v>498</v>
      </c>
      <c r="E872" s="2" t="s">
        <v>498</v>
      </c>
      <c r="F872" s="2" t="s">
        <v>11</v>
      </c>
      <c r="G872" s="3" t="s">
        <v>1249</v>
      </c>
      <c r="H872" s="1" t="s">
        <v>12</v>
      </c>
      <c r="I872" s="1" t="s">
        <v>30</v>
      </c>
      <c r="J872" s="1" t="s">
        <v>14</v>
      </c>
    </row>
    <row r="873" spans="2:10" x14ac:dyDescent="0.3">
      <c r="B873" s="1" t="s">
        <v>1244</v>
      </c>
      <c r="C873" s="1" t="s">
        <v>26</v>
      </c>
      <c r="D873" s="2" t="s">
        <v>464</v>
      </c>
      <c r="E873" s="2" t="s">
        <v>464</v>
      </c>
      <c r="F873" s="2" t="s">
        <v>11</v>
      </c>
      <c r="G873" s="3" t="s">
        <v>1250</v>
      </c>
      <c r="H873" s="1" t="s">
        <v>12</v>
      </c>
      <c r="I873" s="1" t="s">
        <v>51</v>
      </c>
      <c r="J873" s="1" t="s">
        <v>14</v>
      </c>
    </row>
    <row r="874" spans="2:10" x14ac:dyDescent="0.3">
      <c r="B874" s="1" t="s">
        <v>1244</v>
      </c>
      <c r="C874" s="1" t="s">
        <v>36</v>
      </c>
      <c r="D874" s="2" t="s">
        <v>498</v>
      </c>
      <c r="E874" s="2" t="s">
        <v>498</v>
      </c>
      <c r="F874" s="2" t="s">
        <v>11</v>
      </c>
      <c r="G874" s="3" t="s">
        <v>1039</v>
      </c>
      <c r="H874" s="1" t="s">
        <v>12</v>
      </c>
      <c r="I874" s="1" t="s">
        <v>13</v>
      </c>
      <c r="J874" s="1" t="s">
        <v>14</v>
      </c>
    </row>
    <row r="875" spans="2:10" x14ac:dyDescent="0.3">
      <c r="B875" s="1" t="s">
        <v>1244</v>
      </c>
      <c r="C875" s="1" t="s">
        <v>43</v>
      </c>
      <c r="D875" s="2" t="s">
        <v>244</v>
      </c>
      <c r="E875" s="2" t="s">
        <v>244</v>
      </c>
      <c r="F875" s="2" t="s">
        <v>11</v>
      </c>
      <c r="G875" s="3" t="s">
        <v>1137</v>
      </c>
      <c r="H875" s="1" t="s">
        <v>12</v>
      </c>
      <c r="I875" s="1" t="s">
        <v>29</v>
      </c>
      <c r="J875" s="1" t="s">
        <v>14</v>
      </c>
    </row>
    <row r="876" spans="2:10" x14ac:dyDescent="0.3">
      <c r="B876" s="1" t="s">
        <v>1244</v>
      </c>
      <c r="C876" s="1" t="s">
        <v>28</v>
      </c>
      <c r="D876" s="2" t="s">
        <v>1251</v>
      </c>
      <c r="E876" s="2" t="s">
        <v>299</v>
      </c>
      <c r="F876" s="2" t="s">
        <v>11</v>
      </c>
      <c r="G876" s="3" t="s">
        <v>1252</v>
      </c>
      <c r="H876" s="1" t="s">
        <v>12</v>
      </c>
      <c r="I876" s="1" t="s">
        <v>46</v>
      </c>
      <c r="J876" s="1" t="s">
        <v>52</v>
      </c>
    </row>
    <row r="877" spans="2:10" x14ac:dyDescent="0.3">
      <c r="B877" s="1" t="s">
        <v>1244</v>
      </c>
      <c r="C877" s="1" t="s">
        <v>38</v>
      </c>
      <c r="D877" s="2" t="s">
        <v>498</v>
      </c>
      <c r="E877" s="2" t="s">
        <v>498</v>
      </c>
      <c r="F877" s="2" t="s">
        <v>11</v>
      </c>
      <c r="G877" s="3" t="s">
        <v>1253</v>
      </c>
      <c r="H877" s="1" t="s">
        <v>12</v>
      </c>
      <c r="I877" s="1" t="s">
        <v>64</v>
      </c>
      <c r="J877" s="1" t="s">
        <v>14</v>
      </c>
    </row>
    <row r="878" spans="2:10" x14ac:dyDescent="0.3">
      <c r="B878" s="1" t="s">
        <v>1244</v>
      </c>
      <c r="C878" s="1" t="s">
        <v>46</v>
      </c>
      <c r="D878" s="2" t="s">
        <v>498</v>
      </c>
      <c r="E878" s="2" t="s">
        <v>498</v>
      </c>
      <c r="F878" s="2" t="s">
        <v>11</v>
      </c>
      <c r="G878" s="3" t="s">
        <v>1254</v>
      </c>
      <c r="H878" s="1" t="s">
        <v>12</v>
      </c>
      <c r="I878" s="1" t="s">
        <v>32</v>
      </c>
      <c r="J878" s="1" t="s">
        <v>14</v>
      </c>
    </row>
    <row r="879" spans="2:10" x14ac:dyDescent="0.3">
      <c r="B879" s="1" t="s">
        <v>1244</v>
      </c>
      <c r="C879" s="1" t="s">
        <v>35</v>
      </c>
      <c r="D879" s="2" t="s">
        <v>220</v>
      </c>
      <c r="E879" s="2" t="s">
        <v>220</v>
      </c>
      <c r="F879" s="2" t="s">
        <v>11</v>
      </c>
      <c r="G879" s="3" t="s">
        <v>1255</v>
      </c>
      <c r="H879" s="1" t="s">
        <v>12</v>
      </c>
      <c r="I879" s="1" t="s">
        <v>27</v>
      </c>
      <c r="J879" s="1" t="s">
        <v>14</v>
      </c>
    </row>
    <row r="880" spans="2:10" x14ac:dyDescent="0.3">
      <c r="B880" s="1" t="s">
        <v>1244</v>
      </c>
      <c r="C880" s="1" t="s">
        <v>29</v>
      </c>
      <c r="D880" s="2" t="s">
        <v>244</v>
      </c>
      <c r="E880" s="2" t="s">
        <v>244</v>
      </c>
      <c r="F880" s="2" t="s">
        <v>11</v>
      </c>
      <c r="G880" s="3" t="s">
        <v>1140</v>
      </c>
      <c r="H880" s="1" t="s">
        <v>12</v>
      </c>
      <c r="I880" s="1" t="s">
        <v>29</v>
      </c>
      <c r="J880" s="1" t="s">
        <v>14</v>
      </c>
    </row>
    <row r="881" spans="2:10" x14ac:dyDescent="0.3">
      <c r="B881" s="1" t="s">
        <v>1244</v>
      </c>
      <c r="C881" s="1" t="s">
        <v>45</v>
      </c>
      <c r="D881" s="2" t="s">
        <v>692</v>
      </c>
      <c r="E881" s="2" t="s">
        <v>692</v>
      </c>
      <c r="F881" s="2" t="s">
        <v>11</v>
      </c>
      <c r="G881" s="3" t="s">
        <v>1256</v>
      </c>
      <c r="H881" s="1" t="s">
        <v>12</v>
      </c>
      <c r="I881" s="1" t="s">
        <v>58</v>
      </c>
      <c r="J881" s="1" t="s">
        <v>14</v>
      </c>
    </row>
    <row r="882" spans="2:10" x14ac:dyDescent="0.3">
      <c r="B882" s="1" t="s">
        <v>1244</v>
      </c>
      <c r="C882" s="1" t="s">
        <v>24</v>
      </c>
      <c r="D882" s="2" t="s">
        <v>387</v>
      </c>
      <c r="E882" s="2" t="s">
        <v>387</v>
      </c>
      <c r="F882" s="2" t="s">
        <v>11</v>
      </c>
      <c r="G882" s="3" t="s">
        <v>1257</v>
      </c>
      <c r="H882" s="1" t="s">
        <v>12</v>
      </c>
      <c r="I882" s="1" t="s">
        <v>68</v>
      </c>
      <c r="J882" s="1" t="s">
        <v>14</v>
      </c>
    </row>
    <row r="883" spans="2:10" x14ac:dyDescent="0.3">
      <c r="B883" s="1" t="s">
        <v>1244</v>
      </c>
      <c r="C883" s="1" t="s">
        <v>19</v>
      </c>
      <c r="D883" s="2" t="s">
        <v>498</v>
      </c>
      <c r="E883" s="2" t="s">
        <v>498</v>
      </c>
      <c r="F883" s="2" t="s">
        <v>11</v>
      </c>
      <c r="G883" s="3" t="s">
        <v>1258</v>
      </c>
      <c r="H883" s="1" t="s">
        <v>12</v>
      </c>
      <c r="I883" s="1" t="s">
        <v>51</v>
      </c>
      <c r="J883" s="1" t="s">
        <v>14</v>
      </c>
    </row>
    <row r="884" spans="2:10" x14ac:dyDescent="0.3">
      <c r="B884" s="1" t="s">
        <v>1244</v>
      </c>
      <c r="C884" s="1" t="s">
        <v>39</v>
      </c>
      <c r="D884" s="2" t="s">
        <v>398</v>
      </c>
      <c r="E884" s="2" t="s">
        <v>398</v>
      </c>
      <c r="F884" s="2" t="s">
        <v>11</v>
      </c>
      <c r="G884" s="3" t="s">
        <v>1259</v>
      </c>
      <c r="H884" s="1" t="s">
        <v>12</v>
      </c>
      <c r="I884" s="1" t="s">
        <v>22</v>
      </c>
      <c r="J884" s="1" t="s">
        <v>14</v>
      </c>
    </row>
    <row r="885" spans="2:10" x14ac:dyDescent="0.3">
      <c r="B885" s="1" t="s">
        <v>1244</v>
      </c>
      <c r="C885" s="1" t="s">
        <v>31</v>
      </c>
      <c r="D885" s="2" t="s">
        <v>464</v>
      </c>
      <c r="E885" s="2" t="s">
        <v>464</v>
      </c>
      <c r="F885" s="2" t="s">
        <v>11</v>
      </c>
      <c r="G885" s="3" t="s">
        <v>1260</v>
      </c>
      <c r="H885" s="1" t="s">
        <v>12</v>
      </c>
      <c r="I885" s="1" t="s">
        <v>50</v>
      </c>
      <c r="J885" s="1" t="s">
        <v>14</v>
      </c>
    </row>
    <row r="886" spans="2:10" x14ac:dyDescent="0.3">
      <c r="B886" s="1" t="s">
        <v>1261</v>
      </c>
      <c r="C886" s="1" t="s">
        <v>29</v>
      </c>
      <c r="D886" s="2" t="s">
        <v>526</v>
      </c>
      <c r="E886" s="2" t="s">
        <v>526</v>
      </c>
      <c r="F886" s="2" t="s">
        <v>11</v>
      </c>
      <c r="G886" s="3" t="s">
        <v>754</v>
      </c>
      <c r="H886" s="1" t="s">
        <v>12</v>
      </c>
      <c r="I886" s="1" t="s">
        <v>34</v>
      </c>
      <c r="J886" s="1" t="s">
        <v>14</v>
      </c>
    </row>
    <row r="887" spans="2:10" x14ac:dyDescent="0.3">
      <c r="B887" s="1" t="s">
        <v>1261</v>
      </c>
      <c r="C887" s="1" t="s">
        <v>43</v>
      </c>
      <c r="D887" s="2" t="s">
        <v>499</v>
      </c>
      <c r="E887" s="2" t="s">
        <v>499</v>
      </c>
      <c r="F887" s="2" t="s">
        <v>11</v>
      </c>
      <c r="G887" s="3" t="s">
        <v>1262</v>
      </c>
      <c r="H887" s="1" t="s">
        <v>12</v>
      </c>
      <c r="I887" s="1" t="s">
        <v>36</v>
      </c>
      <c r="J887" s="1" t="s">
        <v>14</v>
      </c>
    </row>
    <row r="888" spans="2:10" x14ac:dyDescent="0.3">
      <c r="B888" s="1" t="s">
        <v>1261</v>
      </c>
      <c r="C888" s="1" t="s">
        <v>21</v>
      </c>
      <c r="D888" s="2" t="s">
        <v>483</v>
      </c>
      <c r="E888" s="2" t="s">
        <v>483</v>
      </c>
      <c r="F888" s="2" t="s">
        <v>11</v>
      </c>
      <c r="G888" s="3" t="s">
        <v>1263</v>
      </c>
      <c r="H888" s="1" t="s">
        <v>12</v>
      </c>
      <c r="I888" s="1" t="s">
        <v>17</v>
      </c>
      <c r="J888" s="1" t="s">
        <v>14</v>
      </c>
    </row>
    <row r="889" spans="2:10" x14ac:dyDescent="0.3">
      <c r="B889" s="1" t="s">
        <v>1261</v>
      </c>
      <c r="C889" s="1" t="s">
        <v>46</v>
      </c>
      <c r="D889" s="2" t="s">
        <v>692</v>
      </c>
      <c r="E889" s="2" t="s">
        <v>692</v>
      </c>
      <c r="F889" s="2" t="s">
        <v>11</v>
      </c>
      <c r="G889" s="3" t="s">
        <v>1264</v>
      </c>
      <c r="H889" s="1" t="s">
        <v>12</v>
      </c>
      <c r="I889" s="1" t="s">
        <v>56</v>
      </c>
      <c r="J889" s="1" t="s">
        <v>14</v>
      </c>
    </row>
    <row r="890" spans="2:10" x14ac:dyDescent="0.3">
      <c r="B890" s="1" t="s">
        <v>1261</v>
      </c>
      <c r="C890" s="1" t="s">
        <v>26</v>
      </c>
      <c r="D890" s="2" t="s">
        <v>244</v>
      </c>
      <c r="E890" s="2" t="s">
        <v>244</v>
      </c>
      <c r="F890" s="2" t="s">
        <v>11</v>
      </c>
      <c r="G890" s="3" t="s">
        <v>1265</v>
      </c>
      <c r="H890" s="1" t="s">
        <v>12</v>
      </c>
      <c r="I890" s="1" t="s">
        <v>64</v>
      </c>
      <c r="J890" s="1" t="s">
        <v>14</v>
      </c>
    </row>
    <row r="891" spans="2:10" x14ac:dyDescent="0.3">
      <c r="B891" s="1" t="s">
        <v>1261</v>
      </c>
      <c r="C891" s="1" t="s">
        <v>23</v>
      </c>
      <c r="D891" s="2" t="s">
        <v>387</v>
      </c>
      <c r="E891" s="2" t="s">
        <v>387</v>
      </c>
      <c r="F891" s="2" t="s">
        <v>11</v>
      </c>
      <c r="G891" s="3" t="s">
        <v>1266</v>
      </c>
      <c r="H891" s="1" t="s">
        <v>12</v>
      </c>
      <c r="I891" s="1" t="s">
        <v>32</v>
      </c>
      <c r="J891" s="1" t="s">
        <v>14</v>
      </c>
    </row>
    <row r="892" spans="2:10" x14ac:dyDescent="0.3">
      <c r="B892" s="1" t="s">
        <v>1261</v>
      </c>
      <c r="C892" s="1" t="s">
        <v>24</v>
      </c>
      <c r="D892" s="2" t="s">
        <v>686</v>
      </c>
      <c r="E892" s="2" t="s">
        <v>686</v>
      </c>
      <c r="F892" s="2" t="s">
        <v>11</v>
      </c>
      <c r="G892" s="3" t="s">
        <v>1267</v>
      </c>
      <c r="H892" s="1" t="s">
        <v>12</v>
      </c>
      <c r="I892" s="1" t="s">
        <v>22</v>
      </c>
      <c r="J892" s="1" t="s">
        <v>14</v>
      </c>
    </row>
    <row r="893" spans="2:10" x14ac:dyDescent="0.3">
      <c r="B893" s="1" t="s">
        <v>1261</v>
      </c>
      <c r="C893" s="1" t="s">
        <v>15</v>
      </c>
      <c r="D893" s="2" t="s">
        <v>216</v>
      </c>
      <c r="E893" s="2" t="s">
        <v>216</v>
      </c>
      <c r="F893" s="2" t="s">
        <v>11</v>
      </c>
      <c r="G893" s="3" t="s">
        <v>1268</v>
      </c>
      <c r="H893" s="1" t="s">
        <v>12</v>
      </c>
      <c r="I893" s="1" t="s">
        <v>22</v>
      </c>
      <c r="J893" s="1" t="s">
        <v>14</v>
      </c>
    </row>
    <row r="894" spans="2:10" x14ac:dyDescent="0.3">
      <c r="B894" s="1" t="s">
        <v>1261</v>
      </c>
      <c r="C894" s="1" t="s">
        <v>38</v>
      </c>
      <c r="D894" s="2" t="s">
        <v>686</v>
      </c>
      <c r="E894" s="2" t="s">
        <v>686</v>
      </c>
      <c r="F894" s="2" t="s">
        <v>11</v>
      </c>
      <c r="G894" s="3" t="s">
        <v>1269</v>
      </c>
      <c r="H894" s="1" t="s">
        <v>12</v>
      </c>
      <c r="I894" s="1" t="s">
        <v>13</v>
      </c>
      <c r="J894" s="1" t="s">
        <v>14</v>
      </c>
    </row>
    <row r="895" spans="2:10" x14ac:dyDescent="0.3">
      <c r="B895" s="1" t="s">
        <v>1261</v>
      </c>
      <c r="C895" s="1" t="s">
        <v>19</v>
      </c>
      <c r="D895" s="2" t="s">
        <v>499</v>
      </c>
      <c r="E895" s="2" t="s">
        <v>499</v>
      </c>
      <c r="F895" s="2" t="s">
        <v>11</v>
      </c>
      <c r="G895" s="3" t="s">
        <v>1270</v>
      </c>
      <c r="H895" s="1" t="s">
        <v>12</v>
      </c>
      <c r="I895" s="1" t="s">
        <v>36</v>
      </c>
      <c r="J895" s="1" t="s">
        <v>14</v>
      </c>
    </row>
    <row r="896" spans="2:10" x14ac:dyDescent="0.3">
      <c r="B896" s="1" t="s">
        <v>1261</v>
      </c>
      <c r="C896" s="1" t="s">
        <v>39</v>
      </c>
      <c r="D896" s="2" t="s">
        <v>823</v>
      </c>
      <c r="E896" s="2" t="s">
        <v>823</v>
      </c>
      <c r="F896" s="2" t="s">
        <v>11</v>
      </c>
      <c r="G896" s="3" t="s">
        <v>1271</v>
      </c>
      <c r="H896" s="1" t="s">
        <v>12</v>
      </c>
      <c r="I896" s="1" t="s">
        <v>64</v>
      </c>
      <c r="J896" s="1" t="s">
        <v>14</v>
      </c>
    </row>
    <row r="897" spans="2:10" x14ac:dyDescent="0.3">
      <c r="B897" s="1" t="s">
        <v>1261</v>
      </c>
      <c r="C897" s="1" t="s">
        <v>31</v>
      </c>
      <c r="D897" s="2" t="s">
        <v>686</v>
      </c>
      <c r="E897" s="2" t="s">
        <v>686</v>
      </c>
      <c r="F897" s="2" t="s">
        <v>11</v>
      </c>
      <c r="G897" s="3" t="s">
        <v>1272</v>
      </c>
      <c r="H897" s="1" t="s">
        <v>12</v>
      </c>
      <c r="I897" s="1" t="s">
        <v>78</v>
      </c>
      <c r="J897" s="1" t="s">
        <v>14</v>
      </c>
    </row>
    <row r="898" spans="2:10" x14ac:dyDescent="0.3">
      <c r="B898" s="1" t="s">
        <v>1261</v>
      </c>
      <c r="C898" s="1" t="s">
        <v>17</v>
      </c>
      <c r="D898" s="2" t="s">
        <v>842</v>
      </c>
      <c r="E898" s="2" t="s">
        <v>842</v>
      </c>
      <c r="F898" s="2" t="s">
        <v>11</v>
      </c>
      <c r="G898" s="3" t="s">
        <v>1273</v>
      </c>
      <c r="H898" s="1" t="s">
        <v>12</v>
      </c>
      <c r="I898" s="1" t="s">
        <v>89</v>
      </c>
      <c r="J898" s="1" t="s">
        <v>14</v>
      </c>
    </row>
    <row r="899" spans="2:10" x14ac:dyDescent="0.3">
      <c r="B899" s="1" t="s">
        <v>1261</v>
      </c>
      <c r="C899" s="1" t="s">
        <v>41</v>
      </c>
      <c r="D899" s="2" t="s">
        <v>692</v>
      </c>
      <c r="E899" s="2" t="s">
        <v>692</v>
      </c>
      <c r="F899" s="2" t="s">
        <v>11</v>
      </c>
      <c r="G899" s="3" t="s">
        <v>1274</v>
      </c>
      <c r="H899" s="1" t="s">
        <v>12</v>
      </c>
      <c r="I899" s="1" t="s">
        <v>18</v>
      </c>
      <c r="J899" s="1" t="s">
        <v>14</v>
      </c>
    </row>
    <row r="900" spans="2:10" x14ac:dyDescent="0.3">
      <c r="B900" s="1" t="s">
        <v>1261</v>
      </c>
      <c r="C900" s="1" t="s">
        <v>45</v>
      </c>
      <c r="D900" s="2" t="s">
        <v>483</v>
      </c>
      <c r="E900" s="2" t="s">
        <v>483</v>
      </c>
      <c r="F900" s="2" t="s">
        <v>11</v>
      </c>
      <c r="G900" s="3" t="s">
        <v>1275</v>
      </c>
      <c r="H900" s="1" t="s">
        <v>12</v>
      </c>
      <c r="I900" s="1" t="s">
        <v>101</v>
      </c>
      <c r="J900" s="1" t="s">
        <v>14</v>
      </c>
    </row>
    <row r="901" spans="2:10" x14ac:dyDescent="0.3">
      <c r="B901" s="1" t="s">
        <v>1261</v>
      </c>
      <c r="C901" s="1" t="s">
        <v>10</v>
      </c>
      <c r="D901" s="2" t="s">
        <v>766</v>
      </c>
      <c r="E901" s="2" t="s">
        <v>766</v>
      </c>
      <c r="F901" s="2" t="s">
        <v>11</v>
      </c>
      <c r="G901" s="3" t="s">
        <v>1276</v>
      </c>
      <c r="H901" s="1" t="s">
        <v>12</v>
      </c>
      <c r="I901" s="1" t="s">
        <v>55</v>
      </c>
      <c r="J901" s="1" t="s">
        <v>14</v>
      </c>
    </row>
    <row r="902" spans="2:10" x14ac:dyDescent="0.3">
      <c r="B902" s="1" t="s">
        <v>1261</v>
      </c>
      <c r="C902" s="1" t="s">
        <v>33</v>
      </c>
      <c r="D902" s="2" t="s">
        <v>163</v>
      </c>
      <c r="E902" s="2" t="s">
        <v>1277</v>
      </c>
      <c r="F902" s="2" t="s">
        <v>11</v>
      </c>
      <c r="G902" s="3" t="s">
        <v>1278</v>
      </c>
      <c r="H902" s="1" t="s">
        <v>12</v>
      </c>
      <c r="I902" s="1" t="s">
        <v>76</v>
      </c>
      <c r="J902" s="1" t="s">
        <v>52</v>
      </c>
    </row>
    <row r="903" spans="2:10" x14ac:dyDescent="0.3">
      <c r="B903" s="1" t="s">
        <v>1261</v>
      </c>
      <c r="C903" s="1" t="s">
        <v>36</v>
      </c>
      <c r="D903" s="2" t="s">
        <v>686</v>
      </c>
      <c r="E903" s="2" t="s">
        <v>686</v>
      </c>
      <c r="F903" s="2" t="s">
        <v>11</v>
      </c>
      <c r="G903" s="3" t="s">
        <v>1279</v>
      </c>
      <c r="H903" s="1" t="s">
        <v>12</v>
      </c>
      <c r="I903" s="1" t="s">
        <v>59</v>
      </c>
      <c r="J903" s="1" t="s">
        <v>14</v>
      </c>
    </row>
    <row r="904" spans="2:10" x14ac:dyDescent="0.3">
      <c r="B904" s="1" t="s">
        <v>1261</v>
      </c>
      <c r="C904" s="1" t="s">
        <v>28</v>
      </c>
      <c r="D904" s="2" t="s">
        <v>464</v>
      </c>
      <c r="E904" s="2" t="s">
        <v>464</v>
      </c>
      <c r="F904" s="2" t="s">
        <v>11</v>
      </c>
      <c r="G904" s="3" t="s">
        <v>1280</v>
      </c>
      <c r="H904" s="1" t="s">
        <v>12</v>
      </c>
      <c r="I904" s="1" t="s">
        <v>13</v>
      </c>
      <c r="J904" s="1" t="s">
        <v>14</v>
      </c>
    </row>
    <row r="905" spans="2:10" x14ac:dyDescent="0.3">
      <c r="B905" s="1" t="s">
        <v>1261</v>
      </c>
      <c r="C905" s="1" t="s">
        <v>35</v>
      </c>
      <c r="D905" s="2" t="s">
        <v>1281</v>
      </c>
      <c r="E905" s="2" t="s">
        <v>1282</v>
      </c>
      <c r="F905" s="2" t="s">
        <v>11</v>
      </c>
      <c r="G905" s="3" t="s">
        <v>1283</v>
      </c>
      <c r="H905" s="1" t="s">
        <v>12</v>
      </c>
      <c r="I905" s="1" t="s">
        <v>17</v>
      </c>
      <c r="J905" s="1" t="s">
        <v>52</v>
      </c>
    </row>
    <row r="906" spans="2:10" x14ac:dyDescent="0.3">
      <c r="B906" s="1" t="s">
        <v>1284</v>
      </c>
      <c r="C906" s="1" t="s">
        <v>24</v>
      </c>
      <c r="D906" s="2" t="s">
        <v>987</v>
      </c>
      <c r="E906" s="2" t="s">
        <v>987</v>
      </c>
      <c r="F906" s="2" t="s">
        <v>11</v>
      </c>
      <c r="G906" s="3" t="s">
        <v>1224</v>
      </c>
      <c r="H906" s="1" t="s">
        <v>12</v>
      </c>
      <c r="I906" s="1" t="s">
        <v>62</v>
      </c>
      <c r="J906" s="1" t="s">
        <v>14</v>
      </c>
    </row>
    <row r="907" spans="2:10" x14ac:dyDescent="0.3">
      <c r="B907" s="1" t="s">
        <v>1284</v>
      </c>
      <c r="C907" s="1" t="s">
        <v>35</v>
      </c>
      <c r="D907" s="2" t="s">
        <v>1285</v>
      </c>
      <c r="E907" s="2" t="s">
        <v>1286</v>
      </c>
      <c r="F907" s="2" t="s">
        <v>11</v>
      </c>
      <c r="G907" s="3" t="s">
        <v>1287</v>
      </c>
      <c r="H907" s="1" t="s">
        <v>12</v>
      </c>
      <c r="I907" s="1" t="s">
        <v>46</v>
      </c>
      <c r="J907" s="1" t="s">
        <v>52</v>
      </c>
    </row>
    <row r="908" spans="2:10" x14ac:dyDescent="0.3">
      <c r="B908" s="1" t="s">
        <v>1284</v>
      </c>
      <c r="C908" s="1" t="s">
        <v>33</v>
      </c>
      <c r="D908" s="2" t="s">
        <v>316</v>
      </c>
      <c r="E908" s="2" t="s">
        <v>316</v>
      </c>
      <c r="F908" s="2" t="s">
        <v>11</v>
      </c>
      <c r="G908" s="3" t="s">
        <v>772</v>
      </c>
      <c r="H908" s="1" t="s">
        <v>12</v>
      </c>
      <c r="I908" s="1" t="s">
        <v>59</v>
      </c>
      <c r="J908" s="1" t="s">
        <v>14</v>
      </c>
    </row>
    <row r="909" spans="2:10" x14ac:dyDescent="0.3">
      <c r="B909" s="1" t="s">
        <v>1284</v>
      </c>
      <c r="C909" s="1" t="s">
        <v>39</v>
      </c>
      <c r="D909" s="2" t="s">
        <v>258</v>
      </c>
      <c r="E909" s="2" t="s">
        <v>258</v>
      </c>
      <c r="F909" s="2" t="s">
        <v>11</v>
      </c>
      <c r="G909" s="3" t="s">
        <v>1029</v>
      </c>
      <c r="H909" s="1" t="s">
        <v>12</v>
      </c>
      <c r="I909" s="1" t="s">
        <v>37</v>
      </c>
      <c r="J909" s="1" t="s">
        <v>14</v>
      </c>
    </row>
    <row r="910" spans="2:10" x14ac:dyDescent="0.3">
      <c r="B910" s="1" t="s">
        <v>1284</v>
      </c>
      <c r="C910" s="1" t="s">
        <v>23</v>
      </c>
      <c r="D910" s="2" t="s">
        <v>195</v>
      </c>
      <c r="E910" s="2" t="s">
        <v>195</v>
      </c>
      <c r="F910" s="2" t="s">
        <v>11</v>
      </c>
      <c r="G910" s="3" t="s">
        <v>1288</v>
      </c>
      <c r="H910" s="1" t="s">
        <v>12</v>
      </c>
      <c r="I910" s="1" t="s">
        <v>30</v>
      </c>
      <c r="J910" s="1" t="s">
        <v>14</v>
      </c>
    </row>
    <row r="911" spans="2:10" x14ac:dyDescent="0.3">
      <c r="B911" s="1" t="s">
        <v>1284</v>
      </c>
      <c r="C911" s="1" t="s">
        <v>19</v>
      </c>
      <c r="D911" s="2" t="s">
        <v>202</v>
      </c>
      <c r="E911" s="2" t="s">
        <v>202</v>
      </c>
      <c r="F911" s="2" t="s">
        <v>11</v>
      </c>
      <c r="G911" s="3" t="s">
        <v>1289</v>
      </c>
      <c r="H911" s="1" t="s">
        <v>12</v>
      </c>
      <c r="I911" s="1" t="s">
        <v>50</v>
      </c>
      <c r="J911" s="1" t="s">
        <v>14</v>
      </c>
    </row>
    <row r="912" spans="2:10" x14ac:dyDescent="0.3">
      <c r="B912" s="1" t="s">
        <v>1284</v>
      </c>
      <c r="C912" s="1" t="s">
        <v>45</v>
      </c>
      <c r="D912" s="2" t="s">
        <v>202</v>
      </c>
      <c r="E912" s="2" t="s">
        <v>202</v>
      </c>
      <c r="F912" s="2" t="s">
        <v>11</v>
      </c>
      <c r="G912" s="3" t="s">
        <v>1290</v>
      </c>
      <c r="H912" s="1" t="s">
        <v>12</v>
      </c>
      <c r="I912" s="1" t="s">
        <v>51</v>
      </c>
      <c r="J912" s="1" t="s">
        <v>14</v>
      </c>
    </row>
    <row r="913" spans="2:10" x14ac:dyDescent="0.3">
      <c r="B913" s="1" t="s">
        <v>1284</v>
      </c>
      <c r="C913" s="1" t="s">
        <v>10</v>
      </c>
      <c r="D913" s="2" t="s">
        <v>204</v>
      </c>
      <c r="E913" s="2" t="s">
        <v>204</v>
      </c>
      <c r="F913" s="2" t="s">
        <v>11</v>
      </c>
      <c r="G913" s="3" t="s">
        <v>1291</v>
      </c>
      <c r="H913" s="1" t="s">
        <v>12</v>
      </c>
      <c r="I913" s="1" t="s">
        <v>80</v>
      </c>
      <c r="J913" s="1" t="s">
        <v>14</v>
      </c>
    </row>
    <row r="914" spans="2:10" x14ac:dyDescent="0.3">
      <c r="B914" s="1" t="s">
        <v>1284</v>
      </c>
      <c r="C914" s="1" t="s">
        <v>31</v>
      </c>
      <c r="D914" s="2" t="s">
        <v>195</v>
      </c>
      <c r="E914" s="2" t="s">
        <v>195</v>
      </c>
      <c r="F914" s="2" t="s">
        <v>11</v>
      </c>
      <c r="G914" s="3" t="s">
        <v>1292</v>
      </c>
      <c r="H914" s="1" t="s">
        <v>12</v>
      </c>
      <c r="I914" s="1" t="s">
        <v>56</v>
      </c>
      <c r="J914" s="1" t="s">
        <v>14</v>
      </c>
    </row>
    <row r="915" spans="2:10" x14ac:dyDescent="0.3">
      <c r="B915" s="1" t="s">
        <v>1284</v>
      </c>
      <c r="C915" s="1" t="s">
        <v>26</v>
      </c>
      <c r="D915" s="2" t="s">
        <v>987</v>
      </c>
      <c r="E915" s="2" t="s">
        <v>987</v>
      </c>
      <c r="F915" s="2" t="s">
        <v>11</v>
      </c>
      <c r="G915" s="3" t="s">
        <v>1293</v>
      </c>
      <c r="H915" s="1" t="s">
        <v>12</v>
      </c>
      <c r="I915" s="1" t="s">
        <v>25</v>
      </c>
      <c r="J915" s="1" t="s">
        <v>14</v>
      </c>
    </row>
    <row r="916" spans="2:10" x14ac:dyDescent="0.3">
      <c r="B916" s="1" t="s">
        <v>1284</v>
      </c>
      <c r="C916" s="1" t="s">
        <v>29</v>
      </c>
      <c r="D916" s="2" t="s">
        <v>316</v>
      </c>
      <c r="E916" s="2" t="s">
        <v>316</v>
      </c>
      <c r="F916" s="2" t="s">
        <v>11</v>
      </c>
      <c r="G916" s="3" t="s">
        <v>1294</v>
      </c>
      <c r="H916" s="1" t="s">
        <v>12</v>
      </c>
      <c r="I916" s="1" t="s">
        <v>51</v>
      </c>
      <c r="J916" s="1" t="s">
        <v>14</v>
      </c>
    </row>
    <row r="917" spans="2:10" x14ac:dyDescent="0.3">
      <c r="B917" s="1" t="s">
        <v>1284</v>
      </c>
      <c r="C917" s="1" t="s">
        <v>46</v>
      </c>
      <c r="D917" s="2" t="s">
        <v>204</v>
      </c>
      <c r="E917" s="2" t="s">
        <v>204</v>
      </c>
      <c r="F917" s="2" t="s">
        <v>11</v>
      </c>
      <c r="G917" s="3" t="s">
        <v>1295</v>
      </c>
      <c r="H917" s="1" t="s">
        <v>12</v>
      </c>
      <c r="I917" s="1" t="s">
        <v>76</v>
      </c>
      <c r="J917" s="1" t="s">
        <v>14</v>
      </c>
    </row>
    <row r="918" spans="2:10" x14ac:dyDescent="0.3">
      <c r="B918" s="1" t="s">
        <v>1284</v>
      </c>
      <c r="C918" s="1" t="s">
        <v>43</v>
      </c>
      <c r="D918" s="2" t="s">
        <v>624</v>
      </c>
      <c r="E918" s="2" t="s">
        <v>624</v>
      </c>
      <c r="F918" s="2" t="s">
        <v>11</v>
      </c>
      <c r="G918" s="3" t="s">
        <v>1296</v>
      </c>
      <c r="H918" s="1" t="s">
        <v>12</v>
      </c>
      <c r="I918" s="1" t="s">
        <v>71</v>
      </c>
      <c r="J918" s="1" t="s">
        <v>14</v>
      </c>
    </row>
    <row r="919" spans="2:10" x14ac:dyDescent="0.3">
      <c r="B919" s="1" t="s">
        <v>1284</v>
      </c>
      <c r="C919" s="1" t="s">
        <v>41</v>
      </c>
      <c r="D919" s="2" t="s">
        <v>316</v>
      </c>
      <c r="E919" s="2" t="s">
        <v>316</v>
      </c>
      <c r="F919" s="2" t="s">
        <v>11</v>
      </c>
      <c r="G919" s="3" t="s">
        <v>903</v>
      </c>
      <c r="H919" s="1" t="s">
        <v>12</v>
      </c>
      <c r="I919" s="1" t="s">
        <v>50</v>
      </c>
      <c r="J919" s="1" t="s">
        <v>14</v>
      </c>
    </row>
    <row r="920" spans="2:10" x14ac:dyDescent="0.3">
      <c r="B920" s="1" t="s">
        <v>1284</v>
      </c>
      <c r="C920" s="1" t="s">
        <v>17</v>
      </c>
      <c r="D920" s="2" t="s">
        <v>987</v>
      </c>
      <c r="E920" s="2" t="s">
        <v>987</v>
      </c>
      <c r="F920" s="2" t="s">
        <v>11</v>
      </c>
      <c r="G920" s="3" t="s">
        <v>1297</v>
      </c>
      <c r="H920" s="1" t="s">
        <v>12</v>
      </c>
      <c r="I920" s="1" t="s">
        <v>101</v>
      </c>
      <c r="J920" s="1" t="s">
        <v>14</v>
      </c>
    </row>
    <row r="921" spans="2:10" x14ac:dyDescent="0.3">
      <c r="B921" s="1" t="s">
        <v>1284</v>
      </c>
      <c r="C921" s="1" t="s">
        <v>15</v>
      </c>
      <c r="D921" s="2" t="s">
        <v>316</v>
      </c>
      <c r="E921" s="2" t="s">
        <v>316</v>
      </c>
      <c r="F921" s="2" t="s">
        <v>11</v>
      </c>
      <c r="G921" s="3" t="s">
        <v>1298</v>
      </c>
      <c r="H921" s="1" t="s">
        <v>12</v>
      </c>
      <c r="I921" s="1" t="s">
        <v>29</v>
      </c>
      <c r="J921" s="1" t="s">
        <v>14</v>
      </c>
    </row>
    <row r="922" spans="2:10" x14ac:dyDescent="0.3">
      <c r="B922" s="1" t="s">
        <v>1284</v>
      </c>
      <c r="C922" s="1" t="s">
        <v>21</v>
      </c>
      <c r="D922" s="2" t="s">
        <v>987</v>
      </c>
      <c r="E922" s="2" t="s">
        <v>987</v>
      </c>
      <c r="F922" s="2" t="s">
        <v>11</v>
      </c>
      <c r="G922" s="3" t="s">
        <v>1299</v>
      </c>
      <c r="H922" s="1" t="s">
        <v>12</v>
      </c>
      <c r="I922" s="1" t="s">
        <v>104</v>
      </c>
      <c r="J922" s="1" t="s">
        <v>14</v>
      </c>
    </row>
    <row r="923" spans="2:10" x14ac:dyDescent="0.3">
      <c r="B923" s="1" t="s">
        <v>1284</v>
      </c>
      <c r="C923" s="1" t="s">
        <v>28</v>
      </c>
      <c r="D923" s="2" t="s">
        <v>1300</v>
      </c>
      <c r="E923" s="2" t="s">
        <v>1301</v>
      </c>
      <c r="F923" s="2" t="s">
        <v>11</v>
      </c>
      <c r="G923" s="3" t="s">
        <v>1302</v>
      </c>
      <c r="H923" s="1" t="s">
        <v>12</v>
      </c>
      <c r="I923" s="1" t="s">
        <v>15</v>
      </c>
      <c r="J923" s="1" t="s">
        <v>52</v>
      </c>
    </row>
    <row r="924" spans="2:10" x14ac:dyDescent="0.3">
      <c r="B924" s="1" t="s">
        <v>1284</v>
      </c>
      <c r="C924" s="1" t="s">
        <v>38</v>
      </c>
      <c r="D924" s="2" t="s">
        <v>204</v>
      </c>
      <c r="E924" s="2" t="s">
        <v>204</v>
      </c>
      <c r="F924" s="2" t="s">
        <v>11</v>
      </c>
      <c r="G924" s="3" t="s">
        <v>1303</v>
      </c>
      <c r="H924" s="1" t="s">
        <v>12</v>
      </c>
      <c r="I924" s="1" t="s">
        <v>51</v>
      </c>
      <c r="J924" s="1" t="s">
        <v>14</v>
      </c>
    </row>
    <row r="925" spans="2:10" x14ac:dyDescent="0.3">
      <c r="B925" s="1" t="s">
        <v>1284</v>
      </c>
      <c r="C925" s="1" t="s">
        <v>36</v>
      </c>
      <c r="D925" s="2" t="s">
        <v>316</v>
      </c>
      <c r="E925" s="2" t="s">
        <v>316</v>
      </c>
      <c r="F925" s="2" t="s">
        <v>11</v>
      </c>
      <c r="G925" s="3" t="s">
        <v>1304</v>
      </c>
      <c r="H925" s="1" t="s">
        <v>12</v>
      </c>
      <c r="I925" s="1" t="s">
        <v>87</v>
      </c>
      <c r="J925" s="1" t="s">
        <v>14</v>
      </c>
    </row>
    <row r="926" spans="2:10" x14ac:dyDescent="0.3">
      <c r="B926" s="1" t="s">
        <v>1305</v>
      </c>
      <c r="C926" s="1" t="s">
        <v>43</v>
      </c>
      <c r="D926" s="2" t="s">
        <v>779</v>
      </c>
      <c r="E926" s="2" t="s">
        <v>779</v>
      </c>
      <c r="F926" s="2" t="s">
        <v>11</v>
      </c>
      <c r="G926" s="3" t="s">
        <v>1306</v>
      </c>
      <c r="H926" s="1" t="s">
        <v>12</v>
      </c>
      <c r="I926" s="1" t="s">
        <v>34</v>
      </c>
      <c r="J926" s="1" t="s">
        <v>14</v>
      </c>
    </row>
    <row r="927" spans="2:10" x14ac:dyDescent="0.3">
      <c r="B927" s="1" t="s">
        <v>1305</v>
      </c>
      <c r="C927" s="1" t="s">
        <v>45</v>
      </c>
      <c r="D927" s="2" t="s">
        <v>700</v>
      </c>
      <c r="E927" s="2" t="s">
        <v>700</v>
      </c>
      <c r="F927" s="2" t="s">
        <v>11</v>
      </c>
      <c r="G927" s="3" t="s">
        <v>1307</v>
      </c>
      <c r="H927" s="1" t="s">
        <v>12</v>
      </c>
      <c r="I927" s="1" t="s">
        <v>104</v>
      </c>
      <c r="J927" s="1" t="s">
        <v>14</v>
      </c>
    </row>
    <row r="928" spans="2:10" x14ac:dyDescent="0.3">
      <c r="B928" s="1" t="s">
        <v>1305</v>
      </c>
      <c r="C928" s="1" t="s">
        <v>46</v>
      </c>
      <c r="D928" s="2" t="s">
        <v>700</v>
      </c>
      <c r="E928" s="2" t="s">
        <v>700</v>
      </c>
      <c r="F928" s="2" t="s">
        <v>11</v>
      </c>
      <c r="G928" s="3" t="s">
        <v>1308</v>
      </c>
      <c r="H928" s="1" t="s">
        <v>12</v>
      </c>
      <c r="I928" s="1" t="s">
        <v>29</v>
      </c>
      <c r="J928" s="1" t="s">
        <v>14</v>
      </c>
    </row>
    <row r="929" spans="2:10" x14ac:dyDescent="0.3">
      <c r="B929" s="1" t="s">
        <v>1305</v>
      </c>
      <c r="C929" s="1" t="s">
        <v>41</v>
      </c>
      <c r="D929" s="2" t="s">
        <v>256</v>
      </c>
      <c r="E929" s="2" t="s">
        <v>256</v>
      </c>
      <c r="F929" s="2" t="s">
        <v>11</v>
      </c>
      <c r="G929" s="3" t="s">
        <v>633</v>
      </c>
      <c r="H929" s="1" t="s">
        <v>12</v>
      </c>
      <c r="I929" s="1" t="s">
        <v>1309</v>
      </c>
      <c r="J929" s="1" t="s">
        <v>14</v>
      </c>
    </row>
    <row r="930" spans="2:10" x14ac:dyDescent="0.3">
      <c r="B930" s="1" t="s">
        <v>1305</v>
      </c>
      <c r="C930" s="1" t="s">
        <v>29</v>
      </c>
      <c r="D930" s="2" t="s">
        <v>1080</v>
      </c>
      <c r="E930" s="2" t="s">
        <v>1310</v>
      </c>
      <c r="F930" s="2" t="s">
        <v>11</v>
      </c>
      <c r="G930" s="3" t="s">
        <v>1311</v>
      </c>
      <c r="H930" s="1" t="s">
        <v>12</v>
      </c>
      <c r="I930" s="1" t="s">
        <v>15</v>
      </c>
      <c r="J930" s="1" t="s">
        <v>52</v>
      </c>
    </row>
    <row r="931" spans="2:10" x14ac:dyDescent="0.3">
      <c r="B931" s="1" t="s">
        <v>1305</v>
      </c>
      <c r="C931" s="1" t="s">
        <v>15</v>
      </c>
      <c r="D931" s="2" t="s">
        <v>700</v>
      </c>
      <c r="E931" s="2" t="s">
        <v>700</v>
      </c>
      <c r="F931" s="2" t="s">
        <v>11</v>
      </c>
      <c r="G931" s="3" t="s">
        <v>1179</v>
      </c>
      <c r="H931" s="1" t="s">
        <v>12</v>
      </c>
      <c r="I931" s="1" t="s">
        <v>80</v>
      </c>
      <c r="J931" s="1" t="s">
        <v>14</v>
      </c>
    </row>
    <row r="932" spans="2:10" x14ac:dyDescent="0.3">
      <c r="B932" s="1" t="s">
        <v>1305</v>
      </c>
      <c r="C932" s="1" t="s">
        <v>21</v>
      </c>
      <c r="D932" s="2" t="s">
        <v>700</v>
      </c>
      <c r="E932" s="2" t="s">
        <v>700</v>
      </c>
      <c r="F932" s="2" t="s">
        <v>11</v>
      </c>
      <c r="G932" s="3" t="s">
        <v>1312</v>
      </c>
      <c r="H932" s="1" t="s">
        <v>12</v>
      </c>
      <c r="I932" s="1" t="s">
        <v>18</v>
      </c>
      <c r="J932" s="1" t="s">
        <v>14</v>
      </c>
    </row>
    <row r="933" spans="2:10" x14ac:dyDescent="0.3">
      <c r="B933" s="1" t="s">
        <v>1305</v>
      </c>
      <c r="C933" s="1" t="s">
        <v>35</v>
      </c>
      <c r="D933" s="2" t="s">
        <v>700</v>
      </c>
      <c r="E933" s="2" t="s">
        <v>700</v>
      </c>
      <c r="F933" s="2" t="s">
        <v>11</v>
      </c>
      <c r="G933" s="3" t="s">
        <v>1313</v>
      </c>
      <c r="H933" s="1" t="s">
        <v>12</v>
      </c>
      <c r="I933" s="1" t="s">
        <v>32</v>
      </c>
      <c r="J933" s="1" t="s">
        <v>14</v>
      </c>
    </row>
    <row r="934" spans="2:10" x14ac:dyDescent="0.3">
      <c r="B934" s="1" t="s">
        <v>1305</v>
      </c>
      <c r="C934" s="1" t="s">
        <v>17</v>
      </c>
      <c r="D934" s="2" t="s">
        <v>393</v>
      </c>
      <c r="E934" s="2" t="s">
        <v>393</v>
      </c>
      <c r="F934" s="2" t="s">
        <v>11</v>
      </c>
      <c r="G934" s="3" t="s">
        <v>1314</v>
      </c>
      <c r="H934" s="1" t="s">
        <v>12</v>
      </c>
      <c r="I934" s="1" t="s">
        <v>66</v>
      </c>
      <c r="J934" s="1" t="s">
        <v>14</v>
      </c>
    </row>
    <row r="935" spans="2:10" x14ac:dyDescent="0.3">
      <c r="B935" s="1" t="s">
        <v>1305</v>
      </c>
      <c r="C935" s="1" t="s">
        <v>33</v>
      </c>
      <c r="D935" s="2" t="s">
        <v>256</v>
      </c>
      <c r="E935" s="2" t="s">
        <v>256</v>
      </c>
      <c r="F935" s="2" t="s">
        <v>11</v>
      </c>
      <c r="G935" s="3" t="s">
        <v>1315</v>
      </c>
      <c r="H935" s="1" t="s">
        <v>12</v>
      </c>
      <c r="I935" s="1" t="s">
        <v>18</v>
      </c>
      <c r="J935" s="1" t="s">
        <v>14</v>
      </c>
    </row>
    <row r="936" spans="2:10" x14ac:dyDescent="0.3">
      <c r="B936" s="1" t="s">
        <v>1305</v>
      </c>
      <c r="C936" s="1" t="s">
        <v>24</v>
      </c>
      <c r="D936" s="2" t="s">
        <v>393</v>
      </c>
      <c r="E936" s="2" t="s">
        <v>393</v>
      </c>
      <c r="F936" s="2" t="s">
        <v>11</v>
      </c>
      <c r="G936" s="3" t="s">
        <v>1127</v>
      </c>
      <c r="H936" s="1" t="s">
        <v>12</v>
      </c>
      <c r="I936" s="1" t="s">
        <v>13</v>
      </c>
      <c r="J936" s="1" t="s">
        <v>14</v>
      </c>
    </row>
    <row r="937" spans="2:10" x14ac:dyDescent="0.3">
      <c r="B937" s="1" t="s">
        <v>1305</v>
      </c>
      <c r="C937" s="1" t="s">
        <v>38</v>
      </c>
      <c r="D937" s="2" t="s">
        <v>393</v>
      </c>
      <c r="E937" s="2" t="s">
        <v>393</v>
      </c>
      <c r="F937" s="2" t="s">
        <v>11</v>
      </c>
      <c r="G937" s="3" t="s">
        <v>1316</v>
      </c>
      <c r="H937" s="1" t="s">
        <v>12</v>
      </c>
      <c r="I937" s="1" t="s">
        <v>87</v>
      </c>
      <c r="J937" s="1" t="s">
        <v>14</v>
      </c>
    </row>
    <row r="938" spans="2:10" x14ac:dyDescent="0.3">
      <c r="B938" s="1" t="s">
        <v>1305</v>
      </c>
      <c r="C938" s="1" t="s">
        <v>26</v>
      </c>
      <c r="D938" s="2" t="s">
        <v>700</v>
      </c>
      <c r="E938" s="2" t="s">
        <v>700</v>
      </c>
      <c r="F938" s="2" t="s">
        <v>11</v>
      </c>
      <c r="G938" s="3" t="s">
        <v>1317</v>
      </c>
      <c r="H938" s="1" t="s">
        <v>12</v>
      </c>
      <c r="I938" s="1" t="s">
        <v>69</v>
      </c>
      <c r="J938" s="1" t="s">
        <v>14</v>
      </c>
    </row>
    <row r="939" spans="2:10" x14ac:dyDescent="0.3">
      <c r="B939" s="1" t="s">
        <v>1305</v>
      </c>
      <c r="C939" s="1" t="s">
        <v>39</v>
      </c>
      <c r="D939" s="2" t="s">
        <v>700</v>
      </c>
      <c r="E939" s="2" t="s">
        <v>700</v>
      </c>
      <c r="F939" s="2" t="s">
        <v>11</v>
      </c>
      <c r="G939" s="3" t="s">
        <v>1318</v>
      </c>
      <c r="H939" s="1" t="s">
        <v>12</v>
      </c>
      <c r="I939" s="1" t="s">
        <v>89</v>
      </c>
      <c r="J939" s="1" t="s">
        <v>14</v>
      </c>
    </row>
    <row r="940" spans="2:10" x14ac:dyDescent="0.3">
      <c r="B940" s="1" t="s">
        <v>1305</v>
      </c>
      <c r="C940" s="1" t="s">
        <v>23</v>
      </c>
      <c r="D940" s="2" t="s">
        <v>256</v>
      </c>
      <c r="E940" s="2" t="s">
        <v>256</v>
      </c>
      <c r="F940" s="2" t="s">
        <v>11</v>
      </c>
      <c r="G940" s="3" t="s">
        <v>1319</v>
      </c>
      <c r="H940" s="1" t="s">
        <v>12</v>
      </c>
      <c r="I940" s="1" t="s">
        <v>42</v>
      </c>
      <c r="J940" s="1" t="s">
        <v>14</v>
      </c>
    </row>
    <row r="941" spans="2:10" x14ac:dyDescent="0.3">
      <c r="B941" s="1" t="s">
        <v>1305</v>
      </c>
      <c r="C941" s="1" t="s">
        <v>28</v>
      </c>
      <c r="D941" s="2" t="s">
        <v>700</v>
      </c>
      <c r="E941" s="2" t="s">
        <v>700</v>
      </c>
      <c r="F941" s="2" t="s">
        <v>11</v>
      </c>
      <c r="G941" s="3" t="s">
        <v>1060</v>
      </c>
      <c r="H941" s="1" t="s">
        <v>12</v>
      </c>
      <c r="I941" s="1" t="s">
        <v>101</v>
      </c>
      <c r="J941" s="1" t="s">
        <v>14</v>
      </c>
    </row>
    <row r="942" spans="2:10" x14ac:dyDescent="0.3">
      <c r="B942" s="1" t="s">
        <v>1305</v>
      </c>
      <c r="C942" s="1" t="s">
        <v>31</v>
      </c>
      <c r="D942" s="2" t="s">
        <v>753</v>
      </c>
      <c r="E942" s="2" t="s">
        <v>753</v>
      </c>
      <c r="F942" s="2" t="s">
        <v>11</v>
      </c>
      <c r="G942" s="3" t="s">
        <v>1320</v>
      </c>
      <c r="H942" s="1" t="s">
        <v>12</v>
      </c>
      <c r="I942" s="1" t="s">
        <v>74</v>
      </c>
      <c r="J942" s="1" t="s">
        <v>14</v>
      </c>
    </row>
    <row r="943" spans="2:10" x14ac:dyDescent="0.3">
      <c r="B943" s="1" t="s">
        <v>1305</v>
      </c>
      <c r="C943" s="1" t="s">
        <v>10</v>
      </c>
      <c r="D943" s="2" t="s">
        <v>783</v>
      </c>
      <c r="E943" s="2" t="s">
        <v>783</v>
      </c>
      <c r="F943" s="2" t="s">
        <v>11</v>
      </c>
      <c r="G943" s="3" t="s">
        <v>1321</v>
      </c>
      <c r="H943" s="1" t="s">
        <v>12</v>
      </c>
      <c r="I943" s="1" t="s">
        <v>16</v>
      </c>
      <c r="J943" s="1" t="s">
        <v>14</v>
      </c>
    </row>
    <row r="944" spans="2:10" x14ac:dyDescent="0.3">
      <c r="B944" s="1" t="s">
        <v>1305</v>
      </c>
      <c r="C944" s="1" t="s">
        <v>36</v>
      </c>
      <c r="D944" s="2" t="s">
        <v>700</v>
      </c>
      <c r="E944" s="2" t="s">
        <v>700</v>
      </c>
      <c r="F944" s="2" t="s">
        <v>11</v>
      </c>
      <c r="G944" s="3" t="s">
        <v>1322</v>
      </c>
      <c r="H944" s="1" t="s">
        <v>12</v>
      </c>
      <c r="I944" s="1" t="s">
        <v>29</v>
      </c>
      <c r="J944" s="1" t="s">
        <v>14</v>
      </c>
    </row>
    <row r="945" spans="2:10" x14ac:dyDescent="0.3">
      <c r="B945" s="1" t="s">
        <v>1305</v>
      </c>
      <c r="C945" s="1" t="s">
        <v>19</v>
      </c>
      <c r="D945" s="2" t="s">
        <v>393</v>
      </c>
      <c r="E945" s="2" t="s">
        <v>393</v>
      </c>
      <c r="F945" s="2" t="s">
        <v>11</v>
      </c>
      <c r="G945" s="3" t="s">
        <v>1323</v>
      </c>
      <c r="H945" s="1" t="s">
        <v>12</v>
      </c>
      <c r="I945" s="1" t="s">
        <v>62</v>
      </c>
      <c r="J945" s="1" t="s">
        <v>14</v>
      </c>
    </row>
    <row r="946" spans="2:10" x14ac:dyDescent="0.3">
      <c r="B946" s="1" t="s">
        <v>1324</v>
      </c>
      <c r="C946" s="1" t="s">
        <v>36</v>
      </c>
      <c r="D946" s="2" t="s">
        <v>1325</v>
      </c>
      <c r="E946" s="2" t="s">
        <v>1326</v>
      </c>
      <c r="F946" s="2" t="s">
        <v>11</v>
      </c>
      <c r="G946" s="3" t="s">
        <v>120</v>
      </c>
      <c r="H946" s="1" t="s">
        <v>12</v>
      </c>
      <c r="I946" s="1" t="s">
        <v>63</v>
      </c>
      <c r="J946" s="1" t="s">
        <v>52</v>
      </c>
    </row>
    <row r="947" spans="2:10" x14ac:dyDescent="0.3">
      <c r="B947" s="1" t="s">
        <v>1324</v>
      </c>
      <c r="C947" s="1" t="s">
        <v>19</v>
      </c>
      <c r="D947" s="2" t="s">
        <v>547</v>
      </c>
      <c r="E947" s="2" t="s">
        <v>547</v>
      </c>
      <c r="F947" s="2" t="s">
        <v>11</v>
      </c>
      <c r="G947" s="3" t="s">
        <v>1327</v>
      </c>
      <c r="H947" s="1" t="s">
        <v>12</v>
      </c>
      <c r="I947" s="1" t="s">
        <v>18</v>
      </c>
      <c r="J947" s="1" t="s">
        <v>14</v>
      </c>
    </row>
    <row r="948" spans="2:10" x14ac:dyDescent="0.3">
      <c r="B948" s="1" t="s">
        <v>1324</v>
      </c>
      <c r="C948" s="1" t="s">
        <v>24</v>
      </c>
      <c r="D948" s="2" t="s">
        <v>1328</v>
      </c>
      <c r="E948" s="2" t="s">
        <v>1328</v>
      </c>
      <c r="F948" s="2" t="s">
        <v>11</v>
      </c>
      <c r="G948" s="3" t="s">
        <v>1329</v>
      </c>
      <c r="H948" s="1" t="s">
        <v>12</v>
      </c>
      <c r="I948" s="1" t="s">
        <v>41</v>
      </c>
      <c r="J948" s="1" t="s">
        <v>14</v>
      </c>
    </row>
    <row r="949" spans="2:10" x14ac:dyDescent="0.3">
      <c r="B949" s="1" t="s">
        <v>1324</v>
      </c>
      <c r="C949" s="1" t="s">
        <v>31</v>
      </c>
      <c r="D949" s="2" t="s">
        <v>1330</v>
      </c>
      <c r="E949" s="2" t="s">
        <v>1330</v>
      </c>
      <c r="F949" s="2" t="s">
        <v>11</v>
      </c>
      <c r="G949" s="3" t="s">
        <v>731</v>
      </c>
      <c r="H949" s="1" t="s">
        <v>12</v>
      </c>
      <c r="I949" s="1" t="s">
        <v>68</v>
      </c>
      <c r="J949" s="1" t="s">
        <v>14</v>
      </c>
    </row>
    <row r="950" spans="2:10" x14ac:dyDescent="0.3">
      <c r="B950" s="1" t="s">
        <v>1324</v>
      </c>
      <c r="C950" s="1" t="s">
        <v>23</v>
      </c>
      <c r="D950" s="2" t="s">
        <v>1331</v>
      </c>
      <c r="E950" s="2" t="s">
        <v>1331</v>
      </c>
      <c r="F950" s="2" t="s">
        <v>11</v>
      </c>
      <c r="G950" s="3" t="s">
        <v>1332</v>
      </c>
      <c r="H950" s="1" t="s">
        <v>12</v>
      </c>
      <c r="I950" s="1" t="s">
        <v>49</v>
      </c>
      <c r="J950" s="1" t="s">
        <v>14</v>
      </c>
    </row>
    <row r="951" spans="2:10" x14ac:dyDescent="0.3">
      <c r="B951" s="1" t="s">
        <v>1324</v>
      </c>
      <c r="C951" s="1" t="s">
        <v>35</v>
      </c>
      <c r="D951" s="2" t="s">
        <v>1333</v>
      </c>
      <c r="E951" s="2" t="s">
        <v>1333</v>
      </c>
      <c r="F951" s="2" t="s">
        <v>11</v>
      </c>
      <c r="G951" s="3" t="s">
        <v>629</v>
      </c>
      <c r="H951" s="1" t="s">
        <v>12</v>
      </c>
      <c r="I951" s="1" t="s">
        <v>42</v>
      </c>
      <c r="J951" s="1" t="s">
        <v>14</v>
      </c>
    </row>
    <row r="952" spans="2:10" x14ac:dyDescent="0.3">
      <c r="B952" s="1" t="s">
        <v>1324</v>
      </c>
      <c r="C952" s="1" t="s">
        <v>15</v>
      </c>
      <c r="D952" s="2" t="s">
        <v>547</v>
      </c>
      <c r="E952" s="2" t="s">
        <v>547</v>
      </c>
      <c r="F952" s="2" t="s">
        <v>11</v>
      </c>
      <c r="G952" s="3" t="s">
        <v>813</v>
      </c>
      <c r="H952" s="1" t="s">
        <v>12</v>
      </c>
      <c r="I952" s="1" t="s">
        <v>41</v>
      </c>
      <c r="J952" s="1" t="s">
        <v>14</v>
      </c>
    </row>
    <row r="953" spans="2:10" x14ac:dyDescent="0.3">
      <c r="B953" s="1" t="s">
        <v>1324</v>
      </c>
      <c r="C953" s="1" t="s">
        <v>38</v>
      </c>
      <c r="D953" s="2" t="s">
        <v>543</v>
      </c>
      <c r="E953" s="2" t="s">
        <v>543</v>
      </c>
      <c r="F953" s="2" t="s">
        <v>11</v>
      </c>
      <c r="G953" s="3" t="s">
        <v>285</v>
      </c>
      <c r="H953" s="1" t="s">
        <v>12</v>
      </c>
      <c r="I953" s="1" t="s">
        <v>59</v>
      </c>
      <c r="J953" s="1" t="s">
        <v>14</v>
      </c>
    </row>
    <row r="954" spans="2:10" x14ac:dyDescent="0.3">
      <c r="B954" s="1" t="s">
        <v>1324</v>
      </c>
      <c r="C954" s="1" t="s">
        <v>26</v>
      </c>
      <c r="D954" s="2" t="s">
        <v>1334</v>
      </c>
      <c r="E954" s="2" t="s">
        <v>1335</v>
      </c>
      <c r="F954" s="2" t="s">
        <v>11</v>
      </c>
      <c r="G954" s="3" t="s">
        <v>911</v>
      </c>
      <c r="H954" s="1" t="s">
        <v>12</v>
      </c>
      <c r="I954" s="1" t="s">
        <v>55</v>
      </c>
      <c r="J954" s="1" t="s">
        <v>52</v>
      </c>
    </row>
    <row r="955" spans="2:10" x14ac:dyDescent="0.3">
      <c r="B955" s="1" t="s">
        <v>1324</v>
      </c>
      <c r="C955" s="1" t="s">
        <v>29</v>
      </c>
      <c r="D955" s="2" t="s">
        <v>1336</v>
      </c>
      <c r="E955" s="2" t="s">
        <v>1337</v>
      </c>
      <c r="F955" s="2" t="s">
        <v>11</v>
      </c>
      <c r="G955" s="3" t="s">
        <v>1338</v>
      </c>
      <c r="H955" s="1" t="s">
        <v>12</v>
      </c>
      <c r="I955" s="1" t="s">
        <v>46</v>
      </c>
      <c r="J955" s="1" t="s">
        <v>52</v>
      </c>
    </row>
    <row r="956" spans="2:10" x14ac:dyDescent="0.3">
      <c r="B956" s="1" t="s">
        <v>1324</v>
      </c>
      <c r="C956" s="1" t="s">
        <v>10</v>
      </c>
      <c r="D956" s="2" t="s">
        <v>547</v>
      </c>
      <c r="E956" s="2" t="s">
        <v>547</v>
      </c>
      <c r="F956" s="2" t="s">
        <v>11</v>
      </c>
      <c r="G956" s="3" t="s">
        <v>1339</v>
      </c>
      <c r="H956" s="1" t="s">
        <v>12</v>
      </c>
      <c r="I956" s="1" t="s">
        <v>101</v>
      </c>
      <c r="J956" s="1" t="s">
        <v>14</v>
      </c>
    </row>
    <row r="957" spans="2:10" x14ac:dyDescent="0.3">
      <c r="B957" s="1" t="s">
        <v>1324</v>
      </c>
      <c r="C957" s="1" t="s">
        <v>21</v>
      </c>
      <c r="D957" s="2" t="s">
        <v>547</v>
      </c>
      <c r="E957" s="2" t="s">
        <v>547</v>
      </c>
      <c r="F957" s="2" t="s">
        <v>11</v>
      </c>
      <c r="G957" s="3" t="s">
        <v>1340</v>
      </c>
      <c r="H957" s="1" t="s">
        <v>12</v>
      </c>
      <c r="I957" s="1" t="s">
        <v>55</v>
      </c>
      <c r="J957" s="1" t="s">
        <v>14</v>
      </c>
    </row>
    <row r="958" spans="2:10" x14ac:dyDescent="0.3">
      <c r="B958" s="1" t="s">
        <v>1324</v>
      </c>
      <c r="C958" s="1" t="s">
        <v>43</v>
      </c>
      <c r="D958" s="2" t="s">
        <v>1286</v>
      </c>
      <c r="E958" s="2" t="s">
        <v>1286</v>
      </c>
      <c r="F958" s="2" t="s">
        <v>11</v>
      </c>
      <c r="G958" s="3" t="s">
        <v>1341</v>
      </c>
      <c r="H958" s="1" t="s">
        <v>12</v>
      </c>
      <c r="I958" s="1" t="s">
        <v>30</v>
      </c>
      <c r="J958" s="1" t="s">
        <v>14</v>
      </c>
    </row>
    <row r="959" spans="2:10" x14ac:dyDescent="0.3">
      <c r="B959" s="1" t="s">
        <v>1324</v>
      </c>
      <c r="C959" s="1" t="s">
        <v>28</v>
      </c>
      <c r="D959" s="2" t="s">
        <v>1342</v>
      </c>
      <c r="E959" s="2" t="s">
        <v>1342</v>
      </c>
      <c r="F959" s="2" t="s">
        <v>11</v>
      </c>
      <c r="G959" s="3" t="s">
        <v>1343</v>
      </c>
      <c r="H959" s="1" t="s">
        <v>12</v>
      </c>
      <c r="I959" s="1" t="s">
        <v>25</v>
      </c>
      <c r="J959" s="1" t="s">
        <v>14</v>
      </c>
    </row>
    <row r="960" spans="2:10" x14ac:dyDescent="0.3">
      <c r="B960" s="1" t="s">
        <v>1324</v>
      </c>
      <c r="C960" s="1" t="s">
        <v>39</v>
      </c>
      <c r="D960" s="2" t="s">
        <v>543</v>
      </c>
      <c r="E960" s="2" t="s">
        <v>543</v>
      </c>
      <c r="F960" s="2" t="s">
        <v>11</v>
      </c>
      <c r="G960" s="3" t="s">
        <v>1344</v>
      </c>
      <c r="H960" s="1" t="s">
        <v>12</v>
      </c>
      <c r="I960" s="1" t="s">
        <v>25</v>
      </c>
      <c r="J960" s="1" t="s">
        <v>14</v>
      </c>
    </row>
    <row r="961" spans="2:10" x14ac:dyDescent="0.3">
      <c r="B961" s="1" t="s">
        <v>1324</v>
      </c>
      <c r="C961" s="1" t="s">
        <v>46</v>
      </c>
      <c r="D961" s="2" t="s">
        <v>1331</v>
      </c>
      <c r="E961" s="2" t="s">
        <v>1331</v>
      </c>
      <c r="F961" s="2" t="s">
        <v>11</v>
      </c>
      <c r="G961" s="3" t="s">
        <v>1345</v>
      </c>
      <c r="H961" s="1" t="s">
        <v>12</v>
      </c>
      <c r="I961" s="1" t="s">
        <v>76</v>
      </c>
      <c r="J961" s="1" t="s">
        <v>14</v>
      </c>
    </row>
    <row r="962" spans="2:10" x14ac:dyDescent="0.3">
      <c r="B962" s="1" t="s">
        <v>1324</v>
      </c>
      <c r="C962" s="1" t="s">
        <v>17</v>
      </c>
      <c r="D962" s="2" t="s">
        <v>1331</v>
      </c>
      <c r="E962" s="2" t="s">
        <v>1331</v>
      </c>
      <c r="F962" s="2" t="s">
        <v>11</v>
      </c>
      <c r="G962" s="3" t="s">
        <v>1346</v>
      </c>
      <c r="H962" s="1" t="s">
        <v>12</v>
      </c>
      <c r="I962" s="1" t="s">
        <v>64</v>
      </c>
      <c r="J962" s="1" t="s">
        <v>14</v>
      </c>
    </row>
    <row r="963" spans="2:10" x14ac:dyDescent="0.3">
      <c r="B963" s="1" t="s">
        <v>1324</v>
      </c>
      <c r="C963" s="1" t="s">
        <v>33</v>
      </c>
      <c r="D963" s="2" t="s">
        <v>547</v>
      </c>
      <c r="E963" s="2" t="s">
        <v>547</v>
      </c>
      <c r="F963" s="2" t="s">
        <v>11</v>
      </c>
      <c r="G963" s="3" t="s">
        <v>1347</v>
      </c>
      <c r="H963" s="1" t="s">
        <v>12</v>
      </c>
      <c r="I963" s="1" t="s">
        <v>77</v>
      </c>
      <c r="J963" s="1" t="s">
        <v>14</v>
      </c>
    </row>
    <row r="964" spans="2:10" x14ac:dyDescent="0.3">
      <c r="B964" s="1" t="s">
        <v>1324</v>
      </c>
      <c r="C964" s="1" t="s">
        <v>41</v>
      </c>
      <c r="D964" s="2" t="s">
        <v>547</v>
      </c>
      <c r="E964" s="2" t="s">
        <v>547</v>
      </c>
      <c r="F964" s="2" t="s">
        <v>11</v>
      </c>
      <c r="G964" s="3" t="s">
        <v>1348</v>
      </c>
      <c r="H964" s="1" t="s">
        <v>12</v>
      </c>
      <c r="I964" s="1" t="s">
        <v>61</v>
      </c>
      <c r="J964" s="1" t="s">
        <v>14</v>
      </c>
    </row>
    <row r="965" spans="2:10" x14ac:dyDescent="0.3">
      <c r="B965" s="1" t="s">
        <v>1324</v>
      </c>
      <c r="C965" s="1" t="s">
        <v>45</v>
      </c>
      <c r="D965" s="2" t="s">
        <v>547</v>
      </c>
      <c r="E965" s="2" t="s">
        <v>547</v>
      </c>
      <c r="F965" s="2" t="s">
        <v>11</v>
      </c>
      <c r="G965" s="3" t="s">
        <v>1349</v>
      </c>
      <c r="H965" s="1" t="s">
        <v>12</v>
      </c>
      <c r="I965" s="1" t="s">
        <v>63</v>
      </c>
      <c r="J965" s="1" t="s">
        <v>14</v>
      </c>
    </row>
    <row r="966" spans="2:10" x14ac:dyDescent="0.3">
      <c r="B966" s="1" t="s">
        <v>1350</v>
      </c>
      <c r="C966" s="1" t="s">
        <v>46</v>
      </c>
      <c r="D966" s="2" t="s">
        <v>398</v>
      </c>
      <c r="E966" s="2" t="s">
        <v>398</v>
      </c>
      <c r="F966" s="2" t="s">
        <v>11</v>
      </c>
      <c r="G966" s="3" t="s">
        <v>1079</v>
      </c>
      <c r="H966" s="1" t="s">
        <v>12</v>
      </c>
      <c r="I966" s="1" t="s">
        <v>73</v>
      </c>
      <c r="J966" s="1" t="s">
        <v>14</v>
      </c>
    </row>
    <row r="967" spans="2:10" x14ac:dyDescent="0.3">
      <c r="B967" s="1" t="s">
        <v>1350</v>
      </c>
      <c r="C967" s="1" t="s">
        <v>31</v>
      </c>
      <c r="D967" s="2" t="s">
        <v>842</v>
      </c>
      <c r="E967" s="2" t="s">
        <v>842</v>
      </c>
      <c r="F967" s="2" t="s">
        <v>11</v>
      </c>
      <c r="G967" s="3" t="s">
        <v>1351</v>
      </c>
      <c r="H967" s="1" t="s">
        <v>12</v>
      </c>
      <c r="I967" s="1" t="s">
        <v>40</v>
      </c>
      <c r="J967" s="1" t="s">
        <v>14</v>
      </c>
    </row>
    <row r="968" spans="2:10" x14ac:dyDescent="0.3">
      <c r="B968" s="1" t="s">
        <v>1350</v>
      </c>
      <c r="C968" s="1" t="s">
        <v>35</v>
      </c>
      <c r="D968" s="2" t="s">
        <v>397</v>
      </c>
      <c r="E968" s="2" t="s">
        <v>397</v>
      </c>
      <c r="F968" s="2" t="s">
        <v>11</v>
      </c>
      <c r="G968" s="3" t="s">
        <v>1352</v>
      </c>
      <c r="H968" s="1" t="s">
        <v>12</v>
      </c>
      <c r="I968" s="1" t="s">
        <v>60</v>
      </c>
      <c r="J968" s="1" t="s">
        <v>14</v>
      </c>
    </row>
    <row r="969" spans="2:10" x14ac:dyDescent="0.3">
      <c r="B969" s="1" t="s">
        <v>1350</v>
      </c>
      <c r="C969" s="1" t="s">
        <v>43</v>
      </c>
      <c r="D969" s="2" t="s">
        <v>244</v>
      </c>
      <c r="E969" s="2" t="s">
        <v>244</v>
      </c>
      <c r="F969" s="2" t="s">
        <v>11</v>
      </c>
      <c r="G969" s="3" t="s">
        <v>1353</v>
      </c>
      <c r="H969" s="1" t="s">
        <v>12</v>
      </c>
      <c r="I969" s="1" t="s">
        <v>101</v>
      </c>
      <c r="J969" s="1" t="s">
        <v>14</v>
      </c>
    </row>
    <row r="970" spans="2:10" x14ac:dyDescent="0.3">
      <c r="B970" s="1" t="s">
        <v>1350</v>
      </c>
      <c r="C970" s="1" t="s">
        <v>23</v>
      </c>
      <c r="D970" s="2" t="s">
        <v>700</v>
      </c>
      <c r="E970" s="2" t="s">
        <v>700</v>
      </c>
      <c r="F970" s="2" t="s">
        <v>11</v>
      </c>
      <c r="G970" s="3" t="s">
        <v>1354</v>
      </c>
      <c r="H970" s="1" t="s">
        <v>12</v>
      </c>
      <c r="I970" s="1" t="s">
        <v>49</v>
      </c>
      <c r="J970" s="1" t="s">
        <v>14</v>
      </c>
    </row>
    <row r="971" spans="2:10" x14ac:dyDescent="0.3">
      <c r="B971" s="1" t="s">
        <v>1350</v>
      </c>
      <c r="C971" s="1" t="s">
        <v>36</v>
      </c>
      <c r="D971" s="2" t="s">
        <v>398</v>
      </c>
      <c r="E971" s="2" t="s">
        <v>398</v>
      </c>
      <c r="F971" s="2" t="s">
        <v>11</v>
      </c>
      <c r="G971" s="3" t="s">
        <v>121</v>
      </c>
      <c r="H971" s="1" t="s">
        <v>12</v>
      </c>
      <c r="I971" s="1" t="s">
        <v>72</v>
      </c>
      <c r="J971" s="1" t="s">
        <v>14</v>
      </c>
    </row>
    <row r="972" spans="2:10" x14ac:dyDescent="0.3">
      <c r="B972" s="1" t="s">
        <v>1350</v>
      </c>
      <c r="C972" s="1" t="s">
        <v>10</v>
      </c>
      <c r="D972" s="2" t="s">
        <v>777</v>
      </c>
      <c r="E972" s="2" t="s">
        <v>777</v>
      </c>
      <c r="F972" s="2" t="s">
        <v>11</v>
      </c>
      <c r="G972" s="3" t="s">
        <v>1355</v>
      </c>
      <c r="H972" s="1" t="s">
        <v>12</v>
      </c>
      <c r="I972" s="1" t="s">
        <v>66</v>
      </c>
      <c r="J972" s="1" t="s">
        <v>14</v>
      </c>
    </row>
    <row r="973" spans="2:10" x14ac:dyDescent="0.3">
      <c r="B973" s="1" t="s">
        <v>1350</v>
      </c>
      <c r="C973" s="1" t="s">
        <v>21</v>
      </c>
      <c r="D973" s="2" t="s">
        <v>397</v>
      </c>
      <c r="E973" s="2" t="s">
        <v>397</v>
      </c>
      <c r="F973" s="2" t="s">
        <v>11</v>
      </c>
      <c r="G973" s="3" t="s">
        <v>1356</v>
      </c>
      <c r="H973" s="1" t="s">
        <v>12</v>
      </c>
      <c r="I973" s="1" t="s">
        <v>49</v>
      </c>
      <c r="J973" s="1" t="s">
        <v>14</v>
      </c>
    </row>
    <row r="974" spans="2:10" x14ac:dyDescent="0.3">
      <c r="B974" s="1" t="s">
        <v>1350</v>
      </c>
      <c r="C974" s="1" t="s">
        <v>41</v>
      </c>
      <c r="D974" s="2" t="s">
        <v>244</v>
      </c>
      <c r="E974" s="2" t="s">
        <v>244</v>
      </c>
      <c r="F974" s="2" t="s">
        <v>11</v>
      </c>
      <c r="G974" s="3" t="s">
        <v>425</v>
      </c>
      <c r="H974" s="1" t="s">
        <v>12</v>
      </c>
      <c r="I974" s="1" t="s">
        <v>63</v>
      </c>
      <c r="J974" s="1" t="s">
        <v>14</v>
      </c>
    </row>
    <row r="975" spans="2:10" x14ac:dyDescent="0.3">
      <c r="B975" s="1" t="s">
        <v>1350</v>
      </c>
      <c r="C975" s="1" t="s">
        <v>15</v>
      </c>
      <c r="D975" s="2" t="s">
        <v>248</v>
      </c>
      <c r="E975" s="2" t="s">
        <v>248</v>
      </c>
      <c r="F975" s="2" t="s">
        <v>11</v>
      </c>
      <c r="G975" s="3" t="s">
        <v>1357</v>
      </c>
      <c r="H975" s="1" t="s">
        <v>12</v>
      </c>
      <c r="I975" s="1" t="s">
        <v>80</v>
      </c>
      <c r="J975" s="1" t="s">
        <v>14</v>
      </c>
    </row>
    <row r="976" spans="2:10" x14ac:dyDescent="0.3">
      <c r="B976" s="1" t="s">
        <v>1350</v>
      </c>
      <c r="C976" s="1" t="s">
        <v>17</v>
      </c>
      <c r="D976" s="2" t="s">
        <v>777</v>
      </c>
      <c r="E976" s="2" t="s">
        <v>777</v>
      </c>
      <c r="F976" s="2" t="s">
        <v>11</v>
      </c>
      <c r="G976" s="3" t="s">
        <v>1358</v>
      </c>
      <c r="H976" s="1" t="s">
        <v>12</v>
      </c>
      <c r="I976" s="1" t="s">
        <v>71</v>
      </c>
      <c r="J976" s="1" t="s">
        <v>14</v>
      </c>
    </row>
    <row r="977" spans="2:10" x14ac:dyDescent="0.3">
      <c r="B977" s="1" t="s">
        <v>1350</v>
      </c>
      <c r="C977" s="1" t="s">
        <v>39</v>
      </c>
      <c r="D977" s="2" t="s">
        <v>397</v>
      </c>
      <c r="E977" s="2" t="s">
        <v>397</v>
      </c>
      <c r="F977" s="2" t="s">
        <v>11</v>
      </c>
      <c r="G977" s="3" t="s">
        <v>1058</v>
      </c>
      <c r="H977" s="1" t="s">
        <v>12</v>
      </c>
      <c r="I977" s="1" t="s">
        <v>49</v>
      </c>
      <c r="J977" s="1" t="s">
        <v>14</v>
      </c>
    </row>
    <row r="978" spans="2:10" x14ac:dyDescent="0.3">
      <c r="B978" s="1" t="s">
        <v>1350</v>
      </c>
      <c r="C978" s="1" t="s">
        <v>26</v>
      </c>
      <c r="D978" s="2" t="s">
        <v>777</v>
      </c>
      <c r="E978" s="2" t="s">
        <v>777</v>
      </c>
      <c r="F978" s="2" t="s">
        <v>11</v>
      </c>
      <c r="G978" s="3" t="s">
        <v>1359</v>
      </c>
      <c r="H978" s="1" t="s">
        <v>12</v>
      </c>
      <c r="I978" s="1" t="s">
        <v>65</v>
      </c>
      <c r="J978" s="1" t="s">
        <v>14</v>
      </c>
    </row>
    <row r="979" spans="2:10" x14ac:dyDescent="0.3">
      <c r="B979" s="1" t="s">
        <v>1350</v>
      </c>
      <c r="C979" s="1" t="s">
        <v>19</v>
      </c>
      <c r="D979" s="2" t="s">
        <v>777</v>
      </c>
      <c r="E979" s="2" t="s">
        <v>777</v>
      </c>
      <c r="F979" s="2" t="s">
        <v>11</v>
      </c>
      <c r="G979" s="3" t="s">
        <v>1360</v>
      </c>
      <c r="H979" s="1" t="s">
        <v>12</v>
      </c>
      <c r="I979" s="1" t="s">
        <v>50</v>
      </c>
      <c r="J979" s="1" t="s">
        <v>14</v>
      </c>
    </row>
    <row r="980" spans="2:10" x14ac:dyDescent="0.3">
      <c r="B980" s="1" t="s">
        <v>1350</v>
      </c>
      <c r="C980" s="1" t="s">
        <v>28</v>
      </c>
      <c r="D980" s="2" t="s">
        <v>244</v>
      </c>
      <c r="E980" s="2" t="s">
        <v>244</v>
      </c>
      <c r="F980" s="2" t="s">
        <v>11</v>
      </c>
      <c r="G980" s="3" t="s">
        <v>1361</v>
      </c>
      <c r="H980" s="1" t="s">
        <v>12</v>
      </c>
      <c r="I980" s="1" t="s">
        <v>40</v>
      </c>
      <c r="J980" s="1" t="s">
        <v>14</v>
      </c>
    </row>
    <row r="981" spans="2:10" x14ac:dyDescent="0.3">
      <c r="B981" s="1" t="s">
        <v>1350</v>
      </c>
      <c r="C981" s="1" t="s">
        <v>24</v>
      </c>
      <c r="D981" s="2" t="s">
        <v>398</v>
      </c>
      <c r="E981" s="2" t="s">
        <v>398</v>
      </c>
      <c r="F981" s="2" t="s">
        <v>11</v>
      </c>
      <c r="G981" s="3" t="s">
        <v>1362</v>
      </c>
      <c r="H981" s="1" t="s">
        <v>12</v>
      </c>
      <c r="I981" s="1" t="s">
        <v>32</v>
      </c>
      <c r="J981" s="1" t="s">
        <v>14</v>
      </c>
    </row>
    <row r="982" spans="2:10" x14ac:dyDescent="0.3">
      <c r="B982" s="1" t="s">
        <v>1350</v>
      </c>
      <c r="C982" s="1" t="s">
        <v>38</v>
      </c>
      <c r="D982" s="2" t="s">
        <v>777</v>
      </c>
      <c r="E982" s="2" t="s">
        <v>777</v>
      </c>
      <c r="F982" s="2" t="s">
        <v>11</v>
      </c>
      <c r="G982" s="3" t="s">
        <v>1363</v>
      </c>
      <c r="H982" s="1" t="s">
        <v>12</v>
      </c>
      <c r="I982" s="1" t="s">
        <v>27</v>
      </c>
      <c r="J982" s="1" t="s">
        <v>14</v>
      </c>
    </row>
    <row r="983" spans="2:10" x14ac:dyDescent="0.3">
      <c r="B983" s="1" t="s">
        <v>1350</v>
      </c>
      <c r="C983" s="1" t="s">
        <v>45</v>
      </c>
      <c r="D983" s="2" t="s">
        <v>244</v>
      </c>
      <c r="E983" s="2" t="s">
        <v>244</v>
      </c>
      <c r="F983" s="2" t="s">
        <v>11</v>
      </c>
      <c r="G983" s="3" t="s">
        <v>1364</v>
      </c>
      <c r="H983" s="1" t="s">
        <v>12</v>
      </c>
      <c r="I983" s="1" t="s">
        <v>49</v>
      </c>
      <c r="J983" s="1" t="s">
        <v>14</v>
      </c>
    </row>
    <row r="984" spans="2:10" x14ac:dyDescent="0.3">
      <c r="B984" s="1" t="s">
        <v>1350</v>
      </c>
      <c r="C984" s="1" t="s">
        <v>33</v>
      </c>
      <c r="D984" s="2" t="s">
        <v>397</v>
      </c>
      <c r="E984" s="2" t="s">
        <v>397</v>
      </c>
      <c r="F984" s="2" t="s">
        <v>11</v>
      </c>
      <c r="G984" s="3" t="s">
        <v>1365</v>
      </c>
      <c r="H984" s="1" t="s">
        <v>12</v>
      </c>
      <c r="I984" s="1" t="s">
        <v>42</v>
      </c>
      <c r="J984" s="1" t="s">
        <v>14</v>
      </c>
    </row>
    <row r="985" spans="2:10" x14ac:dyDescent="0.3">
      <c r="B985" s="1" t="s">
        <v>1350</v>
      </c>
      <c r="C985" s="1" t="s">
        <v>29</v>
      </c>
      <c r="D985" s="2" t="s">
        <v>702</v>
      </c>
      <c r="E985" s="2" t="s">
        <v>702</v>
      </c>
      <c r="F985" s="2" t="s">
        <v>11</v>
      </c>
      <c r="G985" s="3" t="s">
        <v>848</v>
      </c>
      <c r="H985" s="1" t="s">
        <v>12</v>
      </c>
      <c r="I985" s="1" t="s">
        <v>76</v>
      </c>
      <c r="J985" s="1" t="s">
        <v>14</v>
      </c>
    </row>
    <row r="986" spans="2:10" x14ac:dyDescent="0.3">
      <c r="B986" s="1" t="s">
        <v>1366</v>
      </c>
      <c r="C986" s="1" t="s">
        <v>31</v>
      </c>
      <c r="D986" s="2" t="s">
        <v>783</v>
      </c>
      <c r="E986" s="2" t="s">
        <v>783</v>
      </c>
      <c r="F986" s="2" t="s">
        <v>11</v>
      </c>
      <c r="G986" s="3" t="s">
        <v>1367</v>
      </c>
      <c r="H986" s="1" t="s">
        <v>12</v>
      </c>
      <c r="I986" s="1" t="s">
        <v>69</v>
      </c>
      <c r="J986" s="1" t="s">
        <v>14</v>
      </c>
    </row>
    <row r="987" spans="2:10" x14ac:dyDescent="0.3">
      <c r="B987" s="1" t="s">
        <v>1366</v>
      </c>
      <c r="C987" s="1" t="s">
        <v>23</v>
      </c>
      <c r="D987" s="2" t="s">
        <v>187</v>
      </c>
      <c r="E987" s="2" t="s">
        <v>200</v>
      </c>
      <c r="F987" s="2" t="s">
        <v>11</v>
      </c>
      <c r="G987" s="3" t="s">
        <v>1368</v>
      </c>
      <c r="H987" s="1" t="s">
        <v>12</v>
      </c>
      <c r="I987" s="1" t="s">
        <v>10</v>
      </c>
      <c r="J987" s="1" t="s">
        <v>52</v>
      </c>
    </row>
    <row r="988" spans="2:10" x14ac:dyDescent="0.3">
      <c r="B988" s="1" t="s">
        <v>1366</v>
      </c>
      <c r="C988" s="1" t="s">
        <v>39</v>
      </c>
      <c r="D988" s="2" t="s">
        <v>476</v>
      </c>
      <c r="E988" s="2" t="s">
        <v>476</v>
      </c>
      <c r="F988" s="2" t="s">
        <v>11</v>
      </c>
      <c r="G988" s="3" t="s">
        <v>755</v>
      </c>
      <c r="H988" s="1" t="s">
        <v>12</v>
      </c>
      <c r="I988" s="1" t="s">
        <v>63</v>
      </c>
      <c r="J988" s="1" t="s">
        <v>14</v>
      </c>
    </row>
    <row r="989" spans="2:10" x14ac:dyDescent="0.3">
      <c r="B989" s="1" t="s">
        <v>1366</v>
      </c>
      <c r="C989" s="1" t="s">
        <v>33</v>
      </c>
      <c r="D989" s="2" t="s">
        <v>476</v>
      </c>
      <c r="E989" s="2" t="s">
        <v>476</v>
      </c>
      <c r="F989" s="2" t="s">
        <v>11</v>
      </c>
      <c r="G989" s="3" t="s">
        <v>1369</v>
      </c>
      <c r="H989" s="1" t="s">
        <v>12</v>
      </c>
      <c r="I989" s="1" t="s">
        <v>51</v>
      </c>
      <c r="J989" s="1" t="s">
        <v>14</v>
      </c>
    </row>
    <row r="990" spans="2:10" x14ac:dyDescent="0.3">
      <c r="B990" s="1" t="s">
        <v>1366</v>
      </c>
      <c r="C990" s="1" t="s">
        <v>35</v>
      </c>
      <c r="D990" s="2" t="s">
        <v>838</v>
      </c>
      <c r="E990" s="2" t="s">
        <v>838</v>
      </c>
      <c r="F990" s="2" t="s">
        <v>11</v>
      </c>
      <c r="G990" s="3" t="s">
        <v>570</v>
      </c>
      <c r="H990" s="1" t="s">
        <v>12</v>
      </c>
      <c r="I990" s="1" t="s">
        <v>49</v>
      </c>
      <c r="J990" s="1" t="s">
        <v>14</v>
      </c>
    </row>
    <row r="991" spans="2:10" x14ac:dyDescent="0.3">
      <c r="B991" s="1" t="s">
        <v>1366</v>
      </c>
      <c r="C991" s="1" t="s">
        <v>41</v>
      </c>
      <c r="D991" s="2" t="s">
        <v>387</v>
      </c>
      <c r="E991" s="2" t="s">
        <v>387</v>
      </c>
      <c r="F991" s="2" t="s">
        <v>11</v>
      </c>
      <c r="G991" s="3" t="s">
        <v>1370</v>
      </c>
      <c r="H991" s="1" t="s">
        <v>12</v>
      </c>
      <c r="I991" s="1" t="s">
        <v>66</v>
      </c>
      <c r="J991" s="1" t="s">
        <v>14</v>
      </c>
    </row>
    <row r="992" spans="2:10" x14ac:dyDescent="0.3">
      <c r="B992" s="1" t="s">
        <v>1366</v>
      </c>
      <c r="C992" s="1" t="s">
        <v>21</v>
      </c>
      <c r="D992" s="2" t="s">
        <v>387</v>
      </c>
      <c r="E992" s="2" t="s">
        <v>387</v>
      </c>
      <c r="F992" s="2" t="s">
        <v>11</v>
      </c>
      <c r="G992" s="3" t="s">
        <v>1371</v>
      </c>
      <c r="H992" s="1" t="s">
        <v>12</v>
      </c>
      <c r="I992" s="1" t="s">
        <v>49</v>
      </c>
      <c r="J992" s="1" t="s">
        <v>14</v>
      </c>
    </row>
    <row r="993" spans="2:10" x14ac:dyDescent="0.3">
      <c r="B993" s="1" t="s">
        <v>1366</v>
      </c>
      <c r="C993" s="1" t="s">
        <v>15</v>
      </c>
      <c r="D993" s="2" t="s">
        <v>476</v>
      </c>
      <c r="E993" s="2" t="s">
        <v>476</v>
      </c>
      <c r="F993" s="2" t="s">
        <v>11</v>
      </c>
      <c r="G993" s="3" t="s">
        <v>1372</v>
      </c>
      <c r="H993" s="1" t="s">
        <v>12</v>
      </c>
      <c r="I993" s="1" t="s">
        <v>18</v>
      </c>
      <c r="J993" s="1" t="s">
        <v>14</v>
      </c>
    </row>
    <row r="994" spans="2:10" x14ac:dyDescent="0.3">
      <c r="B994" s="1" t="s">
        <v>1366</v>
      </c>
      <c r="C994" s="1" t="s">
        <v>38</v>
      </c>
      <c r="D994" s="2" t="s">
        <v>458</v>
      </c>
      <c r="E994" s="2" t="s">
        <v>458</v>
      </c>
      <c r="F994" s="2" t="s">
        <v>11</v>
      </c>
      <c r="G994" s="3" t="s">
        <v>1373</v>
      </c>
      <c r="H994" s="1" t="s">
        <v>12</v>
      </c>
      <c r="I994" s="1" t="s">
        <v>47</v>
      </c>
      <c r="J994" s="1" t="s">
        <v>14</v>
      </c>
    </row>
    <row r="995" spans="2:10" x14ac:dyDescent="0.3">
      <c r="B995" s="1" t="s">
        <v>1366</v>
      </c>
      <c r="C995" s="1" t="s">
        <v>45</v>
      </c>
      <c r="D995" s="2" t="s">
        <v>476</v>
      </c>
      <c r="E995" s="2" t="s">
        <v>476</v>
      </c>
      <c r="F995" s="2" t="s">
        <v>11</v>
      </c>
      <c r="G995" s="3" t="s">
        <v>1374</v>
      </c>
      <c r="H995" s="1" t="s">
        <v>12</v>
      </c>
      <c r="I995" s="1" t="s">
        <v>22</v>
      </c>
      <c r="J995" s="1" t="s">
        <v>14</v>
      </c>
    </row>
    <row r="996" spans="2:10" x14ac:dyDescent="0.3">
      <c r="B996" s="1" t="s">
        <v>1366</v>
      </c>
      <c r="C996" s="1" t="s">
        <v>26</v>
      </c>
      <c r="D996" s="2" t="s">
        <v>476</v>
      </c>
      <c r="E996" s="2" t="s">
        <v>476</v>
      </c>
      <c r="F996" s="2" t="s">
        <v>11</v>
      </c>
      <c r="G996" s="3" t="s">
        <v>1375</v>
      </c>
      <c r="H996" s="1" t="s">
        <v>12</v>
      </c>
      <c r="I996" s="1" t="s">
        <v>47</v>
      </c>
      <c r="J996" s="1" t="s">
        <v>14</v>
      </c>
    </row>
    <row r="997" spans="2:10" x14ac:dyDescent="0.3">
      <c r="B997" s="1" t="s">
        <v>1366</v>
      </c>
      <c r="C997" s="1" t="s">
        <v>24</v>
      </c>
      <c r="D997" s="2" t="s">
        <v>240</v>
      </c>
      <c r="E997" s="2" t="s">
        <v>240</v>
      </c>
      <c r="F997" s="2" t="s">
        <v>11</v>
      </c>
      <c r="G997" s="3" t="s">
        <v>1376</v>
      </c>
      <c r="H997" s="1" t="s">
        <v>12</v>
      </c>
      <c r="I997" s="1" t="s">
        <v>51</v>
      </c>
      <c r="J997" s="1" t="s">
        <v>14</v>
      </c>
    </row>
    <row r="998" spans="2:10" x14ac:dyDescent="0.3">
      <c r="B998" s="1" t="s">
        <v>1366</v>
      </c>
      <c r="C998" s="1" t="s">
        <v>43</v>
      </c>
      <c r="D998" s="2" t="s">
        <v>476</v>
      </c>
      <c r="E998" s="2" t="s">
        <v>476</v>
      </c>
      <c r="F998" s="2" t="s">
        <v>11</v>
      </c>
      <c r="G998" s="3" t="s">
        <v>1377</v>
      </c>
      <c r="H998" s="1" t="s">
        <v>12</v>
      </c>
      <c r="I998" s="1" t="s">
        <v>67</v>
      </c>
      <c r="J998" s="1" t="s">
        <v>14</v>
      </c>
    </row>
    <row r="999" spans="2:10" x14ac:dyDescent="0.3">
      <c r="B999" s="1" t="s">
        <v>1366</v>
      </c>
      <c r="C999" s="1" t="s">
        <v>28</v>
      </c>
      <c r="D999" s="2" t="s">
        <v>1378</v>
      </c>
      <c r="E999" s="2" t="s">
        <v>319</v>
      </c>
      <c r="F999" s="2" t="s">
        <v>11</v>
      </c>
      <c r="G999" s="3" t="s">
        <v>1379</v>
      </c>
      <c r="H999" s="1" t="s">
        <v>12</v>
      </c>
      <c r="I999" s="1" t="s">
        <v>76</v>
      </c>
      <c r="J999" s="1" t="s">
        <v>52</v>
      </c>
    </row>
    <row r="1000" spans="2:10" x14ac:dyDescent="0.3">
      <c r="B1000" s="1" t="s">
        <v>1366</v>
      </c>
      <c r="C1000" s="1" t="s">
        <v>10</v>
      </c>
      <c r="D1000" s="2" t="s">
        <v>240</v>
      </c>
      <c r="E1000" s="2" t="s">
        <v>240</v>
      </c>
      <c r="F1000" s="2" t="s">
        <v>11</v>
      </c>
      <c r="G1000" s="3" t="s">
        <v>1380</v>
      </c>
      <c r="H1000" s="1" t="s">
        <v>12</v>
      </c>
      <c r="I1000" s="1" t="s">
        <v>56</v>
      </c>
      <c r="J1000" s="1" t="s">
        <v>14</v>
      </c>
    </row>
    <row r="1001" spans="2:10" x14ac:dyDescent="0.3">
      <c r="B1001" s="1" t="s">
        <v>1366</v>
      </c>
      <c r="C1001" s="1" t="s">
        <v>29</v>
      </c>
      <c r="D1001" s="2" t="s">
        <v>838</v>
      </c>
      <c r="E1001" s="2" t="s">
        <v>838</v>
      </c>
      <c r="F1001" s="2" t="s">
        <v>11</v>
      </c>
      <c r="G1001" s="3" t="s">
        <v>1381</v>
      </c>
      <c r="H1001" s="1" t="s">
        <v>12</v>
      </c>
      <c r="I1001" s="1" t="s">
        <v>49</v>
      </c>
      <c r="J1001" s="1" t="s">
        <v>14</v>
      </c>
    </row>
    <row r="1002" spans="2:10" x14ac:dyDescent="0.3">
      <c r="B1002" s="1" t="s">
        <v>1366</v>
      </c>
      <c r="C1002" s="1" t="s">
        <v>36</v>
      </c>
      <c r="D1002" s="2" t="s">
        <v>476</v>
      </c>
      <c r="E1002" s="2" t="s">
        <v>476</v>
      </c>
      <c r="F1002" s="2" t="s">
        <v>11</v>
      </c>
      <c r="G1002" s="3" t="s">
        <v>1382</v>
      </c>
      <c r="H1002" s="1" t="s">
        <v>12</v>
      </c>
      <c r="I1002" s="1" t="s">
        <v>42</v>
      </c>
      <c r="J1002" s="1" t="s">
        <v>14</v>
      </c>
    </row>
    <row r="1003" spans="2:10" x14ac:dyDescent="0.3">
      <c r="B1003" s="1" t="s">
        <v>1366</v>
      </c>
      <c r="C1003" s="1" t="s">
        <v>46</v>
      </c>
      <c r="D1003" s="2" t="s">
        <v>387</v>
      </c>
      <c r="E1003" s="2" t="s">
        <v>387</v>
      </c>
      <c r="F1003" s="2" t="s">
        <v>11</v>
      </c>
      <c r="G1003" s="3" t="s">
        <v>1383</v>
      </c>
      <c r="H1003" s="1" t="s">
        <v>12</v>
      </c>
      <c r="I1003" s="1" t="s">
        <v>64</v>
      </c>
      <c r="J1003" s="1" t="s">
        <v>14</v>
      </c>
    </row>
    <row r="1004" spans="2:10" x14ac:dyDescent="0.3">
      <c r="B1004" s="1" t="s">
        <v>1366</v>
      </c>
      <c r="C1004" s="1" t="s">
        <v>19</v>
      </c>
      <c r="D1004" s="2" t="s">
        <v>387</v>
      </c>
      <c r="E1004" s="2" t="s">
        <v>387</v>
      </c>
      <c r="F1004" s="2" t="s">
        <v>11</v>
      </c>
      <c r="G1004" s="3" t="s">
        <v>1384</v>
      </c>
      <c r="H1004" s="1" t="s">
        <v>12</v>
      </c>
      <c r="I1004" s="1" t="s">
        <v>63</v>
      </c>
      <c r="J1004" s="1" t="s">
        <v>14</v>
      </c>
    </row>
    <row r="1005" spans="2:10" x14ac:dyDescent="0.3">
      <c r="B1005" s="1" t="s">
        <v>1366</v>
      </c>
      <c r="C1005" s="1" t="s">
        <v>17</v>
      </c>
      <c r="D1005" s="2" t="s">
        <v>443</v>
      </c>
      <c r="E1005" s="2" t="s">
        <v>443</v>
      </c>
      <c r="F1005" s="2" t="s">
        <v>11</v>
      </c>
      <c r="G1005" s="3" t="s">
        <v>1385</v>
      </c>
      <c r="H1005" s="1" t="s">
        <v>12</v>
      </c>
      <c r="I1005" s="1" t="s">
        <v>18</v>
      </c>
      <c r="J1005" s="1" t="s">
        <v>14</v>
      </c>
    </row>
    <row r="1006" spans="2:10" x14ac:dyDescent="0.3">
      <c r="B1006" s="1" t="s">
        <v>1386</v>
      </c>
      <c r="C1006" s="1" t="s">
        <v>26</v>
      </c>
      <c r="D1006" s="2" t="s">
        <v>390</v>
      </c>
      <c r="E1006" s="2" t="s">
        <v>390</v>
      </c>
      <c r="F1006" s="2" t="s">
        <v>11</v>
      </c>
      <c r="G1006" s="3" t="s">
        <v>1387</v>
      </c>
      <c r="H1006" s="1" t="s">
        <v>12</v>
      </c>
      <c r="I1006" s="1" t="s">
        <v>20</v>
      </c>
      <c r="J1006" s="1" t="s">
        <v>14</v>
      </c>
    </row>
    <row r="1007" spans="2:10" x14ac:dyDescent="0.3">
      <c r="B1007" s="1" t="s">
        <v>1386</v>
      </c>
      <c r="C1007" s="1" t="s">
        <v>17</v>
      </c>
      <c r="D1007" s="2" t="s">
        <v>693</v>
      </c>
      <c r="E1007" s="2" t="s">
        <v>693</v>
      </c>
      <c r="F1007" s="2" t="s">
        <v>11</v>
      </c>
      <c r="G1007" s="3" t="s">
        <v>1388</v>
      </c>
      <c r="H1007" s="1" t="s">
        <v>12</v>
      </c>
      <c r="I1007" s="1" t="s">
        <v>69</v>
      </c>
      <c r="J1007" s="1" t="s">
        <v>14</v>
      </c>
    </row>
    <row r="1008" spans="2:10" x14ac:dyDescent="0.3">
      <c r="B1008" s="1" t="s">
        <v>1386</v>
      </c>
      <c r="C1008" s="1" t="s">
        <v>36</v>
      </c>
      <c r="D1008" s="2" t="s">
        <v>216</v>
      </c>
      <c r="E1008" s="2" t="s">
        <v>216</v>
      </c>
      <c r="F1008" s="2" t="s">
        <v>11</v>
      </c>
      <c r="G1008" s="3" t="s">
        <v>1389</v>
      </c>
      <c r="H1008" s="1" t="s">
        <v>12</v>
      </c>
      <c r="I1008" s="1" t="s">
        <v>74</v>
      </c>
      <c r="J1008" s="1" t="s">
        <v>14</v>
      </c>
    </row>
    <row r="1009" spans="2:10" x14ac:dyDescent="0.3">
      <c r="B1009" s="1" t="s">
        <v>1386</v>
      </c>
      <c r="C1009" s="1" t="s">
        <v>35</v>
      </c>
      <c r="D1009" s="2" t="s">
        <v>532</v>
      </c>
      <c r="E1009" s="2" t="s">
        <v>532</v>
      </c>
      <c r="F1009" s="2" t="s">
        <v>11</v>
      </c>
      <c r="G1009" s="3" t="s">
        <v>1390</v>
      </c>
      <c r="H1009" s="1" t="s">
        <v>12</v>
      </c>
      <c r="I1009" s="1" t="s">
        <v>64</v>
      </c>
      <c r="J1009" s="1" t="s">
        <v>14</v>
      </c>
    </row>
    <row r="1010" spans="2:10" x14ac:dyDescent="0.3">
      <c r="B1010" s="1" t="s">
        <v>1386</v>
      </c>
      <c r="C1010" s="1" t="s">
        <v>28</v>
      </c>
      <c r="D1010" s="2" t="s">
        <v>216</v>
      </c>
      <c r="E1010" s="2" t="s">
        <v>216</v>
      </c>
      <c r="F1010" s="2" t="s">
        <v>11</v>
      </c>
      <c r="G1010" s="3" t="s">
        <v>1391</v>
      </c>
      <c r="H1010" s="1" t="s">
        <v>12</v>
      </c>
      <c r="I1010" s="1" t="s">
        <v>91</v>
      </c>
      <c r="J1010" s="1" t="s">
        <v>14</v>
      </c>
    </row>
    <row r="1011" spans="2:10" x14ac:dyDescent="0.3">
      <c r="B1011" s="1" t="s">
        <v>1386</v>
      </c>
      <c r="C1011" s="1" t="s">
        <v>19</v>
      </c>
      <c r="D1011" s="2" t="s">
        <v>532</v>
      </c>
      <c r="E1011" s="2" t="s">
        <v>532</v>
      </c>
      <c r="F1011" s="2" t="s">
        <v>11</v>
      </c>
      <c r="G1011" s="3" t="s">
        <v>1392</v>
      </c>
      <c r="H1011" s="1" t="s">
        <v>12</v>
      </c>
      <c r="I1011" s="1" t="s">
        <v>61</v>
      </c>
      <c r="J1011" s="1" t="s">
        <v>14</v>
      </c>
    </row>
    <row r="1012" spans="2:10" x14ac:dyDescent="0.3">
      <c r="B1012" s="1" t="s">
        <v>1386</v>
      </c>
      <c r="C1012" s="1" t="s">
        <v>31</v>
      </c>
      <c r="D1012" s="2" t="s">
        <v>532</v>
      </c>
      <c r="E1012" s="2" t="s">
        <v>532</v>
      </c>
      <c r="F1012" s="2" t="s">
        <v>11</v>
      </c>
      <c r="G1012" s="3" t="s">
        <v>914</v>
      </c>
      <c r="H1012" s="1" t="s">
        <v>12</v>
      </c>
      <c r="I1012" s="1" t="s">
        <v>13</v>
      </c>
      <c r="J1012" s="1" t="s">
        <v>14</v>
      </c>
    </row>
    <row r="1013" spans="2:10" x14ac:dyDescent="0.3">
      <c r="B1013" s="1" t="s">
        <v>1386</v>
      </c>
      <c r="C1013" s="1" t="s">
        <v>21</v>
      </c>
      <c r="D1013" s="2" t="s">
        <v>214</v>
      </c>
      <c r="E1013" s="2" t="s">
        <v>214</v>
      </c>
      <c r="F1013" s="2" t="s">
        <v>11</v>
      </c>
      <c r="G1013" s="3" t="s">
        <v>1393</v>
      </c>
      <c r="H1013" s="1" t="s">
        <v>12</v>
      </c>
      <c r="I1013" s="1" t="s">
        <v>80</v>
      </c>
      <c r="J1013" s="1" t="s">
        <v>14</v>
      </c>
    </row>
    <row r="1014" spans="2:10" x14ac:dyDescent="0.3">
      <c r="B1014" s="1" t="s">
        <v>1386</v>
      </c>
      <c r="C1014" s="1" t="s">
        <v>46</v>
      </c>
      <c r="D1014" s="2" t="s">
        <v>216</v>
      </c>
      <c r="E1014" s="2" t="s">
        <v>216</v>
      </c>
      <c r="F1014" s="2" t="s">
        <v>11</v>
      </c>
      <c r="G1014" s="3" t="s">
        <v>1394</v>
      </c>
      <c r="H1014" s="1" t="s">
        <v>12</v>
      </c>
      <c r="I1014" s="1" t="s">
        <v>62</v>
      </c>
      <c r="J1014" s="1" t="s">
        <v>14</v>
      </c>
    </row>
    <row r="1015" spans="2:10" x14ac:dyDescent="0.3">
      <c r="B1015" s="1" t="s">
        <v>1386</v>
      </c>
      <c r="C1015" s="1" t="s">
        <v>23</v>
      </c>
      <c r="D1015" s="2" t="s">
        <v>216</v>
      </c>
      <c r="E1015" s="2" t="s">
        <v>216</v>
      </c>
      <c r="F1015" s="2" t="s">
        <v>11</v>
      </c>
      <c r="G1015" s="3" t="s">
        <v>1395</v>
      </c>
      <c r="H1015" s="1" t="s">
        <v>12</v>
      </c>
      <c r="I1015" s="1" t="s">
        <v>56</v>
      </c>
      <c r="J1015" s="1" t="s">
        <v>14</v>
      </c>
    </row>
    <row r="1016" spans="2:10" x14ac:dyDescent="0.3">
      <c r="B1016" s="1" t="s">
        <v>1386</v>
      </c>
      <c r="C1016" s="1" t="s">
        <v>10</v>
      </c>
      <c r="D1016" s="2" t="s">
        <v>397</v>
      </c>
      <c r="E1016" s="2" t="s">
        <v>397</v>
      </c>
      <c r="F1016" s="2" t="s">
        <v>11</v>
      </c>
      <c r="G1016" s="3" t="s">
        <v>1396</v>
      </c>
      <c r="H1016" s="1" t="s">
        <v>12</v>
      </c>
      <c r="I1016" s="1" t="s">
        <v>72</v>
      </c>
      <c r="J1016" s="1" t="s">
        <v>14</v>
      </c>
    </row>
    <row r="1017" spans="2:10" x14ac:dyDescent="0.3">
      <c r="B1017" s="1" t="s">
        <v>1386</v>
      </c>
      <c r="C1017" s="1" t="s">
        <v>15</v>
      </c>
      <c r="D1017" s="2" t="s">
        <v>220</v>
      </c>
      <c r="E1017" s="2" t="s">
        <v>220</v>
      </c>
      <c r="F1017" s="2" t="s">
        <v>11</v>
      </c>
      <c r="G1017" s="3" t="s">
        <v>1397</v>
      </c>
      <c r="H1017" s="1" t="s">
        <v>12</v>
      </c>
      <c r="I1017" s="1" t="s">
        <v>67</v>
      </c>
      <c r="J1017" s="1" t="s">
        <v>14</v>
      </c>
    </row>
    <row r="1018" spans="2:10" x14ac:dyDescent="0.3">
      <c r="B1018" s="1" t="s">
        <v>1386</v>
      </c>
      <c r="C1018" s="1" t="s">
        <v>24</v>
      </c>
      <c r="D1018" s="2" t="s">
        <v>491</v>
      </c>
      <c r="E1018" s="2" t="s">
        <v>491</v>
      </c>
      <c r="F1018" s="2" t="s">
        <v>11</v>
      </c>
      <c r="G1018" s="3" t="s">
        <v>1398</v>
      </c>
      <c r="H1018" s="1" t="s">
        <v>12</v>
      </c>
      <c r="I1018" s="1" t="s">
        <v>58</v>
      </c>
      <c r="J1018" s="1" t="s">
        <v>14</v>
      </c>
    </row>
    <row r="1019" spans="2:10" x14ac:dyDescent="0.3">
      <c r="B1019" s="1" t="s">
        <v>1386</v>
      </c>
      <c r="C1019" s="1" t="s">
        <v>41</v>
      </c>
      <c r="D1019" s="2" t="s">
        <v>532</v>
      </c>
      <c r="E1019" s="2" t="s">
        <v>532</v>
      </c>
      <c r="F1019" s="2" t="s">
        <v>11</v>
      </c>
      <c r="G1019" s="3" t="s">
        <v>1399</v>
      </c>
      <c r="H1019" s="1" t="s">
        <v>12</v>
      </c>
      <c r="I1019" s="1" t="s">
        <v>42</v>
      </c>
      <c r="J1019" s="1" t="s">
        <v>14</v>
      </c>
    </row>
    <row r="1020" spans="2:10" x14ac:dyDescent="0.3">
      <c r="B1020" s="1" t="s">
        <v>1386</v>
      </c>
      <c r="C1020" s="1" t="s">
        <v>38</v>
      </c>
      <c r="D1020" s="2" t="s">
        <v>766</v>
      </c>
      <c r="E1020" s="2" t="s">
        <v>766</v>
      </c>
      <c r="F1020" s="2" t="s">
        <v>11</v>
      </c>
      <c r="G1020" s="3" t="s">
        <v>1400</v>
      </c>
      <c r="H1020" s="1" t="s">
        <v>12</v>
      </c>
      <c r="I1020" s="1" t="s">
        <v>47</v>
      </c>
      <c r="J1020" s="1" t="s">
        <v>14</v>
      </c>
    </row>
    <row r="1021" spans="2:10" x14ac:dyDescent="0.3">
      <c r="B1021" s="1" t="s">
        <v>1386</v>
      </c>
      <c r="C1021" s="1" t="s">
        <v>29</v>
      </c>
      <c r="D1021" s="2" t="s">
        <v>532</v>
      </c>
      <c r="E1021" s="2" t="s">
        <v>532</v>
      </c>
      <c r="F1021" s="2" t="s">
        <v>11</v>
      </c>
      <c r="G1021" s="3" t="s">
        <v>1401</v>
      </c>
      <c r="H1021" s="1" t="s">
        <v>12</v>
      </c>
      <c r="I1021" s="1" t="s">
        <v>122</v>
      </c>
      <c r="J1021" s="1" t="s">
        <v>14</v>
      </c>
    </row>
    <row r="1022" spans="2:10" x14ac:dyDescent="0.3">
      <c r="B1022" s="1" t="s">
        <v>1386</v>
      </c>
      <c r="C1022" s="1" t="s">
        <v>45</v>
      </c>
      <c r="D1022" s="2" t="s">
        <v>842</v>
      </c>
      <c r="E1022" s="2" t="s">
        <v>842</v>
      </c>
      <c r="F1022" s="2" t="s">
        <v>11</v>
      </c>
      <c r="G1022" s="3" t="s">
        <v>708</v>
      </c>
      <c r="H1022" s="1" t="s">
        <v>12</v>
      </c>
      <c r="I1022" s="1" t="s">
        <v>79</v>
      </c>
      <c r="J1022" s="1" t="s">
        <v>14</v>
      </c>
    </row>
    <row r="1023" spans="2:10" x14ac:dyDescent="0.3">
      <c r="B1023" s="1" t="s">
        <v>1386</v>
      </c>
      <c r="C1023" s="1" t="s">
        <v>33</v>
      </c>
      <c r="D1023" s="2" t="s">
        <v>693</v>
      </c>
      <c r="E1023" s="2" t="s">
        <v>693</v>
      </c>
      <c r="F1023" s="2" t="s">
        <v>11</v>
      </c>
      <c r="G1023" s="3" t="s">
        <v>1402</v>
      </c>
      <c r="H1023" s="1" t="s">
        <v>12</v>
      </c>
      <c r="I1023" s="1" t="s">
        <v>42</v>
      </c>
      <c r="J1023" s="1" t="s">
        <v>14</v>
      </c>
    </row>
    <row r="1024" spans="2:10" x14ac:dyDescent="0.3">
      <c r="B1024" s="1" t="s">
        <v>1386</v>
      </c>
      <c r="C1024" s="1" t="s">
        <v>43</v>
      </c>
      <c r="D1024" s="2" t="s">
        <v>216</v>
      </c>
      <c r="E1024" s="2" t="s">
        <v>216</v>
      </c>
      <c r="F1024" s="2" t="s">
        <v>11</v>
      </c>
      <c r="G1024" s="3" t="s">
        <v>1403</v>
      </c>
      <c r="H1024" s="1" t="s">
        <v>12</v>
      </c>
      <c r="I1024" s="1" t="s">
        <v>44</v>
      </c>
      <c r="J1024" s="1" t="s">
        <v>14</v>
      </c>
    </row>
    <row r="1025" spans="2:10" x14ac:dyDescent="0.3">
      <c r="B1025" s="1" t="s">
        <v>1386</v>
      </c>
      <c r="C1025" s="1" t="s">
        <v>39</v>
      </c>
      <c r="D1025" s="2" t="s">
        <v>216</v>
      </c>
      <c r="E1025" s="2" t="s">
        <v>216</v>
      </c>
      <c r="F1025" s="2" t="s">
        <v>11</v>
      </c>
      <c r="G1025" s="3" t="s">
        <v>1404</v>
      </c>
      <c r="H1025" s="1" t="s">
        <v>12</v>
      </c>
      <c r="I1025" s="1" t="s">
        <v>73</v>
      </c>
      <c r="J1025" s="1" t="s">
        <v>14</v>
      </c>
    </row>
    <row r="1026" spans="2:10" x14ac:dyDescent="0.3">
      <c r="B1026" s="1" t="s">
        <v>1405</v>
      </c>
      <c r="C1026" s="1" t="s">
        <v>36</v>
      </c>
      <c r="D1026" s="2" t="s">
        <v>204</v>
      </c>
      <c r="E1026" s="2" t="s">
        <v>204</v>
      </c>
      <c r="F1026" s="2" t="s">
        <v>11</v>
      </c>
      <c r="G1026" s="3" t="s">
        <v>1406</v>
      </c>
      <c r="H1026" s="1" t="s">
        <v>12</v>
      </c>
      <c r="I1026" s="1" t="s">
        <v>42</v>
      </c>
      <c r="J1026" s="1" t="s">
        <v>14</v>
      </c>
    </row>
    <row r="1027" spans="2:10" x14ac:dyDescent="0.3">
      <c r="B1027" s="1" t="s">
        <v>1405</v>
      </c>
      <c r="C1027" s="1" t="s">
        <v>39</v>
      </c>
      <c r="D1027" s="2" t="s">
        <v>195</v>
      </c>
      <c r="E1027" s="2" t="s">
        <v>195</v>
      </c>
      <c r="F1027" s="2" t="s">
        <v>11</v>
      </c>
      <c r="G1027" s="3" t="s">
        <v>1022</v>
      </c>
      <c r="H1027" s="1" t="s">
        <v>12</v>
      </c>
      <c r="I1027" s="1" t="s">
        <v>76</v>
      </c>
      <c r="J1027" s="1" t="s">
        <v>14</v>
      </c>
    </row>
    <row r="1028" spans="2:10" x14ac:dyDescent="0.3">
      <c r="B1028" s="1" t="s">
        <v>1405</v>
      </c>
      <c r="C1028" s="1" t="s">
        <v>31</v>
      </c>
      <c r="D1028" s="2" t="s">
        <v>823</v>
      </c>
      <c r="E1028" s="2" t="s">
        <v>823</v>
      </c>
      <c r="F1028" s="2" t="s">
        <v>11</v>
      </c>
      <c r="G1028" s="3" t="s">
        <v>1407</v>
      </c>
      <c r="H1028" s="1" t="s">
        <v>12</v>
      </c>
      <c r="I1028" s="1" t="s">
        <v>87</v>
      </c>
      <c r="J1028" s="1" t="s">
        <v>14</v>
      </c>
    </row>
    <row r="1029" spans="2:10" x14ac:dyDescent="0.3">
      <c r="B1029" s="1" t="s">
        <v>1405</v>
      </c>
      <c r="C1029" s="1" t="s">
        <v>10</v>
      </c>
      <c r="D1029" s="2" t="s">
        <v>495</v>
      </c>
      <c r="E1029" s="2" t="s">
        <v>495</v>
      </c>
      <c r="F1029" s="2" t="s">
        <v>11</v>
      </c>
      <c r="G1029" s="3" t="s">
        <v>1408</v>
      </c>
      <c r="H1029" s="1" t="s">
        <v>12</v>
      </c>
      <c r="I1029" s="1" t="s">
        <v>42</v>
      </c>
      <c r="J1029" s="1" t="s">
        <v>14</v>
      </c>
    </row>
    <row r="1030" spans="2:10" x14ac:dyDescent="0.3">
      <c r="B1030" s="1" t="s">
        <v>1405</v>
      </c>
      <c r="C1030" s="1" t="s">
        <v>43</v>
      </c>
      <c r="D1030" s="2" t="s">
        <v>204</v>
      </c>
      <c r="E1030" s="2" t="s">
        <v>204</v>
      </c>
      <c r="F1030" s="2" t="s">
        <v>11</v>
      </c>
      <c r="G1030" s="3" t="s">
        <v>1409</v>
      </c>
      <c r="H1030" s="1" t="s">
        <v>12</v>
      </c>
      <c r="I1030" s="1" t="s">
        <v>49</v>
      </c>
      <c r="J1030" s="1" t="s">
        <v>14</v>
      </c>
    </row>
    <row r="1031" spans="2:10" x14ac:dyDescent="0.3">
      <c r="B1031" s="1" t="s">
        <v>1405</v>
      </c>
      <c r="C1031" s="1" t="s">
        <v>33</v>
      </c>
      <c r="D1031" s="2" t="s">
        <v>495</v>
      </c>
      <c r="E1031" s="2" t="s">
        <v>495</v>
      </c>
      <c r="F1031" s="2" t="s">
        <v>11</v>
      </c>
      <c r="G1031" s="3" t="s">
        <v>843</v>
      </c>
      <c r="H1031" s="1" t="s">
        <v>12</v>
      </c>
      <c r="I1031" s="1" t="s">
        <v>44</v>
      </c>
      <c r="J1031" s="1" t="s">
        <v>14</v>
      </c>
    </row>
    <row r="1032" spans="2:10" x14ac:dyDescent="0.3">
      <c r="B1032" s="1" t="s">
        <v>1405</v>
      </c>
      <c r="C1032" s="1" t="s">
        <v>23</v>
      </c>
      <c r="D1032" s="2" t="s">
        <v>495</v>
      </c>
      <c r="E1032" s="2" t="s">
        <v>495</v>
      </c>
      <c r="F1032" s="2" t="s">
        <v>11</v>
      </c>
      <c r="G1032" s="3" t="s">
        <v>1357</v>
      </c>
      <c r="H1032" s="1" t="s">
        <v>12</v>
      </c>
      <c r="I1032" s="1" t="s">
        <v>63</v>
      </c>
      <c r="J1032" s="1" t="s">
        <v>14</v>
      </c>
    </row>
    <row r="1033" spans="2:10" x14ac:dyDescent="0.3">
      <c r="B1033" s="1" t="s">
        <v>1405</v>
      </c>
      <c r="C1033" s="1" t="s">
        <v>38</v>
      </c>
      <c r="D1033" s="2" t="s">
        <v>823</v>
      </c>
      <c r="E1033" s="2" t="s">
        <v>823</v>
      </c>
      <c r="F1033" s="2" t="s">
        <v>11</v>
      </c>
      <c r="G1033" s="3" t="s">
        <v>1129</v>
      </c>
      <c r="H1033" s="1" t="s">
        <v>12</v>
      </c>
      <c r="I1033" s="1" t="s">
        <v>62</v>
      </c>
      <c r="J1033" s="1" t="s">
        <v>14</v>
      </c>
    </row>
    <row r="1034" spans="2:10" x14ac:dyDescent="0.3">
      <c r="B1034" s="1" t="s">
        <v>1405</v>
      </c>
      <c r="C1034" s="1" t="s">
        <v>46</v>
      </c>
      <c r="D1034" s="2" t="s">
        <v>495</v>
      </c>
      <c r="E1034" s="2" t="s">
        <v>495</v>
      </c>
      <c r="F1034" s="2" t="s">
        <v>11</v>
      </c>
      <c r="G1034" s="3" t="s">
        <v>1410</v>
      </c>
      <c r="H1034" s="1" t="s">
        <v>12</v>
      </c>
      <c r="I1034" s="1" t="s">
        <v>51</v>
      </c>
      <c r="J1034" s="1" t="s">
        <v>14</v>
      </c>
    </row>
    <row r="1035" spans="2:10" x14ac:dyDescent="0.3">
      <c r="B1035" s="1" t="s">
        <v>1405</v>
      </c>
      <c r="C1035" s="1" t="s">
        <v>24</v>
      </c>
      <c r="D1035" s="2" t="s">
        <v>195</v>
      </c>
      <c r="E1035" s="2" t="s">
        <v>195</v>
      </c>
      <c r="F1035" s="2" t="s">
        <v>11</v>
      </c>
      <c r="G1035" s="3" t="s">
        <v>1411</v>
      </c>
      <c r="H1035" s="1" t="s">
        <v>12</v>
      </c>
      <c r="I1035" s="1" t="s">
        <v>64</v>
      </c>
      <c r="J1035" s="1" t="s">
        <v>14</v>
      </c>
    </row>
    <row r="1036" spans="2:10" x14ac:dyDescent="0.3">
      <c r="B1036" s="1" t="s">
        <v>1405</v>
      </c>
      <c r="C1036" s="1" t="s">
        <v>35</v>
      </c>
      <c r="D1036" s="2" t="s">
        <v>823</v>
      </c>
      <c r="E1036" s="2" t="s">
        <v>823</v>
      </c>
      <c r="F1036" s="2" t="s">
        <v>11</v>
      </c>
      <c r="G1036" s="3" t="s">
        <v>1412</v>
      </c>
      <c r="H1036" s="1" t="s">
        <v>12</v>
      </c>
      <c r="I1036" s="1" t="s">
        <v>22</v>
      </c>
      <c r="J1036" s="1" t="s">
        <v>14</v>
      </c>
    </row>
    <row r="1037" spans="2:10" x14ac:dyDescent="0.3">
      <c r="B1037" s="1" t="s">
        <v>1405</v>
      </c>
      <c r="C1037" s="1" t="s">
        <v>28</v>
      </c>
      <c r="D1037" s="2" t="s">
        <v>197</v>
      </c>
      <c r="E1037" s="2" t="s">
        <v>197</v>
      </c>
      <c r="F1037" s="2" t="s">
        <v>11</v>
      </c>
      <c r="G1037" s="3" t="s">
        <v>1413</v>
      </c>
      <c r="H1037" s="1" t="s">
        <v>12</v>
      </c>
      <c r="I1037" s="1" t="s">
        <v>63</v>
      </c>
      <c r="J1037" s="1" t="s">
        <v>14</v>
      </c>
    </row>
    <row r="1038" spans="2:10" x14ac:dyDescent="0.3">
      <c r="B1038" s="1" t="s">
        <v>1405</v>
      </c>
      <c r="C1038" s="1" t="s">
        <v>29</v>
      </c>
      <c r="D1038" s="2" t="s">
        <v>823</v>
      </c>
      <c r="E1038" s="2" t="s">
        <v>823</v>
      </c>
      <c r="F1038" s="2" t="s">
        <v>11</v>
      </c>
      <c r="G1038" s="3" t="s">
        <v>1414</v>
      </c>
      <c r="H1038" s="1" t="s">
        <v>12</v>
      </c>
      <c r="I1038" s="1" t="s">
        <v>18</v>
      </c>
      <c r="J1038" s="1" t="s">
        <v>14</v>
      </c>
    </row>
    <row r="1039" spans="2:10" x14ac:dyDescent="0.3">
      <c r="B1039" s="1" t="s">
        <v>1405</v>
      </c>
      <c r="C1039" s="1" t="s">
        <v>45</v>
      </c>
      <c r="D1039" s="2" t="s">
        <v>195</v>
      </c>
      <c r="E1039" s="2" t="s">
        <v>195</v>
      </c>
      <c r="F1039" s="2" t="s">
        <v>11</v>
      </c>
      <c r="G1039" s="3" t="s">
        <v>1393</v>
      </c>
      <c r="H1039" s="1" t="s">
        <v>12</v>
      </c>
      <c r="I1039" s="1" t="s">
        <v>62</v>
      </c>
      <c r="J1039" s="1" t="s">
        <v>14</v>
      </c>
    </row>
    <row r="1040" spans="2:10" x14ac:dyDescent="0.3">
      <c r="B1040" s="1" t="s">
        <v>1405</v>
      </c>
      <c r="C1040" s="1" t="s">
        <v>17</v>
      </c>
      <c r="D1040" s="2" t="s">
        <v>197</v>
      </c>
      <c r="E1040" s="2" t="s">
        <v>197</v>
      </c>
      <c r="F1040" s="2" t="s">
        <v>11</v>
      </c>
      <c r="G1040" s="3" t="s">
        <v>971</v>
      </c>
      <c r="H1040" s="1" t="s">
        <v>12</v>
      </c>
      <c r="I1040" s="1" t="s">
        <v>29</v>
      </c>
      <c r="J1040" s="1" t="s">
        <v>14</v>
      </c>
    </row>
    <row r="1041" spans="2:10" x14ac:dyDescent="0.3">
      <c r="B1041" s="1" t="s">
        <v>1405</v>
      </c>
      <c r="C1041" s="1" t="s">
        <v>19</v>
      </c>
      <c r="D1041" s="2" t="s">
        <v>495</v>
      </c>
      <c r="E1041" s="2" t="s">
        <v>495</v>
      </c>
      <c r="F1041" s="2" t="s">
        <v>11</v>
      </c>
      <c r="G1041" s="3" t="s">
        <v>1415</v>
      </c>
      <c r="H1041" s="1" t="s">
        <v>12</v>
      </c>
      <c r="I1041" s="1" t="s">
        <v>16</v>
      </c>
      <c r="J1041" s="1" t="s">
        <v>14</v>
      </c>
    </row>
    <row r="1042" spans="2:10" x14ac:dyDescent="0.3">
      <c r="B1042" s="1" t="s">
        <v>1405</v>
      </c>
      <c r="C1042" s="1" t="s">
        <v>41</v>
      </c>
      <c r="D1042" s="2" t="s">
        <v>195</v>
      </c>
      <c r="E1042" s="2" t="s">
        <v>195</v>
      </c>
      <c r="F1042" s="2" t="s">
        <v>11</v>
      </c>
      <c r="G1042" s="3" t="s">
        <v>1416</v>
      </c>
      <c r="H1042" s="1" t="s">
        <v>12</v>
      </c>
      <c r="I1042" s="1" t="s">
        <v>25</v>
      </c>
      <c r="J1042" s="1" t="s">
        <v>14</v>
      </c>
    </row>
    <row r="1043" spans="2:10" x14ac:dyDescent="0.3">
      <c r="B1043" s="1" t="s">
        <v>1405</v>
      </c>
      <c r="C1043" s="1" t="s">
        <v>15</v>
      </c>
      <c r="D1043" s="2" t="s">
        <v>204</v>
      </c>
      <c r="E1043" s="2" t="s">
        <v>204</v>
      </c>
      <c r="F1043" s="2" t="s">
        <v>11</v>
      </c>
      <c r="G1043" s="3" t="s">
        <v>1368</v>
      </c>
      <c r="H1043" s="1" t="s">
        <v>12</v>
      </c>
      <c r="I1043" s="1" t="s">
        <v>25</v>
      </c>
      <c r="J1043" s="1" t="s">
        <v>14</v>
      </c>
    </row>
    <row r="1044" spans="2:10" x14ac:dyDescent="0.3">
      <c r="B1044" s="1" t="s">
        <v>1405</v>
      </c>
      <c r="C1044" s="1" t="s">
        <v>21</v>
      </c>
      <c r="D1044" s="2" t="s">
        <v>1417</v>
      </c>
      <c r="E1044" s="2" t="s">
        <v>1418</v>
      </c>
      <c r="F1044" s="2" t="s">
        <v>11</v>
      </c>
      <c r="G1044" s="3" t="s">
        <v>1419</v>
      </c>
      <c r="H1044" s="1" t="s">
        <v>12</v>
      </c>
      <c r="I1044" s="1" t="s">
        <v>63</v>
      </c>
      <c r="J1044" s="1" t="s">
        <v>52</v>
      </c>
    </row>
    <row r="1045" spans="2:10" x14ac:dyDescent="0.3">
      <c r="B1045" s="1" t="s">
        <v>1405</v>
      </c>
      <c r="C1045" s="1" t="s">
        <v>26</v>
      </c>
      <c r="D1045" s="2" t="s">
        <v>204</v>
      </c>
      <c r="E1045" s="2" t="s">
        <v>204</v>
      </c>
      <c r="F1045" s="2" t="s">
        <v>11</v>
      </c>
      <c r="G1045" s="3" t="s">
        <v>1420</v>
      </c>
      <c r="H1045" s="1" t="s">
        <v>12</v>
      </c>
      <c r="I1045" s="1" t="s">
        <v>64</v>
      </c>
      <c r="J1045" s="1" t="s">
        <v>14</v>
      </c>
    </row>
    <row r="1046" spans="2:10" x14ac:dyDescent="0.3">
      <c r="B1046" s="1" t="s">
        <v>1421</v>
      </c>
      <c r="C1046" s="1" t="s">
        <v>45</v>
      </c>
      <c r="D1046" s="2" t="s">
        <v>1422</v>
      </c>
      <c r="E1046" s="2" t="s">
        <v>1423</v>
      </c>
      <c r="F1046" s="2" t="s">
        <v>11</v>
      </c>
      <c r="G1046" s="3" t="s">
        <v>1424</v>
      </c>
      <c r="H1046" s="1" t="s">
        <v>12</v>
      </c>
      <c r="I1046" s="1" t="s">
        <v>63</v>
      </c>
      <c r="J1046" s="1" t="s">
        <v>52</v>
      </c>
    </row>
    <row r="1047" spans="2:10" x14ac:dyDescent="0.3">
      <c r="B1047" s="1" t="s">
        <v>1421</v>
      </c>
      <c r="C1047" s="1" t="s">
        <v>24</v>
      </c>
      <c r="D1047" s="2" t="s">
        <v>1425</v>
      </c>
      <c r="E1047" s="2" t="s">
        <v>1425</v>
      </c>
      <c r="F1047" s="2" t="s">
        <v>11</v>
      </c>
      <c r="G1047" s="3" t="s">
        <v>1426</v>
      </c>
      <c r="H1047" s="1" t="s">
        <v>12</v>
      </c>
      <c r="I1047" s="1" t="s">
        <v>64</v>
      </c>
      <c r="J1047" s="1" t="s">
        <v>14</v>
      </c>
    </row>
    <row r="1048" spans="2:10" x14ac:dyDescent="0.3">
      <c r="B1048" s="1" t="s">
        <v>1421</v>
      </c>
      <c r="C1048" s="1" t="s">
        <v>41</v>
      </c>
      <c r="D1048" s="2" t="s">
        <v>1063</v>
      </c>
      <c r="E1048" s="2" t="s">
        <v>1063</v>
      </c>
      <c r="F1048" s="2" t="s">
        <v>11</v>
      </c>
      <c r="G1048" s="3" t="s">
        <v>1427</v>
      </c>
      <c r="H1048" s="1" t="s">
        <v>12</v>
      </c>
      <c r="I1048" s="1" t="s">
        <v>42</v>
      </c>
      <c r="J1048" s="1" t="s">
        <v>14</v>
      </c>
    </row>
    <row r="1049" spans="2:10" x14ac:dyDescent="0.3">
      <c r="B1049" s="1" t="s">
        <v>1421</v>
      </c>
      <c r="C1049" s="1" t="s">
        <v>31</v>
      </c>
      <c r="D1049" s="2" t="s">
        <v>1428</v>
      </c>
      <c r="E1049" s="2" t="s">
        <v>1428</v>
      </c>
      <c r="F1049" s="2" t="s">
        <v>11</v>
      </c>
      <c r="G1049" s="3" t="s">
        <v>1429</v>
      </c>
      <c r="H1049" s="1" t="s">
        <v>12</v>
      </c>
      <c r="I1049" s="1" t="s">
        <v>62</v>
      </c>
      <c r="J1049" s="1" t="s">
        <v>14</v>
      </c>
    </row>
    <row r="1050" spans="2:10" x14ac:dyDescent="0.3">
      <c r="B1050" s="1" t="s">
        <v>1421</v>
      </c>
      <c r="C1050" s="1" t="s">
        <v>33</v>
      </c>
      <c r="D1050" s="2" t="s">
        <v>620</v>
      </c>
      <c r="E1050" s="2" t="s">
        <v>620</v>
      </c>
      <c r="F1050" s="2" t="s">
        <v>11</v>
      </c>
      <c r="G1050" s="3" t="s">
        <v>1430</v>
      </c>
      <c r="H1050" s="1" t="s">
        <v>12</v>
      </c>
      <c r="I1050" s="1" t="s">
        <v>30</v>
      </c>
      <c r="J1050" s="1" t="s">
        <v>14</v>
      </c>
    </row>
    <row r="1051" spans="2:10" x14ac:dyDescent="0.3">
      <c r="B1051" s="1" t="s">
        <v>1421</v>
      </c>
      <c r="C1051" s="1" t="s">
        <v>39</v>
      </c>
      <c r="D1051" s="2" t="s">
        <v>1425</v>
      </c>
      <c r="E1051" s="2" t="s">
        <v>1425</v>
      </c>
      <c r="F1051" s="2" t="s">
        <v>11</v>
      </c>
      <c r="G1051" s="3" t="s">
        <v>123</v>
      </c>
      <c r="H1051" s="1" t="s">
        <v>12</v>
      </c>
      <c r="I1051" s="1" t="s">
        <v>124</v>
      </c>
      <c r="J1051" s="1" t="s">
        <v>14</v>
      </c>
    </row>
    <row r="1052" spans="2:10" x14ac:dyDescent="0.3">
      <c r="B1052" s="1" t="s">
        <v>1421</v>
      </c>
      <c r="C1052" s="1" t="s">
        <v>28</v>
      </c>
      <c r="D1052" s="2" t="s">
        <v>1431</v>
      </c>
      <c r="E1052" s="2" t="s">
        <v>1432</v>
      </c>
      <c r="F1052" s="2" t="s">
        <v>11</v>
      </c>
      <c r="G1052" s="3" t="s">
        <v>1433</v>
      </c>
      <c r="H1052" s="1" t="s">
        <v>12</v>
      </c>
      <c r="I1052" s="1" t="s">
        <v>15</v>
      </c>
      <c r="J1052" s="1" t="s">
        <v>52</v>
      </c>
    </row>
    <row r="1053" spans="2:10" x14ac:dyDescent="0.3">
      <c r="B1053" s="1" t="s">
        <v>1421</v>
      </c>
      <c r="C1053" s="1" t="s">
        <v>10</v>
      </c>
      <c r="D1053" s="2" t="s">
        <v>624</v>
      </c>
      <c r="E1053" s="2" t="s">
        <v>624</v>
      </c>
      <c r="F1053" s="2" t="s">
        <v>11</v>
      </c>
      <c r="G1053" s="3" t="s">
        <v>1434</v>
      </c>
      <c r="H1053" s="1" t="s">
        <v>12</v>
      </c>
      <c r="I1053" s="1" t="s">
        <v>51</v>
      </c>
      <c r="J1053" s="1" t="s">
        <v>14</v>
      </c>
    </row>
    <row r="1054" spans="2:10" x14ac:dyDescent="0.3">
      <c r="B1054" s="1" t="s">
        <v>1421</v>
      </c>
      <c r="C1054" s="1" t="s">
        <v>38</v>
      </c>
      <c r="D1054" s="2" t="s">
        <v>624</v>
      </c>
      <c r="E1054" s="2" t="s">
        <v>624</v>
      </c>
      <c r="F1054" s="2" t="s">
        <v>11</v>
      </c>
      <c r="G1054" s="3" t="s">
        <v>1435</v>
      </c>
      <c r="H1054" s="1" t="s">
        <v>12</v>
      </c>
      <c r="I1054" s="1" t="s">
        <v>56</v>
      </c>
      <c r="J1054" s="1" t="s">
        <v>14</v>
      </c>
    </row>
    <row r="1055" spans="2:10" x14ac:dyDescent="0.3">
      <c r="B1055" s="1" t="s">
        <v>1421</v>
      </c>
      <c r="C1055" s="1" t="s">
        <v>29</v>
      </c>
      <c r="D1055" s="2" t="s">
        <v>624</v>
      </c>
      <c r="E1055" s="2" t="s">
        <v>624</v>
      </c>
      <c r="F1055" s="2" t="s">
        <v>11</v>
      </c>
      <c r="G1055" s="3" t="s">
        <v>1316</v>
      </c>
      <c r="H1055" s="1" t="s">
        <v>12</v>
      </c>
      <c r="I1055" s="1" t="s">
        <v>22</v>
      </c>
      <c r="J1055" s="1" t="s">
        <v>14</v>
      </c>
    </row>
    <row r="1056" spans="2:10" x14ac:dyDescent="0.3">
      <c r="B1056" s="1" t="s">
        <v>1421</v>
      </c>
      <c r="C1056" s="1" t="s">
        <v>35</v>
      </c>
      <c r="D1056" s="2" t="s">
        <v>1225</v>
      </c>
      <c r="E1056" s="2" t="s">
        <v>1225</v>
      </c>
      <c r="F1056" s="2" t="s">
        <v>11</v>
      </c>
      <c r="G1056" s="3" t="s">
        <v>1436</v>
      </c>
      <c r="H1056" s="1" t="s">
        <v>12</v>
      </c>
      <c r="I1056" s="1" t="s">
        <v>18</v>
      </c>
      <c r="J1056" s="1" t="s">
        <v>14</v>
      </c>
    </row>
    <row r="1057" spans="2:10" x14ac:dyDescent="0.3">
      <c r="B1057" s="1" t="s">
        <v>1421</v>
      </c>
      <c r="C1057" s="1" t="s">
        <v>26</v>
      </c>
      <c r="D1057" s="2" t="s">
        <v>1437</v>
      </c>
      <c r="E1057" s="2" t="s">
        <v>1437</v>
      </c>
      <c r="F1057" s="2" t="s">
        <v>11</v>
      </c>
      <c r="G1057" s="3" t="s">
        <v>1438</v>
      </c>
      <c r="H1057" s="1" t="s">
        <v>12</v>
      </c>
      <c r="I1057" s="1" t="s">
        <v>47</v>
      </c>
      <c r="J1057" s="1" t="s">
        <v>14</v>
      </c>
    </row>
    <row r="1058" spans="2:10" x14ac:dyDescent="0.3">
      <c r="B1058" s="1" t="s">
        <v>1421</v>
      </c>
      <c r="C1058" s="1" t="s">
        <v>17</v>
      </c>
      <c r="D1058" s="2" t="s">
        <v>1437</v>
      </c>
      <c r="E1058" s="2" t="s">
        <v>1437</v>
      </c>
      <c r="F1058" s="2" t="s">
        <v>11</v>
      </c>
      <c r="G1058" s="3" t="s">
        <v>1439</v>
      </c>
      <c r="H1058" s="1" t="s">
        <v>12</v>
      </c>
      <c r="I1058" s="1" t="s">
        <v>56</v>
      </c>
      <c r="J1058" s="1" t="s">
        <v>14</v>
      </c>
    </row>
    <row r="1059" spans="2:10" x14ac:dyDescent="0.3">
      <c r="B1059" s="1" t="s">
        <v>1421</v>
      </c>
      <c r="C1059" s="1" t="s">
        <v>15</v>
      </c>
      <c r="D1059" s="2" t="s">
        <v>1437</v>
      </c>
      <c r="E1059" s="2" t="s">
        <v>1437</v>
      </c>
      <c r="F1059" s="2" t="s">
        <v>11</v>
      </c>
      <c r="G1059" s="3" t="s">
        <v>1440</v>
      </c>
      <c r="H1059" s="1" t="s">
        <v>12</v>
      </c>
      <c r="I1059" s="1" t="s">
        <v>22</v>
      </c>
      <c r="J1059" s="1" t="s">
        <v>14</v>
      </c>
    </row>
    <row r="1060" spans="2:10" x14ac:dyDescent="0.3">
      <c r="B1060" s="1" t="s">
        <v>1421</v>
      </c>
      <c r="C1060" s="1" t="s">
        <v>21</v>
      </c>
      <c r="D1060" s="2" t="s">
        <v>1441</v>
      </c>
      <c r="E1060" s="2" t="s">
        <v>1442</v>
      </c>
      <c r="F1060" s="2" t="s">
        <v>11</v>
      </c>
      <c r="G1060" s="3" t="s">
        <v>1443</v>
      </c>
      <c r="H1060" s="1" t="s">
        <v>12</v>
      </c>
      <c r="I1060" s="1" t="s">
        <v>63</v>
      </c>
      <c r="J1060" s="1" t="s">
        <v>52</v>
      </c>
    </row>
    <row r="1061" spans="2:10" x14ac:dyDescent="0.3">
      <c r="B1061" s="1" t="s">
        <v>1421</v>
      </c>
      <c r="C1061" s="1" t="s">
        <v>43</v>
      </c>
      <c r="D1061" s="2" t="s">
        <v>1437</v>
      </c>
      <c r="E1061" s="2" t="s">
        <v>1437</v>
      </c>
      <c r="F1061" s="2" t="s">
        <v>11</v>
      </c>
      <c r="G1061" s="3" t="s">
        <v>1444</v>
      </c>
      <c r="H1061" s="1" t="s">
        <v>12</v>
      </c>
      <c r="I1061" s="1" t="s">
        <v>16</v>
      </c>
      <c r="J1061" s="1" t="s">
        <v>14</v>
      </c>
    </row>
    <row r="1062" spans="2:10" x14ac:dyDescent="0.3">
      <c r="B1062" s="1" t="s">
        <v>1421</v>
      </c>
      <c r="C1062" s="1" t="s">
        <v>46</v>
      </c>
      <c r="D1062" s="2" t="s">
        <v>1437</v>
      </c>
      <c r="E1062" s="2" t="s">
        <v>1437</v>
      </c>
      <c r="F1062" s="2" t="s">
        <v>11</v>
      </c>
      <c r="G1062" s="3" t="s">
        <v>1445</v>
      </c>
      <c r="H1062" s="1" t="s">
        <v>12</v>
      </c>
      <c r="I1062" s="1" t="s">
        <v>42</v>
      </c>
      <c r="J1062" s="1" t="s">
        <v>14</v>
      </c>
    </row>
    <row r="1063" spans="2:10" x14ac:dyDescent="0.3">
      <c r="B1063" s="1" t="s">
        <v>1421</v>
      </c>
      <c r="C1063" s="1" t="s">
        <v>23</v>
      </c>
      <c r="D1063" s="2" t="s">
        <v>628</v>
      </c>
      <c r="E1063" s="2" t="s">
        <v>628</v>
      </c>
      <c r="F1063" s="2" t="s">
        <v>11</v>
      </c>
      <c r="G1063" s="3" t="s">
        <v>1424</v>
      </c>
      <c r="H1063" s="1" t="s">
        <v>12</v>
      </c>
      <c r="I1063" s="1" t="s">
        <v>34</v>
      </c>
      <c r="J1063" s="1" t="s">
        <v>14</v>
      </c>
    </row>
    <row r="1064" spans="2:10" x14ac:dyDescent="0.3">
      <c r="B1064" s="1" t="s">
        <v>1421</v>
      </c>
      <c r="C1064" s="1" t="s">
        <v>36</v>
      </c>
      <c r="D1064" s="2" t="s">
        <v>1437</v>
      </c>
      <c r="E1064" s="2" t="s">
        <v>1437</v>
      </c>
      <c r="F1064" s="2" t="s">
        <v>11</v>
      </c>
      <c r="G1064" s="3" t="s">
        <v>250</v>
      </c>
      <c r="H1064" s="1" t="s">
        <v>12</v>
      </c>
      <c r="I1064" s="1" t="s">
        <v>48</v>
      </c>
      <c r="J1064" s="1" t="s">
        <v>14</v>
      </c>
    </row>
    <row r="1065" spans="2:10" x14ac:dyDescent="0.3">
      <c r="B1065" s="1" t="s">
        <v>1421</v>
      </c>
      <c r="C1065" s="1" t="s">
        <v>19</v>
      </c>
      <c r="D1065" s="2" t="s">
        <v>620</v>
      </c>
      <c r="E1065" s="2" t="s">
        <v>620</v>
      </c>
      <c r="F1065" s="2" t="s">
        <v>11</v>
      </c>
      <c r="G1065" s="3" t="s">
        <v>1160</v>
      </c>
      <c r="H1065" s="1" t="s">
        <v>12</v>
      </c>
      <c r="I1065" s="1" t="s">
        <v>48</v>
      </c>
      <c r="J1065" s="1" t="s">
        <v>14</v>
      </c>
    </row>
    <row r="1066" spans="2:10" x14ac:dyDescent="0.3">
      <c r="B1066" s="1" t="s">
        <v>1446</v>
      </c>
      <c r="C1066" s="1" t="s">
        <v>43</v>
      </c>
      <c r="D1066" s="2" t="s">
        <v>268</v>
      </c>
      <c r="E1066" s="2" t="s">
        <v>268</v>
      </c>
      <c r="F1066" s="2" t="s">
        <v>11</v>
      </c>
      <c r="G1066" s="3" t="s">
        <v>1447</v>
      </c>
      <c r="H1066" s="1" t="s">
        <v>12</v>
      </c>
      <c r="I1066" s="1" t="s">
        <v>64</v>
      </c>
      <c r="J1066" s="1" t="s">
        <v>14</v>
      </c>
    </row>
    <row r="1067" spans="2:10" x14ac:dyDescent="0.3">
      <c r="B1067" s="1" t="s">
        <v>1446</v>
      </c>
      <c r="C1067" s="1" t="s">
        <v>26</v>
      </c>
      <c r="D1067" s="2" t="s">
        <v>268</v>
      </c>
      <c r="E1067" s="2" t="s">
        <v>268</v>
      </c>
      <c r="F1067" s="2" t="s">
        <v>11</v>
      </c>
      <c r="G1067" s="3" t="s">
        <v>854</v>
      </c>
      <c r="H1067" s="1" t="s">
        <v>12</v>
      </c>
      <c r="I1067" s="1" t="s">
        <v>32</v>
      </c>
      <c r="J1067" s="1" t="s">
        <v>14</v>
      </c>
    </row>
    <row r="1068" spans="2:10" x14ac:dyDescent="0.3">
      <c r="B1068" s="1" t="s">
        <v>1446</v>
      </c>
      <c r="C1068" s="1" t="s">
        <v>23</v>
      </c>
      <c r="D1068" s="2" t="s">
        <v>875</v>
      </c>
      <c r="E1068" s="2" t="s">
        <v>875</v>
      </c>
      <c r="F1068" s="2" t="s">
        <v>11</v>
      </c>
      <c r="G1068" s="3" t="s">
        <v>1448</v>
      </c>
      <c r="H1068" s="1" t="s">
        <v>12</v>
      </c>
      <c r="I1068" s="1" t="s">
        <v>67</v>
      </c>
      <c r="J1068" s="1" t="s">
        <v>14</v>
      </c>
    </row>
    <row r="1069" spans="2:10" x14ac:dyDescent="0.3">
      <c r="B1069" s="1" t="s">
        <v>1446</v>
      </c>
      <c r="C1069" s="1" t="s">
        <v>28</v>
      </c>
      <c r="D1069" s="2" t="s">
        <v>693</v>
      </c>
      <c r="E1069" s="2" t="s">
        <v>693</v>
      </c>
      <c r="F1069" s="2" t="s">
        <v>11</v>
      </c>
      <c r="G1069" s="3" t="s">
        <v>503</v>
      </c>
      <c r="H1069" s="1" t="s">
        <v>12</v>
      </c>
      <c r="I1069" s="1" t="s">
        <v>79</v>
      </c>
      <c r="J1069" s="1" t="s">
        <v>14</v>
      </c>
    </row>
    <row r="1070" spans="2:10" x14ac:dyDescent="0.3">
      <c r="B1070" s="1" t="s">
        <v>1446</v>
      </c>
      <c r="C1070" s="1" t="s">
        <v>29</v>
      </c>
      <c r="D1070" s="2" t="s">
        <v>433</v>
      </c>
      <c r="E1070" s="2" t="s">
        <v>433</v>
      </c>
      <c r="F1070" s="2" t="s">
        <v>11</v>
      </c>
      <c r="G1070" s="3" t="s">
        <v>1449</v>
      </c>
      <c r="H1070" s="1" t="s">
        <v>12</v>
      </c>
      <c r="I1070" s="1" t="s">
        <v>30</v>
      </c>
      <c r="J1070" s="1" t="s">
        <v>14</v>
      </c>
    </row>
    <row r="1071" spans="2:10" x14ac:dyDescent="0.3">
      <c r="B1071" s="1" t="s">
        <v>1446</v>
      </c>
      <c r="C1071" s="1" t="s">
        <v>21</v>
      </c>
      <c r="D1071" s="2" t="s">
        <v>766</v>
      </c>
      <c r="E1071" s="2" t="s">
        <v>766</v>
      </c>
      <c r="F1071" s="2" t="s">
        <v>11</v>
      </c>
      <c r="G1071" s="3" t="s">
        <v>1450</v>
      </c>
      <c r="H1071" s="1" t="s">
        <v>12</v>
      </c>
      <c r="I1071" s="1" t="s">
        <v>44</v>
      </c>
      <c r="J1071" s="1" t="s">
        <v>14</v>
      </c>
    </row>
    <row r="1072" spans="2:10" x14ac:dyDescent="0.3">
      <c r="B1072" s="1" t="s">
        <v>1446</v>
      </c>
      <c r="C1072" s="1" t="s">
        <v>39</v>
      </c>
      <c r="D1072" s="2" t="s">
        <v>448</v>
      </c>
      <c r="E1072" s="2" t="s">
        <v>448</v>
      </c>
      <c r="F1072" s="2" t="s">
        <v>11</v>
      </c>
      <c r="G1072" s="3" t="s">
        <v>1451</v>
      </c>
      <c r="H1072" s="1" t="s">
        <v>12</v>
      </c>
      <c r="I1072" s="1" t="s">
        <v>47</v>
      </c>
      <c r="J1072" s="1" t="s">
        <v>14</v>
      </c>
    </row>
    <row r="1073" spans="2:10" x14ac:dyDescent="0.3">
      <c r="B1073" s="1" t="s">
        <v>1446</v>
      </c>
      <c r="C1073" s="1" t="s">
        <v>15</v>
      </c>
      <c r="D1073" s="2" t="s">
        <v>268</v>
      </c>
      <c r="E1073" s="2" t="s">
        <v>268</v>
      </c>
      <c r="F1073" s="2" t="s">
        <v>11</v>
      </c>
      <c r="G1073" s="3" t="s">
        <v>1452</v>
      </c>
      <c r="H1073" s="1" t="s">
        <v>12</v>
      </c>
      <c r="I1073" s="1" t="s">
        <v>80</v>
      </c>
      <c r="J1073" s="1" t="s">
        <v>14</v>
      </c>
    </row>
    <row r="1074" spans="2:10" x14ac:dyDescent="0.3">
      <c r="B1074" s="1" t="s">
        <v>1446</v>
      </c>
      <c r="C1074" s="1" t="s">
        <v>46</v>
      </c>
      <c r="D1074" s="2" t="s">
        <v>693</v>
      </c>
      <c r="E1074" s="2" t="s">
        <v>693</v>
      </c>
      <c r="F1074" s="2" t="s">
        <v>11</v>
      </c>
      <c r="G1074" s="3" t="s">
        <v>1453</v>
      </c>
      <c r="H1074" s="1" t="s">
        <v>12</v>
      </c>
      <c r="I1074" s="1" t="s">
        <v>60</v>
      </c>
      <c r="J1074" s="1" t="s">
        <v>14</v>
      </c>
    </row>
    <row r="1075" spans="2:10" x14ac:dyDescent="0.3">
      <c r="B1075" s="1" t="s">
        <v>1446</v>
      </c>
      <c r="C1075" s="1" t="s">
        <v>31</v>
      </c>
      <c r="D1075" s="2" t="s">
        <v>693</v>
      </c>
      <c r="E1075" s="2" t="s">
        <v>693</v>
      </c>
      <c r="F1075" s="2" t="s">
        <v>11</v>
      </c>
      <c r="G1075" s="3" t="s">
        <v>1426</v>
      </c>
      <c r="H1075" s="1" t="s">
        <v>12</v>
      </c>
      <c r="I1075" s="1" t="s">
        <v>76</v>
      </c>
      <c r="J1075" s="1" t="s">
        <v>14</v>
      </c>
    </row>
    <row r="1076" spans="2:10" x14ac:dyDescent="0.3">
      <c r="B1076" s="1" t="s">
        <v>1446</v>
      </c>
      <c r="C1076" s="1" t="s">
        <v>45</v>
      </c>
      <c r="D1076" s="2" t="s">
        <v>256</v>
      </c>
      <c r="E1076" s="2" t="s">
        <v>256</v>
      </c>
      <c r="F1076" s="2" t="s">
        <v>11</v>
      </c>
      <c r="G1076" s="3" t="s">
        <v>1454</v>
      </c>
      <c r="H1076" s="1" t="s">
        <v>12</v>
      </c>
      <c r="I1076" s="1" t="s">
        <v>16</v>
      </c>
      <c r="J1076" s="1" t="s">
        <v>14</v>
      </c>
    </row>
    <row r="1077" spans="2:10" x14ac:dyDescent="0.3">
      <c r="B1077" s="1" t="s">
        <v>1446</v>
      </c>
      <c r="C1077" s="1" t="s">
        <v>10</v>
      </c>
      <c r="D1077" s="2" t="s">
        <v>766</v>
      </c>
      <c r="E1077" s="2" t="s">
        <v>766</v>
      </c>
      <c r="F1077" s="2" t="s">
        <v>11</v>
      </c>
      <c r="G1077" s="3" t="s">
        <v>1455</v>
      </c>
      <c r="H1077" s="1" t="s">
        <v>12</v>
      </c>
      <c r="I1077" s="1" t="s">
        <v>53</v>
      </c>
      <c r="J1077" s="1" t="s">
        <v>14</v>
      </c>
    </row>
    <row r="1078" spans="2:10" x14ac:dyDescent="0.3">
      <c r="B1078" s="1" t="s">
        <v>1446</v>
      </c>
      <c r="C1078" s="1" t="s">
        <v>38</v>
      </c>
      <c r="D1078" s="2" t="s">
        <v>1456</v>
      </c>
      <c r="E1078" s="2" t="s">
        <v>1456</v>
      </c>
      <c r="F1078" s="2" t="s">
        <v>11</v>
      </c>
      <c r="G1078" s="3" t="s">
        <v>1457</v>
      </c>
      <c r="H1078" s="1" t="s">
        <v>12</v>
      </c>
      <c r="I1078" s="1" t="s">
        <v>79</v>
      </c>
      <c r="J1078" s="1" t="s">
        <v>14</v>
      </c>
    </row>
    <row r="1079" spans="2:10" x14ac:dyDescent="0.3">
      <c r="B1079" s="1" t="s">
        <v>1446</v>
      </c>
      <c r="C1079" s="1" t="s">
        <v>36</v>
      </c>
      <c r="D1079" s="2" t="s">
        <v>693</v>
      </c>
      <c r="E1079" s="2" t="s">
        <v>693</v>
      </c>
      <c r="F1079" s="2" t="s">
        <v>11</v>
      </c>
      <c r="G1079" s="3" t="s">
        <v>1458</v>
      </c>
      <c r="H1079" s="1" t="s">
        <v>12</v>
      </c>
      <c r="I1079" s="1" t="s">
        <v>42</v>
      </c>
      <c r="J1079" s="1" t="s">
        <v>14</v>
      </c>
    </row>
    <row r="1080" spans="2:10" x14ac:dyDescent="0.3">
      <c r="B1080" s="1" t="s">
        <v>1446</v>
      </c>
      <c r="C1080" s="1" t="s">
        <v>17</v>
      </c>
      <c r="D1080" s="2" t="s">
        <v>448</v>
      </c>
      <c r="E1080" s="2" t="s">
        <v>448</v>
      </c>
      <c r="F1080" s="2" t="s">
        <v>11</v>
      </c>
      <c r="G1080" s="3" t="s">
        <v>1459</v>
      </c>
      <c r="H1080" s="1" t="s">
        <v>12</v>
      </c>
      <c r="I1080" s="1" t="s">
        <v>47</v>
      </c>
      <c r="J1080" s="1" t="s">
        <v>14</v>
      </c>
    </row>
    <row r="1081" spans="2:10" x14ac:dyDescent="0.3">
      <c r="B1081" s="1" t="s">
        <v>1446</v>
      </c>
      <c r="C1081" s="1" t="s">
        <v>24</v>
      </c>
      <c r="D1081" s="2" t="s">
        <v>1456</v>
      </c>
      <c r="E1081" s="2" t="s">
        <v>1456</v>
      </c>
      <c r="F1081" s="2" t="s">
        <v>11</v>
      </c>
      <c r="G1081" s="3" t="s">
        <v>1460</v>
      </c>
      <c r="H1081" s="1" t="s">
        <v>12</v>
      </c>
      <c r="I1081" s="1" t="s">
        <v>71</v>
      </c>
      <c r="J1081" s="1" t="s">
        <v>14</v>
      </c>
    </row>
    <row r="1082" spans="2:10" x14ac:dyDescent="0.3">
      <c r="B1082" s="1" t="s">
        <v>1446</v>
      </c>
      <c r="C1082" s="1" t="s">
        <v>35</v>
      </c>
      <c r="D1082" s="2" t="s">
        <v>512</v>
      </c>
      <c r="E1082" s="2" t="s">
        <v>512</v>
      </c>
      <c r="F1082" s="2" t="s">
        <v>11</v>
      </c>
      <c r="G1082" s="3" t="s">
        <v>1461</v>
      </c>
      <c r="H1082" s="1" t="s">
        <v>12</v>
      </c>
      <c r="I1082" s="1" t="s">
        <v>80</v>
      </c>
      <c r="J1082" s="1" t="s">
        <v>14</v>
      </c>
    </row>
    <row r="1083" spans="2:10" x14ac:dyDescent="0.3">
      <c r="B1083" s="1" t="s">
        <v>1446</v>
      </c>
      <c r="C1083" s="1" t="s">
        <v>33</v>
      </c>
      <c r="D1083" s="2" t="s">
        <v>693</v>
      </c>
      <c r="E1083" s="2" t="s">
        <v>693</v>
      </c>
      <c r="F1083" s="2" t="s">
        <v>11</v>
      </c>
      <c r="G1083" s="3" t="s">
        <v>1462</v>
      </c>
      <c r="H1083" s="1" t="s">
        <v>12</v>
      </c>
      <c r="I1083" s="1" t="s">
        <v>76</v>
      </c>
      <c r="J1083" s="1" t="s">
        <v>14</v>
      </c>
    </row>
    <row r="1084" spans="2:10" x14ac:dyDescent="0.3">
      <c r="B1084" s="1" t="s">
        <v>1446</v>
      </c>
      <c r="C1084" s="1" t="s">
        <v>19</v>
      </c>
      <c r="D1084" s="2" t="s">
        <v>693</v>
      </c>
      <c r="E1084" s="2" t="s">
        <v>693</v>
      </c>
      <c r="F1084" s="2" t="s">
        <v>11</v>
      </c>
      <c r="G1084" s="3" t="s">
        <v>1463</v>
      </c>
      <c r="H1084" s="1" t="s">
        <v>12</v>
      </c>
      <c r="I1084" s="1" t="s">
        <v>76</v>
      </c>
      <c r="J1084" s="1" t="s">
        <v>14</v>
      </c>
    </row>
    <row r="1085" spans="2:10" x14ac:dyDescent="0.3">
      <c r="B1085" s="1" t="s">
        <v>1446</v>
      </c>
      <c r="C1085" s="1" t="s">
        <v>41</v>
      </c>
      <c r="D1085" s="2" t="s">
        <v>240</v>
      </c>
      <c r="E1085" s="2" t="s">
        <v>240</v>
      </c>
      <c r="F1085" s="2" t="s">
        <v>11</v>
      </c>
      <c r="G1085" s="3" t="s">
        <v>1464</v>
      </c>
      <c r="H1085" s="1" t="s">
        <v>12</v>
      </c>
      <c r="I1085" s="1" t="s">
        <v>76</v>
      </c>
      <c r="J1085" s="1" t="s">
        <v>14</v>
      </c>
    </row>
    <row r="1086" spans="2:10" x14ac:dyDescent="0.3">
      <c r="B1086" s="1" t="s">
        <v>1465</v>
      </c>
      <c r="C1086" s="1" t="s">
        <v>33</v>
      </c>
      <c r="D1086" s="2" t="s">
        <v>475</v>
      </c>
      <c r="E1086" s="2" t="s">
        <v>475</v>
      </c>
      <c r="F1086" s="2" t="s">
        <v>11</v>
      </c>
      <c r="G1086" s="3" t="s">
        <v>1466</v>
      </c>
      <c r="H1086" s="1" t="s">
        <v>12</v>
      </c>
      <c r="I1086" s="1" t="s">
        <v>20</v>
      </c>
      <c r="J1086" s="1" t="s">
        <v>14</v>
      </c>
    </row>
    <row r="1087" spans="2:10" x14ac:dyDescent="0.3">
      <c r="B1087" s="1" t="s">
        <v>1465</v>
      </c>
      <c r="C1087" s="1" t="s">
        <v>29</v>
      </c>
      <c r="D1087" s="2" t="s">
        <v>766</v>
      </c>
      <c r="E1087" s="2" t="s">
        <v>766</v>
      </c>
      <c r="F1087" s="2" t="s">
        <v>11</v>
      </c>
      <c r="G1087" s="3" t="s">
        <v>1467</v>
      </c>
      <c r="H1087" s="1" t="s">
        <v>12</v>
      </c>
      <c r="I1087" s="1" t="s">
        <v>67</v>
      </c>
      <c r="J1087" s="1" t="s">
        <v>14</v>
      </c>
    </row>
    <row r="1088" spans="2:10" x14ac:dyDescent="0.3">
      <c r="B1088" s="1" t="s">
        <v>1465</v>
      </c>
      <c r="C1088" s="1" t="s">
        <v>17</v>
      </c>
      <c r="D1088" s="2" t="s">
        <v>783</v>
      </c>
      <c r="E1088" s="2" t="s">
        <v>783</v>
      </c>
      <c r="F1088" s="2" t="s">
        <v>11</v>
      </c>
      <c r="G1088" s="3" t="s">
        <v>1468</v>
      </c>
      <c r="H1088" s="1" t="s">
        <v>12</v>
      </c>
      <c r="I1088" s="1" t="s">
        <v>62</v>
      </c>
      <c r="J1088" s="1" t="s">
        <v>14</v>
      </c>
    </row>
    <row r="1089" spans="2:10" x14ac:dyDescent="0.3">
      <c r="B1089" s="1" t="s">
        <v>1465</v>
      </c>
      <c r="C1089" s="1" t="s">
        <v>46</v>
      </c>
      <c r="D1089" s="2" t="s">
        <v>779</v>
      </c>
      <c r="E1089" s="2" t="s">
        <v>779</v>
      </c>
      <c r="F1089" s="2" t="s">
        <v>11</v>
      </c>
      <c r="G1089" s="3" t="s">
        <v>264</v>
      </c>
      <c r="H1089" s="1" t="s">
        <v>12</v>
      </c>
      <c r="I1089" s="1" t="s">
        <v>47</v>
      </c>
      <c r="J1089" s="1" t="s">
        <v>14</v>
      </c>
    </row>
    <row r="1090" spans="2:10" x14ac:dyDescent="0.3">
      <c r="B1090" s="1" t="s">
        <v>1465</v>
      </c>
      <c r="C1090" s="1" t="s">
        <v>24</v>
      </c>
      <c r="D1090" s="2" t="s">
        <v>256</v>
      </c>
      <c r="E1090" s="2" t="s">
        <v>256</v>
      </c>
      <c r="F1090" s="2" t="s">
        <v>11</v>
      </c>
      <c r="G1090" s="3" t="s">
        <v>1469</v>
      </c>
      <c r="H1090" s="1" t="s">
        <v>12</v>
      </c>
      <c r="I1090" s="1" t="s">
        <v>62</v>
      </c>
      <c r="J1090" s="1" t="s">
        <v>14</v>
      </c>
    </row>
    <row r="1091" spans="2:10" x14ac:dyDescent="0.3">
      <c r="B1091" s="1" t="s">
        <v>1465</v>
      </c>
      <c r="C1091" s="1" t="s">
        <v>28</v>
      </c>
      <c r="D1091" s="2" t="s">
        <v>256</v>
      </c>
      <c r="E1091" s="2" t="s">
        <v>256</v>
      </c>
      <c r="F1091" s="2" t="s">
        <v>11</v>
      </c>
      <c r="G1091" s="3" t="s">
        <v>1470</v>
      </c>
      <c r="H1091" s="1" t="s">
        <v>12</v>
      </c>
      <c r="I1091" s="1" t="s">
        <v>48</v>
      </c>
      <c r="J1091" s="1" t="s">
        <v>14</v>
      </c>
    </row>
    <row r="1092" spans="2:10" x14ac:dyDescent="0.3">
      <c r="B1092" s="1" t="s">
        <v>1465</v>
      </c>
      <c r="C1092" s="1" t="s">
        <v>15</v>
      </c>
      <c r="D1092" s="2" t="s">
        <v>1471</v>
      </c>
      <c r="E1092" s="2" t="s">
        <v>1471</v>
      </c>
      <c r="F1092" s="2" t="s">
        <v>11</v>
      </c>
      <c r="G1092" s="3" t="s">
        <v>1472</v>
      </c>
      <c r="H1092" s="1" t="s">
        <v>12</v>
      </c>
      <c r="I1092" s="1" t="s">
        <v>67</v>
      </c>
      <c r="J1092" s="1" t="s">
        <v>14</v>
      </c>
    </row>
    <row r="1093" spans="2:10" x14ac:dyDescent="0.3">
      <c r="B1093" s="1" t="s">
        <v>1465</v>
      </c>
      <c r="C1093" s="1" t="s">
        <v>21</v>
      </c>
      <c r="D1093" s="2" t="s">
        <v>696</v>
      </c>
      <c r="E1093" s="2" t="s">
        <v>696</v>
      </c>
      <c r="F1093" s="2" t="s">
        <v>11</v>
      </c>
      <c r="G1093" s="3" t="s">
        <v>1473</v>
      </c>
      <c r="H1093" s="1" t="s">
        <v>12</v>
      </c>
      <c r="I1093" s="1" t="s">
        <v>44</v>
      </c>
      <c r="J1093" s="1" t="s">
        <v>14</v>
      </c>
    </row>
    <row r="1094" spans="2:10" x14ac:dyDescent="0.3">
      <c r="B1094" s="1" t="s">
        <v>1465</v>
      </c>
      <c r="C1094" s="1" t="s">
        <v>43</v>
      </c>
      <c r="D1094" s="2" t="s">
        <v>475</v>
      </c>
      <c r="E1094" s="2" t="s">
        <v>475</v>
      </c>
      <c r="F1094" s="2" t="s">
        <v>11</v>
      </c>
      <c r="G1094" s="3" t="s">
        <v>1474</v>
      </c>
      <c r="H1094" s="1" t="s">
        <v>12</v>
      </c>
      <c r="I1094" s="1" t="s">
        <v>64</v>
      </c>
      <c r="J1094" s="1" t="s">
        <v>14</v>
      </c>
    </row>
    <row r="1095" spans="2:10" x14ac:dyDescent="0.3">
      <c r="B1095" s="1" t="s">
        <v>1465</v>
      </c>
      <c r="C1095" s="1" t="s">
        <v>31</v>
      </c>
      <c r="D1095" s="2" t="s">
        <v>231</v>
      </c>
      <c r="E1095" s="2" t="s">
        <v>540</v>
      </c>
      <c r="F1095" s="2" t="s">
        <v>11</v>
      </c>
      <c r="G1095" s="3" t="s">
        <v>1241</v>
      </c>
      <c r="H1095" s="1" t="s">
        <v>12</v>
      </c>
      <c r="I1095" s="1" t="s">
        <v>46</v>
      </c>
      <c r="J1095" s="1" t="s">
        <v>52</v>
      </c>
    </row>
    <row r="1096" spans="2:10" x14ac:dyDescent="0.3">
      <c r="B1096" s="1" t="s">
        <v>1465</v>
      </c>
      <c r="C1096" s="1" t="s">
        <v>10</v>
      </c>
      <c r="D1096" s="2" t="s">
        <v>747</v>
      </c>
      <c r="E1096" s="2" t="s">
        <v>747</v>
      </c>
      <c r="F1096" s="2" t="s">
        <v>11</v>
      </c>
      <c r="G1096" s="3" t="s">
        <v>1475</v>
      </c>
      <c r="H1096" s="1" t="s">
        <v>12</v>
      </c>
      <c r="I1096" s="1" t="s">
        <v>18</v>
      </c>
      <c r="J1096" s="1" t="s">
        <v>14</v>
      </c>
    </row>
    <row r="1097" spans="2:10" x14ac:dyDescent="0.3">
      <c r="B1097" s="1" t="s">
        <v>1465</v>
      </c>
      <c r="C1097" s="1" t="s">
        <v>26</v>
      </c>
      <c r="D1097" s="2" t="s">
        <v>783</v>
      </c>
      <c r="E1097" s="2" t="s">
        <v>783</v>
      </c>
      <c r="F1097" s="2" t="s">
        <v>11</v>
      </c>
      <c r="G1097" s="3" t="s">
        <v>1476</v>
      </c>
      <c r="H1097" s="1" t="s">
        <v>12</v>
      </c>
      <c r="I1097" s="1" t="s">
        <v>51</v>
      </c>
      <c r="J1097" s="1" t="s">
        <v>14</v>
      </c>
    </row>
    <row r="1098" spans="2:10" x14ac:dyDescent="0.3">
      <c r="B1098" s="1" t="s">
        <v>1465</v>
      </c>
      <c r="C1098" s="1" t="s">
        <v>35</v>
      </c>
      <c r="D1098" s="2" t="s">
        <v>779</v>
      </c>
      <c r="E1098" s="2" t="s">
        <v>779</v>
      </c>
      <c r="F1098" s="2" t="s">
        <v>11</v>
      </c>
      <c r="G1098" s="3" t="s">
        <v>1393</v>
      </c>
      <c r="H1098" s="1" t="s">
        <v>12</v>
      </c>
      <c r="I1098" s="1" t="s">
        <v>66</v>
      </c>
      <c r="J1098" s="1" t="s">
        <v>14</v>
      </c>
    </row>
    <row r="1099" spans="2:10" x14ac:dyDescent="0.3">
      <c r="B1099" s="1" t="s">
        <v>1465</v>
      </c>
      <c r="C1099" s="1" t="s">
        <v>23</v>
      </c>
      <c r="D1099" s="2" t="s">
        <v>783</v>
      </c>
      <c r="E1099" s="2" t="s">
        <v>783</v>
      </c>
      <c r="F1099" s="2" t="s">
        <v>11</v>
      </c>
      <c r="G1099" s="3" t="s">
        <v>757</v>
      </c>
      <c r="H1099" s="1" t="s">
        <v>12</v>
      </c>
      <c r="I1099" s="1" t="s">
        <v>64</v>
      </c>
      <c r="J1099" s="1" t="s">
        <v>14</v>
      </c>
    </row>
    <row r="1100" spans="2:10" x14ac:dyDescent="0.3">
      <c r="B1100" s="1" t="s">
        <v>1465</v>
      </c>
      <c r="C1100" s="1" t="s">
        <v>39</v>
      </c>
      <c r="D1100" s="2" t="s">
        <v>1477</v>
      </c>
      <c r="E1100" s="2" t="s">
        <v>1478</v>
      </c>
      <c r="F1100" s="2" t="s">
        <v>11</v>
      </c>
      <c r="G1100" s="3" t="s">
        <v>1479</v>
      </c>
      <c r="H1100" s="1" t="s">
        <v>12</v>
      </c>
      <c r="I1100" s="1" t="s">
        <v>15</v>
      </c>
      <c r="J1100" s="1" t="s">
        <v>52</v>
      </c>
    </row>
    <row r="1101" spans="2:10" x14ac:dyDescent="0.3">
      <c r="B1101" s="1" t="s">
        <v>1465</v>
      </c>
      <c r="C1101" s="1" t="s">
        <v>36</v>
      </c>
      <c r="D1101" s="2" t="s">
        <v>1456</v>
      </c>
      <c r="E1101" s="2" t="s">
        <v>1456</v>
      </c>
      <c r="F1101" s="2" t="s">
        <v>11</v>
      </c>
      <c r="G1101" s="3" t="s">
        <v>88</v>
      </c>
      <c r="H1101" s="1" t="s">
        <v>12</v>
      </c>
      <c r="I1101" s="1" t="s">
        <v>18</v>
      </c>
      <c r="J1101" s="1" t="s">
        <v>14</v>
      </c>
    </row>
    <row r="1102" spans="2:10" x14ac:dyDescent="0.3">
      <c r="B1102" s="1" t="s">
        <v>1465</v>
      </c>
      <c r="C1102" s="1" t="s">
        <v>41</v>
      </c>
      <c r="D1102" s="2" t="s">
        <v>766</v>
      </c>
      <c r="E1102" s="2" t="s">
        <v>766</v>
      </c>
      <c r="F1102" s="2" t="s">
        <v>11</v>
      </c>
      <c r="G1102" s="3" t="s">
        <v>1480</v>
      </c>
      <c r="H1102" s="1" t="s">
        <v>12</v>
      </c>
      <c r="I1102" s="1" t="s">
        <v>47</v>
      </c>
      <c r="J1102" s="1" t="s">
        <v>14</v>
      </c>
    </row>
    <row r="1103" spans="2:10" x14ac:dyDescent="0.3">
      <c r="B1103" s="1" t="s">
        <v>1465</v>
      </c>
      <c r="C1103" s="1" t="s">
        <v>38</v>
      </c>
      <c r="D1103" s="2" t="s">
        <v>543</v>
      </c>
      <c r="E1103" s="2" t="s">
        <v>544</v>
      </c>
      <c r="F1103" s="2" t="s">
        <v>11</v>
      </c>
      <c r="G1103" s="3" t="s">
        <v>1481</v>
      </c>
      <c r="H1103" s="1" t="s">
        <v>12</v>
      </c>
      <c r="I1103" s="1" t="s">
        <v>15</v>
      </c>
      <c r="J1103" s="1" t="s">
        <v>52</v>
      </c>
    </row>
    <row r="1104" spans="2:10" x14ac:dyDescent="0.3">
      <c r="B1104" s="1" t="s">
        <v>1465</v>
      </c>
      <c r="C1104" s="1" t="s">
        <v>19</v>
      </c>
      <c r="D1104" s="2" t="s">
        <v>783</v>
      </c>
      <c r="E1104" s="2" t="s">
        <v>783</v>
      </c>
      <c r="F1104" s="2" t="s">
        <v>11</v>
      </c>
      <c r="G1104" s="3" t="s">
        <v>1482</v>
      </c>
      <c r="H1104" s="1" t="s">
        <v>12</v>
      </c>
      <c r="I1104" s="1" t="s">
        <v>69</v>
      </c>
      <c r="J1104" s="1" t="s">
        <v>14</v>
      </c>
    </row>
    <row r="1105" spans="2:10" x14ac:dyDescent="0.3">
      <c r="B1105" s="1" t="s">
        <v>1465</v>
      </c>
      <c r="C1105" s="1" t="s">
        <v>45</v>
      </c>
      <c r="D1105" s="2" t="s">
        <v>766</v>
      </c>
      <c r="E1105" s="2" t="s">
        <v>766</v>
      </c>
      <c r="F1105" s="2" t="s">
        <v>11</v>
      </c>
      <c r="G1105" s="3" t="s">
        <v>1483</v>
      </c>
      <c r="H1105" s="1" t="s">
        <v>12</v>
      </c>
      <c r="I1105" s="1" t="s">
        <v>42</v>
      </c>
      <c r="J1105" s="1" t="s">
        <v>14</v>
      </c>
    </row>
    <row r="1106" spans="2:10" x14ac:dyDescent="0.3">
      <c r="B1106" s="1" t="s">
        <v>1484</v>
      </c>
      <c r="C1106" s="1" t="s">
        <v>19</v>
      </c>
      <c r="D1106" s="2" t="s">
        <v>1485</v>
      </c>
      <c r="E1106" s="2" t="s">
        <v>1485</v>
      </c>
      <c r="F1106" s="2" t="s">
        <v>11</v>
      </c>
      <c r="G1106" s="3" t="s">
        <v>1486</v>
      </c>
      <c r="H1106" s="1" t="s">
        <v>12</v>
      </c>
      <c r="I1106" s="1" t="s">
        <v>55</v>
      </c>
      <c r="J1106" s="1" t="s">
        <v>14</v>
      </c>
    </row>
    <row r="1107" spans="2:10" x14ac:dyDescent="0.3">
      <c r="B1107" s="1" t="s">
        <v>1484</v>
      </c>
      <c r="C1107" s="1" t="s">
        <v>10</v>
      </c>
      <c r="D1107" s="2" t="s">
        <v>1485</v>
      </c>
      <c r="E1107" s="2" t="s">
        <v>1485</v>
      </c>
      <c r="F1107" s="2" t="s">
        <v>11</v>
      </c>
      <c r="G1107" s="3" t="s">
        <v>1487</v>
      </c>
      <c r="H1107" s="1" t="s">
        <v>12</v>
      </c>
      <c r="I1107" s="1" t="s">
        <v>30</v>
      </c>
      <c r="J1107" s="1" t="s">
        <v>14</v>
      </c>
    </row>
    <row r="1108" spans="2:10" x14ac:dyDescent="0.3">
      <c r="B1108" s="1" t="s">
        <v>1484</v>
      </c>
      <c r="C1108" s="1" t="s">
        <v>23</v>
      </c>
      <c r="D1108" s="2" t="s">
        <v>526</v>
      </c>
      <c r="E1108" s="2" t="s">
        <v>526</v>
      </c>
      <c r="F1108" s="2" t="s">
        <v>11</v>
      </c>
      <c r="G1108" s="3" t="s">
        <v>1318</v>
      </c>
      <c r="H1108" s="1" t="s">
        <v>12</v>
      </c>
      <c r="I1108" s="1" t="s">
        <v>22</v>
      </c>
      <c r="J1108" s="1" t="s">
        <v>14</v>
      </c>
    </row>
    <row r="1109" spans="2:10" x14ac:dyDescent="0.3">
      <c r="B1109" s="1" t="s">
        <v>1484</v>
      </c>
      <c r="C1109" s="1" t="s">
        <v>35</v>
      </c>
      <c r="D1109" s="2" t="s">
        <v>268</v>
      </c>
      <c r="E1109" s="2" t="s">
        <v>397</v>
      </c>
      <c r="F1109" s="2" t="s">
        <v>11</v>
      </c>
      <c r="G1109" s="3" t="s">
        <v>1488</v>
      </c>
      <c r="H1109" s="1" t="s">
        <v>12</v>
      </c>
      <c r="I1109" s="1" t="s">
        <v>15</v>
      </c>
      <c r="J1109" s="1" t="s">
        <v>52</v>
      </c>
    </row>
    <row r="1110" spans="2:10" x14ac:dyDescent="0.3">
      <c r="B1110" s="1" t="s">
        <v>1484</v>
      </c>
      <c r="C1110" s="1" t="s">
        <v>21</v>
      </c>
      <c r="D1110" s="2" t="s">
        <v>1489</v>
      </c>
      <c r="E1110" s="2" t="s">
        <v>1489</v>
      </c>
      <c r="F1110" s="2" t="s">
        <v>11</v>
      </c>
      <c r="G1110" s="3" t="s">
        <v>1490</v>
      </c>
      <c r="H1110" s="1" t="s">
        <v>12</v>
      </c>
      <c r="I1110" s="1" t="s">
        <v>29</v>
      </c>
      <c r="J1110" s="1" t="s">
        <v>14</v>
      </c>
    </row>
    <row r="1111" spans="2:10" x14ac:dyDescent="0.3">
      <c r="B1111" s="1" t="s">
        <v>1484</v>
      </c>
      <c r="C1111" s="1" t="s">
        <v>28</v>
      </c>
      <c r="D1111" s="2" t="s">
        <v>1013</v>
      </c>
      <c r="E1111" s="2" t="s">
        <v>1013</v>
      </c>
      <c r="F1111" s="2" t="s">
        <v>11</v>
      </c>
      <c r="G1111" s="3" t="s">
        <v>1491</v>
      </c>
      <c r="H1111" s="1" t="s">
        <v>12</v>
      </c>
      <c r="I1111" s="1" t="s">
        <v>87</v>
      </c>
      <c r="J1111" s="1" t="s">
        <v>14</v>
      </c>
    </row>
    <row r="1112" spans="2:10" x14ac:dyDescent="0.3">
      <c r="B1112" s="1" t="s">
        <v>1484</v>
      </c>
      <c r="C1112" s="1" t="s">
        <v>17</v>
      </c>
      <c r="D1112" s="2" t="s">
        <v>502</v>
      </c>
      <c r="E1112" s="2" t="s">
        <v>502</v>
      </c>
      <c r="F1112" s="2" t="s">
        <v>11</v>
      </c>
      <c r="G1112" s="3" t="s">
        <v>1492</v>
      </c>
      <c r="H1112" s="1" t="s">
        <v>12</v>
      </c>
      <c r="I1112" s="1" t="s">
        <v>93</v>
      </c>
      <c r="J1112" s="1" t="s">
        <v>14</v>
      </c>
    </row>
    <row r="1113" spans="2:10" x14ac:dyDescent="0.3">
      <c r="B1113" s="1" t="s">
        <v>1484</v>
      </c>
      <c r="C1113" s="1" t="s">
        <v>46</v>
      </c>
      <c r="D1113" s="2" t="s">
        <v>382</v>
      </c>
      <c r="E1113" s="2" t="s">
        <v>382</v>
      </c>
      <c r="F1113" s="2" t="s">
        <v>11</v>
      </c>
      <c r="G1113" s="3" t="s">
        <v>1493</v>
      </c>
      <c r="H1113" s="1" t="s">
        <v>12</v>
      </c>
      <c r="I1113" s="1" t="s">
        <v>1309</v>
      </c>
      <c r="J1113" s="1" t="s">
        <v>14</v>
      </c>
    </row>
    <row r="1114" spans="2:10" x14ac:dyDescent="0.3">
      <c r="B1114" s="1" t="s">
        <v>1484</v>
      </c>
      <c r="C1114" s="1" t="s">
        <v>39</v>
      </c>
      <c r="D1114" s="2" t="s">
        <v>1485</v>
      </c>
      <c r="E1114" s="2" t="s">
        <v>1485</v>
      </c>
      <c r="F1114" s="2" t="s">
        <v>11</v>
      </c>
      <c r="G1114" s="3" t="s">
        <v>1494</v>
      </c>
      <c r="H1114" s="1" t="s">
        <v>12</v>
      </c>
      <c r="I1114" s="1" t="s">
        <v>80</v>
      </c>
      <c r="J1114" s="1" t="s">
        <v>14</v>
      </c>
    </row>
    <row r="1115" spans="2:10" x14ac:dyDescent="0.3">
      <c r="B1115" s="1" t="s">
        <v>1484</v>
      </c>
      <c r="C1115" s="1" t="s">
        <v>45</v>
      </c>
      <c r="D1115" s="2" t="s">
        <v>1013</v>
      </c>
      <c r="E1115" s="2" t="s">
        <v>1013</v>
      </c>
      <c r="F1115" s="2" t="s">
        <v>11</v>
      </c>
      <c r="G1115" s="3" t="s">
        <v>749</v>
      </c>
      <c r="H1115" s="1" t="s">
        <v>12</v>
      </c>
      <c r="I1115" s="1" t="s">
        <v>34</v>
      </c>
      <c r="J1115" s="1" t="s">
        <v>14</v>
      </c>
    </row>
    <row r="1116" spans="2:10" x14ac:dyDescent="0.3">
      <c r="B1116" s="1" t="s">
        <v>1484</v>
      </c>
      <c r="C1116" s="1" t="s">
        <v>33</v>
      </c>
      <c r="D1116" s="2" t="s">
        <v>1485</v>
      </c>
      <c r="E1116" s="2" t="s">
        <v>1485</v>
      </c>
      <c r="F1116" s="2" t="s">
        <v>11</v>
      </c>
      <c r="G1116" s="3" t="s">
        <v>785</v>
      </c>
      <c r="H1116" s="1" t="s">
        <v>12</v>
      </c>
      <c r="I1116" s="1" t="s">
        <v>16</v>
      </c>
      <c r="J1116" s="1" t="s">
        <v>14</v>
      </c>
    </row>
    <row r="1117" spans="2:10" x14ac:dyDescent="0.3">
      <c r="B1117" s="1" t="s">
        <v>1484</v>
      </c>
      <c r="C1117" s="1" t="s">
        <v>43</v>
      </c>
      <c r="D1117" s="2" t="s">
        <v>1485</v>
      </c>
      <c r="E1117" s="2" t="s">
        <v>1485</v>
      </c>
      <c r="F1117" s="2" t="s">
        <v>11</v>
      </c>
      <c r="G1117" s="3" t="s">
        <v>1012</v>
      </c>
      <c r="H1117" s="1" t="s">
        <v>12</v>
      </c>
      <c r="I1117" s="1" t="s">
        <v>41</v>
      </c>
      <c r="J1117" s="1" t="s">
        <v>14</v>
      </c>
    </row>
    <row r="1118" spans="2:10" x14ac:dyDescent="0.3">
      <c r="B1118" s="1" t="s">
        <v>1484</v>
      </c>
      <c r="C1118" s="1" t="s">
        <v>15</v>
      </c>
      <c r="D1118" s="2" t="s">
        <v>1495</v>
      </c>
      <c r="E1118" s="2" t="s">
        <v>1495</v>
      </c>
      <c r="F1118" s="2" t="s">
        <v>11</v>
      </c>
      <c r="G1118" s="3" t="s">
        <v>1496</v>
      </c>
      <c r="H1118" s="1" t="s">
        <v>12</v>
      </c>
      <c r="I1118" s="1" t="s">
        <v>55</v>
      </c>
      <c r="J1118" s="1" t="s">
        <v>14</v>
      </c>
    </row>
    <row r="1119" spans="2:10" x14ac:dyDescent="0.3">
      <c r="B1119" s="1" t="s">
        <v>1484</v>
      </c>
      <c r="C1119" s="1" t="s">
        <v>41</v>
      </c>
      <c r="D1119" s="2" t="s">
        <v>1489</v>
      </c>
      <c r="E1119" s="2" t="s">
        <v>1489</v>
      </c>
      <c r="F1119" s="2" t="s">
        <v>11</v>
      </c>
      <c r="G1119" s="3" t="s">
        <v>1497</v>
      </c>
      <c r="H1119" s="1" t="s">
        <v>12</v>
      </c>
      <c r="I1119" s="1" t="s">
        <v>41</v>
      </c>
      <c r="J1119" s="1" t="s">
        <v>14</v>
      </c>
    </row>
    <row r="1120" spans="2:10" x14ac:dyDescent="0.3">
      <c r="B1120" s="1" t="s">
        <v>1484</v>
      </c>
      <c r="C1120" s="1" t="s">
        <v>31</v>
      </c>
      <c r="D1120" s="2" t="s">
        <v>1495</v>
      </c>
      <c r="E1120" s="2" t="s">
        <v>1495</v>
      </c>
      <c r="F1120" s="2" t="s">
        <v>11</v>
      </c>
      <c r="G1120" s="3" t="s">
        <v>1498</v>
      </c>
      <c r="H1120" s="1" t="s">
        <v>12</v>
      </c>
      <c r="I1120" s="1" t="s">
        <v>32</v>
      </c>
      <c r="J1120" s="1" t="s">
        <v>14</v>
      </c>
    </row>
    <row r="1121" spans="2:10" x14ac:dyDescent="0.3">
      <c r="B1121" s="1" t="s">
        <v>1484</v>
      </c>
      <c r="C1121" s="1" t="s">
        <v>24</v>
      </c>
      <c r="D1121" s="2" t="s">
        <v>378</v>
      </c>
      <c r="E1121" s="2" t="s">
        <v>378</v>
      </c>
      <c r="F1121" s="2" t="s">
        <v>11</v>
      </c>
      <c r="G1121" s="3" t="s">
        <v>125</v>
      </c>
      <c r="H1121" s="1" t="s">
        <v>12</v>
      </c>
      <c r="I1121" s="1" t="s">
        <v>69</v>
      </c>
      <c r="J1121" s="1" t="s">
        <v>14</v>
      </c>
    </row>
    <row r="1122" spans="2:10" x14ac:dyDescent="0.3">
      <c r="B1122" s="1" t="s">
        <v>1484</v>
      </c>
      <c r="C1122" s="1" t="s">
        <v>29</v>
      </c>
      <c r="D1122" s="2" t="s">
        <v>1013</v>
      </c>
      <c r="E1122" s="2" t="s">
        <v>1013</v>
      </c>
      <c r="F1122" s="2" t="s">
        <v>11</v>
      </c>
      <c r="G1122" s="3" t="s">
        <v>126</v>
      </c>
      <c r="H1122" s="1" t="s">
        <v>12</v>
      </c>
      <c r="I1122" s="1" t="s">
        <v>47</v>
      </c>
      <c r="J1122" s="1" t="s">
        <v>14</v>
      </c>
    </row>
    <row r="1123" spans="2:10" x14ac:dyDescent="0.3">
      <c r="B1123" s="1" t="s">
        <v>1484</v>
      </c>
      <c r="C1123" s="1" t="s">
        <v>38</v>
      </c>
      <c r="D1123" s="2" t="s">
        <v>1489</v>
      </c>
      <c r="E1123" s="2" t="s">
        <v>1489</v>
      </c>
      <c r="F1123" s="2" t="s">
        <v>11</v>
      </c>
      <c r="G1123" s="3" t="s">
        <v>1499</v>
      </c>
      <c r="H1123" s="1" t="s">
        <v>12</v>
      </c>
      <c r="I1123" s="1" t="s">
        <v>63</v>
      </c>
      <c r="J1123" s="1" t="s">
        <v>14</v>
      </c>
    </row>
    <row r="1124" spans="2:10" x14ac:dyDescent="0.3">
      <c r="B1124" s="1" t="s">
        <v>1484</v>
      </c>
      <c r="C1124" s="1" t="s">
        <v>36</v>
      </c>
      <c r="D1124" s="2" t="s">
        <v>382</v>
      </c>
      <c r="E1124" s="2" t="s">
        <v>382</v>
      </c>
      <c r="F1124" s="2" t="s">
        <v>11</v>
      </c>
      <c r="G1124" s="3" t="s">
        <v>731</v>
      </c>
      <c r="H1124" s="1" t="s">
        <v>12</v>
      </c>
      <c r="I1124" s="1" t="s">
        <v>34</v>
      </c>
      <c r="J1124" s="1" t="s">
        <v>14</v>
      </c>
    </row>
    <row r="1125" spans="2:10" x14ac:dyDescent="0.3">
      <c r="B1125" s="1" t="s">
        <v>1484</v>
      </c>
      <c r="C1125" s="1" t="s">
        <v>26</v>
      </c>
      <c r="D1125" s="2" t="s">
        <v>1013</v>
      </c>
      <c r="E1125" s="2" t="s">
        <v>1013</v>
      </c>
      <c r="F1125" s="2" t="s">
        <v>11</v>
      </c>
      <c r="G1125" s="3" t="s">
        <v>1500</v>
      </c>
      <c r="H1125" s="1" t="s">
        <v>12</v>
      </c>
      <c r="I1125" s="1" t="s">
        <v>49</v>
      </c>
      <c r="J1125" s="1" t="s">
        <v>14</v>
      </c>
    </row>
    <row r="1126" spans="2:10" x14ac:dyDescent="0.3">
      <c r="B1126" s="1" t="s">
        <v>1501</v>
      </c>
      <c r="C1126" s="1" t="s">
        <v>29</v>
      </c>
      <c r="D1126" s="2" t="s">
        <v>1471</v>
      </c>
      <c r="E1126" s="2" t="s">
        <v>1471</v>
      </c>
      <c r="F1126" s="2" t="s">
        <v>11</v>
      </c>
      <c r="G1126" s="3" t="s">
        <v>1502</v>
      </c>
      <c r="H1126" s="1" t="s">
        <v>12</v>
      </c>
      <c r="I1126" s="1" t="s">
        <v>79</v>
      </c>
      <c r="J1126" s="1" t="s">
        <v>14</v>
      </c>
    </row>
    <row r="1127" spans="2:10" x14ac:dyDescent="0.3">
      <c r="B1127" s="1" t="s">
        <v>1501</v>
      </c>
      <c r="C1127" s="1" t="s">
        <v>17</v>
      </c>
      <c r="D1127" s="2" t="s">
        <v>902</v>
      </c>
      <c r="E1127" s="2" t="s">
        <v>902</v>
      </c>
      <c r="F1127" s="2" t="s">
        <v>11</v>
      </c>
      <c r="G1127" s="3" t="s">
        <v>1503</v>
      </c>
      <c r="H1127" s="1" t="s">
        <v>12</v>
      </c>
      <c r="I1127" s="1" t="s">
        <v>51</v>
      </c>
      <c r="J1127" s="1" t="s">
        <v>14</v>
      </c>
    </row>
    <row r="1128" spans="2:10" x14ac:dyDescent="0.3">
      <c r="B1128" s="1" t="s">
        <v>1501</v>
      </c>
      <c r="C1128" s="1" t="s">
        <v>28</v>
      </c>
      <c r="D1128" s="2" t="s">
        <v>902</v>
      </c>
      <c r="E1128" s="2" t="s">
        <v>902</v>
      </c>
      <c r="F1128" s="2" t="s">
        <v>11</v>
      </c>
      <c r="G1128" s="3" t="s">
        <v>1504</v>
      </c>
      <c r="H1128" s="1" t="s">
        <v>12</v>
      </c>
      <c r="I1128" s="1" t="s">
        <v>34</v>
      </c>
      <c r="J1128" s="1" t="s">
        <v>14</v>
      </c>
    </row>
    <row r="1129" spans="2:10" x14ac:dyDescent="0.3">
      <c r="B1129" s="1" t="s">
        <v>1501</v>
      </c>
      <c r="C1129" s="1" t="s">
        <v>10</v>
      </c>
      <c r="D1129" s="2" t="s">
        <v>902</v>
      </c>
      <c r="E1129" s="2" t="s">
        <v>902</v>
      </c>
      <c r="F1129" s="2" t="s">
        <v>11</v>
      </c>
      <c r="G1129" s="3" t="s">
        <v>1505</v>
      </c>
      <c r="H1129" s="1" t="s">
        <v>12</v>
      </c>
      <c r="I1129" s="1" t="s">
        <v>69</v>
      </c>
      <c r="J1129" s="1" t="s">
        <v>14</v>
      </c>
    </row>
    <row r="1130" spans="2:10" x14ac:dyDescent="0.3">
      <c r="B1130" s="1" t="s">
        <v>1501</v>
      </c>
      <c r="C1130" s="1" t="s">
        <v>38</v>
      </c>
      <c r="D1130" s="2" t="s">
        <v>532</v>
      </c>
      <c r="E1130" s="2" t="s">
        <v>532</v>
      </c>
      <c r="F1130" s="2" t="s">
        <v>11</v>
      </c>
      <c r="G1130" s="3" t="s">
        <v>1506</v>
      </c>
      <c r="H1130" s="1" t="s">
        <v>12</v>
      </c>
      <c r="I1130" s="1" t="s">
        <v>25</v>
      </c>
      <c r="J1130" s="1" t="s">
        <v>14</v>
      </c>
    </row>
    <row r="1131" spans="2:10" x14ac:dyDescent="0.3">
      <c r="B1131" s="1" t="s">
        <v>1501</v>
      </c>
      <c r="C1131" s="1" t="s">
        <v>43</v>
      </c>
      <c r="D1131" s="2" t="s">
        <v>902</v>
      </c>
      <c r="E1131" s="2" t="s">
        <v>902</v>
      </c>
      <c r="F1131" s="2" t="s">
        <v>11</v>
      </c>
      <c r="G1131" s="3" t="s">
        <v>1507</v>
      </c>
      <c r="H1131" s="1" t="s">
        <v>12</v>
      </c>
      <c r="I1131" s="1" t="s">
        <v>51</v>
      </c>
      <c r="J1131" s="1" t="s">
        <v>14</v>
      </c>
    </row>
    <row r="1132" spans="2:10" x14ac:dyDescent="0.3">
      <c r="B1132" s="1" t="s">
        <v>1501</v>
      </c>
      <c r="C1132" s="1" t="s">
        <v>46</v>
      </c>
      <c r="D1132" s="2" t="s">
        <v>532</v>
      </c>
      <c r="E1132" s="2" t="s">
        <v>532</v>
      </c>
      <c r="F1132" s="2" t="s">
        <v>11</v>
      </c>
      <c r="G1132" s="3" t="s">
        <v>1508</v>
      </c>
      <c r="H1132" s="1" t="s">
        <v>12</v>
      </c>
      <c r="I1132" s="1" t="s">
        <v>77</v>
      </c>
      <c r="J1132" s="1" t="s">
        <v>14</v>
      </c>
    </row>
    <row r="1133" spans="2:10" x14ac:dyDescent="0.3">
      <c r="B1133" s="1" t="s">
        <v>1501</v>
      </c>
      <c r="C1133" s="1" t="s">
        <v>35</v>
      </c>
      <c r="D1133" s="2" t="s">
        <v>1509</v>
      </c>
      <c r="E1133" s="2" t="s">
        <v>609</v>
      </c>
      <c r="F1133" s="2" t="s">
        <v>11</v>
      </c>
      <c r="G1133" s="3" t="s">
        <v>1510</v>
      </c>
      <c r="H1133" s="1" t="s">
        <v>12</v>
      </c>
      <c r="I1133" s="1" t="s">
        <v>63</v>
      </c>
      <c r="J1133" s="1" t="s">
        <v>52</v>
      </c>
    </row>
    <row r="1134" spans="2:10" x14ac:dyDescent="0.3">
      <c r="B1134" s="1" t="s">
        <v>1501</v>
      </c>
      <c r="C1134" s="1" t="s">
        <v>31</v>
      </c>
      <c r="D1134" s="2" t="s">
        <v>491</v>
      </c>
      <c r="E1134" s="2" t="s">
        <v>491</v>
      </c>
      <c r="F1134" s="2" t="s">
        <v>11</v>
      </c>
      <c r="G1134" s="3" t="s">
        <v>1511</v>
      </c>
      <c r="H1134" s="1" t="s">
        <v>12</v>
      </c>
      <c r="I1134" s="1" t="s">
        <v>60</v>
      </c>
      <c r="J1134" s="1" t="s">
        <v>14</v>
      </c>
    </row>
    <row r="1135" spans="2:10" x14ac:dyDescent="0.3">
      <c r="B1135" s="1" t="s">
        <v>1501</v>
      </c>
      <c r="C1135" s="1" t="s">
        <v>24</v>
      </c>
      <c r="D1135" s="2" t="s">
        <v>532</v>
      </c>
      <c r="E1135" s="2" t="s">
        <v>532</v>
      </c>
      <c r="F1135" s="2" t="s">
        <v>11</v>
      </c>
      <c r="G1135" s="3" t="s">
        <v>605</v>
      </c>
      <c r="H1135" s="1" t="s">
        <v>12</v>
      </c>
      <c r="I1135" s="1" t="s">
        <v>13</v>
      </c>
      <c r="J1135" s="1" t="s">
        <v>14</v>
      </c>
    </row>
    <row r="1136" spans="2:10" x14ac:dyDescent="0.3">
      <c r="B1136" s="1" t="s">
        <v>1501</v>
      </c>
      <c r="C1136" s="1" t="s">
        <v>23</v>
      </c>
      <c r="D1136" s="2" t="s">
        <v>1471</v>
      </c>
      <c r="E1136" s="2" t="s">
        <v>1471</v>
      </c>
      <c r="F1136" s="2" t="s">
        <v>11</v>
      </c>
      <c r="G1136" s="3" t="s">
        <v>1512</v>
      </c>
      <c r="H1136" s="1" t="s">
        <v>12</v>
      </c>
      <c r="I1136" s="1" t="s">
        <v>76</v>
      </c>
      <c r="J1136" s="1" t="s">
        <v>14</v>
      </c>
    </row>
    <row r="1137" spans="2:10" x14ac:dyDescent="0.3">
      <c r="B1137" s="1" t="s">
        <v>1501</v>
      </c>
      <c r="C1137" s="1" t="s">
        <v>41</v>
      </c>
      <c r="D1137" s="2" t="s">
        <v>532</v>
      </c>
      <c r="E1137" s="2" t="s">
        <v>532</v>
      </c>
      <c r="F1137" s="2" t="s">
        <v>11</v>
      </c>
      <c r="G1137" s="3" t="s">
        <v>873</v>
      </c>
      <c r="H1137" s="1" t="s">
        <v>12</v>
      </c>
      <c r="I1137" s="1" t="s">
        <v>13</v>
      </c>
      <c r="J1137" s="1" t="s">
        <v>14</v>
      </c>
    </row>
    <row r="1138" spans="2:10" x14ac:dyDescent="0.3">
      <c r="B1138" s="1" t="s">
        <v>1501</v>
      </c>
      <c r="C1138" s="1" t="s">
        <v>39</v>
      </c>
      <c r="D1138" s="2" t="s">
        <v>902</v>
      </c>
      <c r="E1138" s="2" t="s">
        <v>902</v>
      </c>
      <c r="F1138" s="2" t="s">
        <v>11</v>
      </c>
      <c r="G1138" s="3" t="s">
        <v>1513</v>
      </c>
      <c r="H1138" s="1" t="s">
        <v>12</v>
      </c>
      <c r="I1138" s="1" t="s">
        <v>47</v>
      </c>
      <c r="J1138" s="1" t="s">
        <v>14</v>
      </c>
    </row>
    <row r="1139" spans="2:10" x14ac:dyDescent="0.3">
      <c r="B1139" s="1" t="s">
        <v>1501</v>
      </c>
      <c r="C1139" s="1" t="s">
        <v>15</v>
      </c>
      <c r="D1139" s="2" t="s">
        <v>532</v>
      </c>
      <c r="E1139" s="2" t="s">
        <v>532</v>
      </c>
      <c r="F1139" s="2" t="s">
        <v>11</v>
      </c>
      <c r="G1139" s="3" t="s">
        <v>1514</v>
      </c>
      <c r="H1139" s="1" t="s">
        <v>12</v>
      </c>
      <c r="I1139" s="1" t="s">
        <v>80</v>
      </c>
      <c r="J1139" s="1" t="s">
        <v>14</v>
      </c>
    </row>
    <row r="1140" spans="2:10" x14ac:dyDescent="0.3">
      <c r="B1140" s="1" t="s">
        <v>1501</v>
      </c>
      <c r="C1140" s="1" t="s">
        <v>36</v>
      </c>
      <c r="D1140" s="2" t="s">
        <v>532</v>
      </c>
      <c r="E1140" s="2" t="s">
        <v>532</v>
      </c>
      <c r="F1140" s="2" t="s">
        <v>11</v>
      </c>
      <c r="G1140" s="3" t="s">
        <v>1138</v>
      </c>
      <c r="H1140" s="1" t="s">
        <v>12</v>
      </c>
      <c r="I1140" s="1" t="s">
        <v>64</v>
      </c>
      <c r="J1140" s="1" t="s">
        <v>14</v>
      </c>
    </row>
    <row r="1141" spans="2:10" x14ac:dyDescent="0.3">
      <c r="B1141" s="1" t="s">
        <v>1501</v>
      </c>
      <c r="C1141" s="1" t="s">
        <v>26</v>
      </c>
      <c r="D1141" s="2" t="s">
        <v>1471</v>
      </c>
      <c r="E1141" s="2" t="s">
        <v>1471</v>
      </c>
      <c r="F1141" s="2" t="s">
        <v>11</v>
      </c>
      <c r="G1141" s="3" t="s">
        <v>1367</v>
      </c>
      <c r="H1141" s="1" t="s">
        <v>12</v>
      </c>
      <c r="I1141" s="1" t="s">
        <v>22</v>
      </c>
      <c r="J1141" s="1" t="s">
        <v>14</v>
      </c>
    </row>
    <row r="1142" spans="2:10" x14ac:dyDescent="0.3">
      <c r="B1142" s="1" t="s">
        <v>1501</v>
      </c>
      <c r="C1142" s="1" t="s">
        <v>19</v>
      </c>
      <c r="D1142" s="2" t="s">
        <v>532</v>
      </c>
      <c r="E1142" s="2" t="s">
        <v>532</v>
      </c>
      <c r="F1142" s="2" t="s">
        <v>11</v>
      </c>
      <c r="G1142" s="3" t="s">
        <v>1515</v>
      </c>
      <c r="H1142" s="1" t="s">
        <v>12</v>
      </c>
      <c r="I1142" s="1" t="s">
        <v>50</v>
      </c>
      <c r="J1142" s="1" t="s">
        <v>14</v>
      </c>
    </row>
    <row r="1143" spans="2:10" x14ac:dyDescent="0.3">
      <c r="B1143" s="1" t="s">
        <v>1501</v>
      </c>
      <c r="C1143" s="1" t="s">
        <v>33</v>
      </c>
      <c r="D1143" s="2" t="s">
        <v>902</v>
      </c>
      <c r="E1143" s="2" t="s">
        <v>902</v>
      </c>
      <c r="F1143" s="2" t="s">
        <v>11</v>
      </c>
      <c r="G1143" s="3" t="s">
        <v>1516</v>
      </c>
      <c r="H1143" s="1" t="s">
        <v>12</v>
      </c>
      <c r="I1143" s="1" t="s">
        <v>51</v>
      </c>
      <c r="J1143" s="1" t="s">
        <v>14</v>
      </c>
    </row>
    <row r="1144" spans="2:10" x14ac:dyDescent="0.3">
      <c r="B1144" s="1" t="s">
        <v>1501</v>
      </c>
      <c r="C1144" s="1" t="s">
        <v>45</v>
      </c>
      <c r="D1144" s="2" t="s">
        <v>491</v>
      </c>
      <c r="E1144" s="2" t="s">
        <v>491</v>
      </c>
      <c r="F1144" s="2" t="s">
        <v>11</v>
      </c>
      <c r="G1144" s="3" t="s">
        <v>643</v>
      </c>
      <c r="H1144" s="1" t="s">
        <v>12</v>
      </c>
      <c r="I1144" s="1" t="s">
        <v>29</v>
      </c>
      <c r="J1144" s="1" t="s">
        <v>14</v>
      </c>
    </row>
    <row r="1145" spans="2:10" x14ac:dyDescent="0.3">
      <c r="B1145" s="1" t="s">
        <v>1501</v>
      </c>
      <c r="C1145" s="1" t="s">
        <v>21</v>
      </c>
      <c r="D1145" s="2" t="s">
        <v>491</v>
      </c>
      <c r="E1145" s="2" t="s">
        <v>491</v>
      </c>
      <c r="F1145" s="2" t="s">
        <v>11</v>
      </c>
      <c r="G1145" s="3" t="s">
        <v>1517</v>
      </c>
      <c r="H1145" s="1" t="s">
        <v>12</v>
      </c>
      <c r="I1145" s="1" t="s">
        <v>50</v>
      </c>
      <c r="J1145" s="1" t="s">
        <v>14</v>
      </c>
    </row>
    <row r="1146" spans="2:10" x14ac:dyDescent="0.3">
      <c r="B1146" s="1" t="s">
        <v>1518</v>
      </c>
      <c r="C1146" s="1" t="s">
        <v>19</v>
      </c>
      <c r="D1146" s="2" t="s">
        <v>268</v>
      </c>
      <c r="E1146" s="2" t="s">
        <v>268</v>
      </c>
      <c r="F1146" s="2" t="s">
        <v>11</v>
      </c>
      <c r="G1146" s="3" t="s">
        <v>1519</v>
      </c>
      <c r="H1146" s="1" t="s">
        <v>12</v>
      </c>
      <c r="I1146" s="1" t="s">
        <v>89</v>
      </c>
      <c r="J1146" s="1" t="s">
        <v>14</v>
      </c>
    </row>
    <row r="1147" spans="2:10" x14ac:dyDescent="0.3">
      <c r="B1147" s="1" t="s">
        <v>1518</v>
      </c>
      <c r="C1147" s="1" t="s">
        <v>23</v>
      </c>
      <c r="D1147" s="2" t="s">
        <v>458</v>
      </c>
      <c r="E1147" s="2" t="s">
        <v>458</v>
      </c>
      <c r="F1147" s="2" t="s">
        <v>11</v>
      </c>
      <c r="G1147" s="3" t="s">
        <v>1520</v>
      </c>
      <c r="H1147" s="1" t="s">
        <v>12</v>
      </c>
      <c r="I1147" s="1" t="s">
        <v>32</v>
      </c>
      <c r="J1147" s="1" t="s">
        <v>14</v>
      </c>
    </row>
    <row r="1148" spans="2:10" x14ac:dyDescent="0.3">
      <c r="B1148" s="1" t="s">
        <v>1518</v>
      </c>
      <c r="C1148" s="1" t="s">
        <v>26</v>
      </c>
      <c r="D1148" s="2" t="s">
        <v>439</v>
      </c>
      <c r="E1148" s="2" t="s">
        <v>439</v>
      </c>
      <c r="F1148" s="2" t="s">
        <v>11</v>
      </c>
      <c r="G1148" s="3" t="s">
        <v>1521</v>
      </c>
      <c r="H1148" s="1" t="s">
        <v>12</v>
      </c>
      <c r="I1148" s="1" t="s">
        <v>64</v>
      </c>
      <c r="J1148" s="1" t="s">
        <v>14</v>
      </c>
    </row>
    <row r="1149" spans="2:10" x14ac:dyDescent="0.3">
      <c r="B1149" s="1" t="s">
        <v>1518</v>
      </c>
      <c r="C1149" s="1" t="s">
        <v>36</v>
      </c>
      <c r="D1149" s="2" t="s">
        <v>877</v>
      </c>
      <c r="E1149" s="2" t="s">
        <v>877</v>
      </c>
      <c r="F1149" s="2" t="s">
        <v>11</v>
      </c>
      <c r="G1149" s="3" t="s">
        <v>1522</v>
      </c>
      <c r="H1149" s="1" t="s">
        <v>12</v>
      </c>
      <c r="I1149" s="1" t="s">
        <v>58</v>
      </c>
      <c r="J1149" s="1" t="s">
        <v>52</v>
      </c>
    </row>
    <row r="1150" spans="2:10" x14ac:dyDescent="0.3">
      <c r="B1150" s="1" t="s">
        <v>1518</v>
      </c>
      <c r="C1150" s="1" t="s">
        <v>45</v>
      </c>
      <c r="D1150" s="2" t="s">
        <v>268</v>
      </c>
      <c r="E1150" s="2" t="s">
        <v>268</v>
      </c>
      <c r="F1150" s="2" t="s">
        <v>11</v>
      </c>
      <c r="G1150" s="3" t="s">
        <v>1523</v>
      </c>
      <c r="H1150" s="1" t="s">
        <v>12</v>
      </c>
      <c r="I1150" s="1" t="s">
        <v>42</v>
      </c>
      <c r="J1150" s="1" t="s">
        <v>14</v>
      </c>
    </row>
    <row r="1151" spans="2:10" x14ac:dyDescent="0.3">
      <c r="B1151" s="1" t="s">
        <v>1518</v>
      </c>
      <c r="C1151" s="1" t="s">
        <v>39</v>
      </c>
      <c r="D1151" s="2" t="s">
        <v>195</v>
      </c>
      <c r="E1151" s="2" t="s">
        <v>195</v>
      </c>
      <c r="F1151" s="2" t="s">
        <v>11</v>
      </c>
      <c r="G1151" s="3" t="s">
        <v>1524</v>
      </c>
      <c r="H1151" s="1" t="s">
        <v>12</v>
      </c>
      <c r="I1151" s="1" t="s">
        <v>127</v>
      </c>
      <c r="J1151" s="1" t="s">
        <v>14</v>
      </c>
    </row>
    <row r="1152" spans="2:10" x14ac:dyDescent="0.3">
      <c r="B1152" s="1" t="s">
        <v>1518</v>
      </c>
      <c r="C1152" s="1" t="s">
        <v>17</v>
      </c>
      <c r="D1152" s="2" t="s">
        <v>240</v>
      </c>
      <c r="E1152" s="2" t="s">
        <v>240</v>
      </c>
      <c r="F1152" s="2" t="s">
        <v>11</v>
      </c>
      <c r="G1152" s="3" t="s">
        <v>225</v>
      </c>
      <c r="H1152" s="1" t="s">
        <v>12</v>
      </c>
      <c r="I1152" s="1" t="s">
        <v>27</v>
      </c>
      <c r="J1152" s="1" t="s">
        <v>14</v>
      </c>
    </row>
    <row r="1153" spans="2:10" x14ac:dyDescent="0.3">
      <c r="B1153" s="1" t="s">
        <v>1518</v>
      </c>
      <c r="C1153" s="1" t="s">
        <v>21</v>
      </c>
      <c r="D1153" s="2" t="s">
        <v>1525</v>
      </c>
      <c r="E1153" s="2" t="s">
        <v>1526</v>
      </c>
      <c r="F1153" s="2" t="s">
        <v>11</v>
      </c>
      <c r="G1153" s="3" t="s">
        <v>1527</v>
      </c>
      <c r="H1153" s="1" t="s">
        <v>12</v>
      </c>
      <c r="I1153" s="1" t="s">
        <v>63</v>
      </c>
      <c r="J1153" s="1" t="s">
        <v>52</v>
      </c>
    </row>
    <row r="1154" spans="2:10" x14ac:dyDescent="0.3">
      <c r="B1154" s="1" t="s">
        <v>1518</v>
      </c>
      <c r="C1154" s="1" t="s">
        <v>33</v>
      </c>
      <c r="D1154" s="2" t="s">
        <v>777</v>
      </c>
      <c r="E1154" s="2" t="s">
        <v>777</v>
      </c>
      <c r="F1154" s="2" t="s">
        <v>11</v>
      </c>
      <c r="G1154" s="3" t="s">
        <v>1528</v>
      </c>
      <c r="H1154" s="1" t="s">
        <v>12</v>
      </c>
      <c r="I1154" s="1" t="s">
        <v>79</v>
      </c>
      <c r="J1154" s="1" t="s">
        <v>14</v>
      </c>
    </row>
    <row r="1155" spans="2:10" x14ac:dyDescent="0.3">
      <c r="B1155" s="1" t="s">
        <v>1518</v>
      </c>
      <c r="C1155" s="1" t="s">
        <v>38</v>
      </c>
      <c r="D1155" s="2" t="s">
        <v>268</v>
      </c>
      <c r="E1155" s="2" t="s">
        <v>268</v>
      </c>
      <c r="F1155" s="2" t="s">
        <v>11</v>
      </c>
      <c r="G1155" s="3" t="s">
        <v>1529</v>
      </c>
      <c r="H1155" s="1" t="s">
        <v>12</v>
      </c>
      <c r="I1155" s="1" t="s">
        <v>79</v>
      </c>
      <c r="J1155" s="1" t="s">
        <v>14</v>
      </c>
    </row>
    <row r="1156" spans="2:10" x14ac:dyDescent="0.3">
      <c r="B1156" s="1" t="s">
        <v>1518</v>
      </c>
      <c r="C1156" s="1" t="s">
        <v>28</v>
      </c>
      <c r="D1156" s="2" t="s">
        <v>248</v>
      </c>
      <c r="E1156" s="2" t="s">
        <v>248</v>
      </c>
      <c r="F1156" s="2" t="s">
        <v>11</v>
      </c>
      <c r="G1156" s="3" t="s">
        <v>1530</v>
      </c>
      <c r="H1156" s="1" t="s">
        <v>12</v>
      </c>
      <c r="I1156" s="1" t="s">
        <v>65</v>
      </c>
      <c r="J1156" s="1" t="s">
        <v>14</v>
      </c>
    </row>
    <row r="1157" spans="2:10" x14ac:dyDescent="0.3">
      <c r="B1157" s="1" t="s">
        <v>1518</v>
      </c>
      <c r="C1157" s="1" t="s">
        <v>24</v>
      </c>
      <c r="D1157" s="2" t="s">
        <v>693</v>
      </c>
      <c r="E1157" s="2" t="s">
        <v>693</v>
      </c>
      <c r="F1157" s="2" t="s">
        <v>11</v>
      </c>
      <c r="G1157" s="3" t="s">
        <v>589</v>
      </c>
      <c r="H1157" s="1" t="s">
        <v>12</v>
      </c>
      <c r="I1157" s="1" t="s">
        <v>63</v>
      </c>
      <c r="J1157" s="1" t="s">
        <v>14</v>
      </c>
    </row>
    <row r="1158" spans="2:10" x14ac:dyDescent="0.3">
      <c r="B1158" s="1" t="s">
        <v>1518</v>
      </c>
      <c r="C1158" s="1" t="s">
        <v>10</v>
      </c>
      <c r="D1158" s="2" t="s">
        <v>240</v>
      </c>
      <c r="E1158" s="2" t="s">
        <v>240</v>
      </c>
      <c r="F1158" s="2" t="s">
        <v>11</v>
      </c>
      <c r="G1158" s="3" t="s">
        <v>1531</v>
      </c>
      <c r="H1158" s="1" t="s">
        <v>12</v>
      </c>
      <c r="I1158" s="1" t="s">
        <v>128</v>
      </c>
      <c r="J1158" s="1" t="s">
        <v>14</v>
      </c>
    </row>
    <row r="1159" spans="2:10" x14ac:dyDescent="0.3">
      <c r="B1159" s="1" t="s">
        <v>1518</v>
      </c>
      <c r="C1159" s="1" t="s">
        <v>31</v>
      </c>
      <c r="D1159" s="2" t="s">
        <v>268</v>
      </c>
      <c r="E1159" s="2" t="s">
        <v>268</v>
      </c>
      <c r="F1159" s="2" t="s">
        <v>11</v>
      </c>
      <c r="G1159" s="3" t="s">
        <v>1532</v>
      </c>
      <c r="H1159" s="1" t="s">
        <v>12</v>
      </c>
      <c r="I1159" s="1" t="s">
        <v>79</v>
      </c>
      <c r="J1159" s="1" t="s">
        <v>14</v>
      </c>
    </row>
    <row r="1160" spans="2:10" x14ac:dyDescent="0.3">
      <c r="B1160" s="1" t="s">
        <v>1518</v>
      </c>
      <c r="C1160" s="1" t="s">
        <v>35</v>
      </c>
      <c r="D1160" s="2" t="s">
        <v>696</v>
      </c>
      <c r="E1160" s="2" t="s">
        <v>696</v>
      </c>
      <c r="F1160" s="2" t="s">
        <v>11</v>
      </c>
      <c r="G1160" s="3" t="s">
        <v>1533</v>
      </c>
      <c r="H1160" s="1" t="s">
        <v>12</v>
      </c>
      <c r="I1160" s="1" t="s">
        <v>16</v>
      </c>
      <c r="J1160" s="1" t="s">
        <v>14</v>
      </c>
    </row>
    <row r="1161" spans="2:10" x14ac:dyDescent="0.3">
      <c r="B1161" s="1" t="s">
        <v>1518</v>
      </c>
      <c r="C1161" s="1" t="s">
        <v>43</v>
      </c>
      <c r="D1161" s="2" t="s">
        <v>268</v>
      </c>
      <c r="E1161" s="2" t="s">
        <v>268</v>
      </c>
      <c r="F1161" s="2" t="s">
        <v>11</v>
      </c>
      <c r="G1161" s="3" t="s">
        <v>1534</v>
      </c>
      <c r="H1161" s="1" t="s">
        <v>12</v>
      </c>
      <c r="I1161" s="1" t="s">
        <v>66</v>
      </c>
      <c r="J1161" s="1" t="s">
        <v>14</v>
      </c>
    </row>
    <row r="1162" spans="2:10" x14ac:dyDescent="0.3">
      <c r="B1162" s="1" t="s">
        <v>1518</v>
      </c>
      <c r="C1162" s="1" t="s">
        <v>15</v>
      </c>
      <c r="D1162" s="2" t="s">
        <v>777</v>
      </c>
      <c r="E1162" s="2" t="s">
        <v>777</v>
      </c>
      <c r="F1162" s="2" t="s">
        <v>11</v>
      </c>
      <c r="G1162" s="3" t="s">
        <v>662</v>
      </c>
      <c r="H1162" s="1" t="s">
        <v>12</v>
      </c>
      <c r="I1162" s="1" t="s">
        <v>50</v>
      </c>
      <c r="J1162" s="1" t="s">
        <v>14</v>
      </c>
    </row>
    <row r="1163" spans="2:10" x14ac:dyDescent="0.3">
      <c r="B1163" s="1" t="s">
        <v>1518</v>
      </c>
      <c r="C1163" s="1" t="s">
        <v>29</v>
      </c>
      <c r="D1163" s="2" t="s">
        <v>387</v>
      </c>
      <c r="E1163" s="2" t="s">
        <v>387</v>
      </c>
      <c r="F1163" s="2" t="s">
        <v>11</v>
      </c>
      <c r="G1163" s="3" t="s">
        <v>1535</v>
      </c>
      <c r="H1163" s="1" t="s">
        <v>12</v>
      </c>
      <c r="I1163" s="1" t="s">
        <v>48</v>
      </c>
      <c r="J1163" s="1" t="s">
        <v>14</v>
      </c>
    </row>
    <row r="1164" spans="2:10" x14ac:dyDescent="0.3">
      <c r="B1164" s="1" t="s">
        <v>1518</v>
      </c>
      <c r="C1164" s="1" t="s">
        <v>41</v>
      </c>
      <c r="D1164" s="2" t="s">
        <v>256</v>
      </c>
      <c r="E1164" s="2" t="s">
        <v>256</v>
      </c>
      <c r="F1164" s="2" t="s">
        <v>11</v>
      </c>
      <c r="G1164" s="3" t="s">
        <v>1536</v>
      </c>
      <c r="H1164" s="1" t="s">
        <v>12</v>
      </c>
      <c r="I1164" s="1" t="s">
        <v>30</v>
      </c>
      <c r="J1164" s="1" t="s">
        <v>14</v>
      </c>
    </row>
    <row r="1165" spans="2:10" x14ac:dyDescent="0.3">
      <c r="B1165" s="1" t="s">
        <v>1518</v>
      </c>
      <c r="C1165" s="1" t="s">
        <v>46</v>
      </c>
      <c r="D1165" s="2" t="s">
        <v>387</v>
      </c>
      <c r="E1165" s="2" t="s">
        <v>387</v>
      </c>
      <c r="F1165" s="2" t="s">
        <v>11</v>
      </c>
      <c r="G1165" s="3" t="s">
        <v>1537</v>
      </c>
      <c r="H1165" s="1" t="s">
        <v>12</v>
      </c>
      <c r="I1165" s="1" t="s">
        <v>49</v>
      </c>
      <c r="J1165" s="1" t="s">
        <v>14</v>
      </c>
    </row>
    <row r="1166" spans="2:10" x14ac:dyDescent="0.3">
      <c r="B1166" s="1" t="s">
        <v>1538</v>
      </c>
      <c r="C1166" s="1" t="s">
        <v>33</v>
      </c>
      <c r="D1166" s="2" t="s">
        <v>836</v>
      </c>
      <c r="E1166" s="2" t="s">
        <v>836</v>
      </c>
      <c r="F1166" s="2" t="s">
        <v>11</v>
      </c>
      <c r="G1166" s="3" t="s">
        <v>1539</v>
      </c>
      <c r="H1166" s="1" t="s">
        <v>12</v>
      </c>
      <c r="I1166" s="1" t="s">
        <v>44</v>
      </c>
      <c r="J1166" s="1" t="s">
        <v>14</v>
      </c>
    </row>
    <row r="1167" spans="2:10" x14ac:dyDescent="0.3">
      <c r="B1167" s="1" t="s">
        <v>1538</v>
      </c>
      <c r="C1167" s="1" t="s">
        <v>43</v>
      </c>
      <c r="D1167" s="2" t="s">
        <v>836</v>
      </c>
      <c r="E1167" s="2" t="s">
        <v>836</v>
      </c>
      <c r="F1167" s="2" t="s">
        <v>11</v>
      </c>
      <c r="G1167" s="3" t="s">
        <v>680</v>
      </c>
      <c r="H1167" s="1" t="s">
        <v>12</v>
      </c>
      <c r="I1167" s="1" t="s">
        <v>34</v>
      </c>
      <c r="J1167" s="1" t="s">
        <v>14</v>
      </c>
    </row>
    <row r="1168" spans="2:10" x14ac:dyDescent="0.3">
      <c r="B1168" s="1" t="s">
        <v>1538</v>
      </c>
      <c r="C1168" s="1" t="s">
        <v>23</v>
      </c>
      <c r="D1168" s="2" t="s">
        <v>529</v>
      </c>
      <c r="E1168" s="2" t="s">
        <v>529</v>
      </c>
      <c r="F1168" s="2" t="s">
        <v>11</v>
      </c>
      <c r="G1168" s="3" t="s">
        <v>1001</v>
      </c>
      <c r="H1168" s="1" t="s">
        <v>12</v>
      </c>
      <c r="I1168" s="1" t="s">
        <v>27</v>
      </c>
      <c r="J1168" s="1" t="s">
        <v>14</v>
      </c>
    </row>
    <row r="1169" spans="2:10" x14ac:dyDescent="0.3">
      <c r="B1169" s="1" t="s">
        <v>1538</v>
      </c>
      <c r="C1169" s="1" t="s">
        <v>26</v>
      </c>
      <c r="D1169" s="2" t="s">
        <v>529</v>
      </c>
      <c r="E1169" s="2" t="s">
        <v>529</v>
      </c>
      <c r="F1169" s="2" t="s">
        <v>11</v>
      </c>
      <c r="G1169" s="3" t="s">
        <v>1540</v>
      </c>
      <c r="H1169" s="1" t="s">
        <v>12</v>
      </c>
      <c r="I1169" s="1" t="s">
        <v>104</v>
      </c>
      <c r="J1169" s="1" t="s">
        <v>14</v>
      </c>
    </row>
    <row r="1170" spans="2:10" x14ac:dyDescent="0.3">
      <c r="B1170" s="1" t="s">
        <v>1538</v>
      </c>
      <c r="C1170" s="1" t="s">
        <v>10</v>
      </c>
      <c r="D1170" s="2" t="s">
        <v>314</v>
      </c>
      <c r="E1170" s="2" t="s">
        <v>314</v>
      </c>
      <c r="F1170" s="2" t="s">
        <v>11</v>
      </c>
      <c r="G1170" s="3" t="s">
        <v>1541</v>
      </c>
      <c r="H1170" s="1" t="s">
        <v>12</v>
      </c>
      <c r="I1170" s="1" t="s">
        <v>64</v>
      </c>
      <c r="J1170" s="1" t="s">
        <v>14</v>
      </c>
    </row>
    <row r="1171" spans="2:10" x14ac:dyDescent="0.3">
      <c r="B1171" s="1" t="s">
        <v>1538</v>
      </c>
      <c r="C1171" s="1" t="s">
        <v>31</v>
      </c>
      <c r="D1171" s="2" t="s">
        <v>251</v>
      </c>
      <c r="E1171" s="2" t="s">
        <v>251</v>
      </c>
      <c r="F1171" s="2" t="s">
        <v>11</v>
      </c>
      <c r="G1171" s="3" t="s">
        <v>1542</v>
      </c>
      <c r="H1171" s="1" t="s">
        <v>12</v>
      </c>
      <c r="I1171" s="1" t="s">
        <v>42</v>
      </c>
      <c r="J1171" s="1" t="s">
        <v>14</v>
      </c>
    </row>
    <row r="1172" spans="2:10" x14ac:dyDescent="0.3">
      <c r="B1172" s="1" t="s">
        <v>1538</v>
      </c>
      <c r="C1172" s="1" t="s">
        <v>19</v>
      </c>
      <c r="D1172" s="2" t="s">
        <v>838</v>
      </c>
      <c r="E1172" s="2" t="s">
        <v>838</v>
      </c>
      <c r="F1172" s="2" t="s">
        <v>11</v>
      </c>
      <c r="G1172" s="3" t="s">
        <v>1479</v>
      </c>
      <c r="H1172" s="1" t="s">
        <v>12</v>
      </c>
      <c r="I1172" s="1" t="s">
        <v>60</v>
      </c>
      <c r="J1172" s="1" t="s">
        <v>14</v>
      </c>
    </row>
    <row r="1173" spans="2:10" x14ac:dyDescent="0.3">
      <c r="B1173" s="1" t="s">
        <v>1538</v>
      </c>
      <c r="C1173" s="1" t="s">
        <v>45</v>
      </c>
      <c r="D1173" s="2" t="s">
        <v>836</v>
      </c>
      <c r="E1173" s="2" t="s">
        <v>836</v>
      </c>
      <c r="F1173" s="2" t="s">
        <v>11</v>
      </c>
      <c r="G1173" s="3" t="s">
        <v>1543</v>
      </c>
      <c r="H1173" s="1" t="s">
        <v>12</v>
      </c>
      <c r="I1173" s="1" t="s">
        <v>50</v>
      </c>
      <c r="J1173" s="1" t="s">
        <v>14</v>
      </c>
    </row>
    <row r="1174" spans="2:10" x14ac:dyDescent="0.3">
      <c r="B1174" s="1" t="s">
        <v>1538</v>
      </c>
      <c r="C1174" s="1" t="s">
        <v>38</v>
      </c>
      <c r="D1174" s="2" t="s">
        <v>838</v>
      </c>
      <c r="E1174" s="2" t="s">
        <v>838</v>
      </c>
      <c r="F1174" s="2" t="s">
        <v>11</v>
      </c>
      <c r="G1174" s="3" t="s">
        <v>1016</v>
      </c>
      <c r="H1174" s="1" t="s">
        <v>12</v>
      </c>
      <c r="I1174" s="1" t="s">
        <v>18</v>
      </c>
      <c r="J1174" s="1" t="s">
        <v>14</v>
      </c>
    </row>
    <row r="1175" spans="2:10" x14ac:dyDescent="0.3">
      <c r="B1175" s="1" t="s">
        <v>1538</v>
      </c>
      <c r="C1175" s="1" t="s">
        <v>46</v>
      </c>
      <c r="D1175" s="2" t="s">
        <v>836</v>
      </c>
      <c r="E1175" s="2" t="s">
        <v>836</v>
      </c>
      <c r="F1175" s="2" t="s">
        <v>11</v>
      </c>
      <c r="G1175" s="3" t="s">
        <v>1544</v>
      </c>
      <c r="H1175" s="1" t="s">
        <v>12</v>
      </c>
      <c r="I1175" s="1" t="s">
        <v>16</v>
      </c>
      <c r="J1175" s="1" t="s">
        <v>14</v>
      </c>
    </row>
    <row r="1176" spans="2:10" x14ac:dyDescent="0.3">
      <c r="B1176" s="1" t="s">
        <v>1538</v>
      </c>
      <c r="C1176" s="1" t="s">
        <v>17</v>
      </c>
      <c r="D1176" s="2" t="s">
        <v>529</v>
      </c>
      <c r="E1176" s="2" t="s">
        <v>529</v>
      </c>
      <c r="F1176" s="2" t="s">
        <v>11</v>
      </c>
      <c r="G1176" s="3" t="s">
        <v>1545</v>
      </c>
      <c r="H1176" s="1" t="s">
        <v>12</v>
      </c>
      <c r="I1176" s="1" t="s">
        <v>69</v>
      </c>
      <c r="J1176" s="1" t="s">
        <v>14</v>
      </c>
    </row>
    <row r="1177" spans="2:10" x14ac:dyDescent="0.3">
      <c r="B1177" s="1" t="s">
        <v>1538</v>
      </c>
      <c r="C1177" s="1" t="s">
        <v>35</v>
      </c>
      <c r="D1177" s="2" t="s">
        <v>475</v>
      </c>
      <c r="E1177" s="2" t="s">
        <v>475</v>
      </c>
      <c r="F1177" s="2" t="s">
        <v>11</v>
      </c>
      <c r="G1177" s="3" t="s">
        <v>1546</v>
      </c>
      <c r="H1177" s="1" t="s">
        <v>12</v>
      </c>
      <c r="I1177" s="1" t="s">
        <v>63</v>
      </c>
      <c r="J1177" s="1" t="s">
        <v>14</v>
      </c>
    </row>
    <row r="1178" spans="2:10" x14ac:dyDescent="0.3">
      <c r="B1178" s="1" t="s">
        <v>1538</v>
      </c>
      <c r="C1178" s="1" t="s">
        <v>15</v>
      </c>
      <c r="D1178" s="2" t="s">
        <v>766</v>
      </c>
      <c r="E1178" s="2" t="s">
        <v>766</v>
      </c>
      <c r="F1178" s="2" t="s">
        <v>11</v>
      </c>
      <c r="G1178" s="3" t="s">
        <v>1547</v>
      </c>
      <c r="H1178" s="1" t="s">
        <v>12</v>
      </c>
      <c r="I1178" s="1" t="s">
        <v>50</v>
      </c>
      <c r="J1178" s="1" t="s">
        <v>14</v>
      </c>
    </row>
    <row r="1179" spans="2:10" x14ac:dyDescent="0.3">
      <c r="B1179" s="1" t="s">
        <v>1538</v>
      </c>
      <c r="C1179" s="1" t="s">
        <v>41</v>
      </c>
      <c r="D1179" s="2" t="s">
        <v>838</v>
      </c>
      <c r="E1179" s="2" t="s">
        <v>838</v>
      </c>
      <c r="F1179" s="2" t="s">
        <v>11</v>
      </c>
      <c r="G1179" s="3" t="s">
        <v>1548</v>
      </c>
      <c r="H1179" s="1" t="s">
        <v>12</v>
      </c>
      <c r="I1179" s="1" t="s">
        <v>76</v>
      </c>
      <c r="J1179" s="1" t="s">
        <v>14</v>
      </c>
    </row>
    <row r="1180" spans="2:10" x14ac:dyDescent="0.3">
      <c r="B1180" s="1" t="s">
        <v>1538</v>
      </c>
      <c r="C1180" s="1" t="s">
        <v>36</v>
      </c>
      <c r="D1180" s="2" t="s">
        <v>529</v>
      </c>
      <c r="E1180" s="2" t="s">
        <v>529</v>
      </c>
      <c r="F1180" s="2" t="s">
        <v>11</v>
      </c>
      <c r="G1180" s="3" t="s">
        <v>1549</v>
      </c>
      <c r="H1180" s="1" t="s">
        <v>12</v>
      </c>
      <c r="I1180" s="1" t="s">
        <v>18</v>
      </c>
      <c r="J1180" s="1" t="s">
        <v>14</v>
      </c>
    </row>
    <row r="1181" spans="2:10" x14ac:dyDescent="0.3">
      <c r="B1181" s="1" t="s">
        <v>1538</v>
      </c>
      <c r="C1181" s="1" t="s">
        <v>24</v>
      </c>
      <c r="D1181" s="2" t="s">
        <v>696</v>
      </c>
      <c r="E1181" s="2" t="s">
        <v>696</v>
      </c>
      <c r="F1181" s="2" t="s">
        <v>11</v>
      </c>
      <c r="G1181" s="3" t="s">
        <v>1550</v>
      </c>
      <c r="H1181" s="1" t="s">
        <v>12</v>
      </c>
      <c r="I1181" s="1" t="s">
        <v>64</v>
      </c>
      <c r="J1181" s="1" t="s">
        <v>14</v>
      </c>
    </row>
    <row r="1182" spans="2:10" x14ac:dyDescent="0.3">
      <c r="B1182" s="1" t="s">
        <v>1538</v>
      </c>
      <c r="C1182" s="1" t="s">
        <v>39</v>
      </c>
      <c r="D1182" s="2" t="s">
        <v>1489</v>
      </c>
      <c r="E1182" s="2" t="s">
        <v>251</v>
      </c>
      <c r="F1182" s="2" t="s">
        <v>11</v>
      </c>
      <c r="G1182" s="3" t="s">
        <v>1551</v>
      </c>
      <c r="H1182" s="1" t="s">
        <v>12</v>
      </c>
      <c r="I1182" s="1" t="s">
        <v>15</v>
      </c>
      <c r="J1182" s="1" t="s">
        <v>52</v>
      </c>
    </row>
    <row r="1183" spans="2:10" x14ac:dyDescent="0.3">
      <c r="B1183" s="1" t="s">
        <v>1538</v>
      </c>
      <c r="C1183" s="1" t="s">
        <v>28</v>
      </c>
      <c r="D1183" s="2" t="s">
        <v>448</v>
      </c>
      <c r="E1183" s="2" t="s">
        <v>448</v>
      </c>
      <c r="F1183" s="2" t="s">
        <v>11</v>
      </c>
      <c r="G1183" s="3" t="s">
        <v>1552</v>
      </c>
      <c r="H1183" s="1" t="s">
        <v>12</v>
      </c>
      <c r="I1183" s="1" t="s">
        <v>62</v>
      </c>
      <c r="J1183" s="1" t="s">
        <v>14</v>
      </c>
    </row>
    <row r="1184" spans="2:10" x14ac:dyDescent="0.3">
      <c r="B1184" s="1" t="s">
        <v>1538</v>
      </c>
      <c r="C1184" s="1" t="s">
        <v>21</v>
      </c>
      <c r="D1184" s="2" t="s">
        <v>838</v>
      </c>
      <c r="E1184" s="2" t="s">
        <v>838</v>
      </c>
      <c r="F1184" s="2" t="s">
        <v>11</v>
      </c>
      <c r="G1184" s="3" t="s">
        <v>1553</v>
      </c>
      <c r="H1184" s="1" t="s">
        <v>12</v>
      </c>
      <c r="I1184" s="1" t="s">
        <v>58</v>
      </c>
      <c r="J1184" s="1" t="s">
        <v>14</v>
      </c>
    </row>
    <row r="1185" spans="2:10" x14ac:dyDescent="0.3">
      <c r="B1185" s="1" t="s">
        <v>1538</v>
      </c>
      <c r="C1185" s="1" t="s">
        <v>29</v>
      </c>
      <c r="D1185" s="2" t="s">
        <v>836</v>
      </c>
      <c r="E1185" s="2" t="s">
        <v>836</v>
      </c>
      <c r="F1185" s="2" t="s">
        <v>11</v>
      </c>
      <c r="G1185" s="3" t="s">
        <v>1554</v>
      </c>
      <c r="H1185" s="1" t="s">
        <v>12</v>
      </c>
      <c r="I1185" s="1" t="s">
        <v>44</v>
      </c>
      <c r="J1185" s="1" t="s">
        <v>14</v>
      </c>
    </row>
    <row r="1186" spans="2:10" x14ac:dyDescent="0.3">
      <c r="B1186" s="1" t="s">
        <v>1555</v>
      </c>
      <c r="C1186" s="1" t="s">
        <v>31</v>
      </c>
      <c r="D1186" s="2" t="s">
        <v>842</v>
      </c>
      <c r="E1186" s="2" t="s">
        <v>842</v>
      </c>
      <c r="F1186" s="2" t="s">
        <v>11</v>
      </c>
      <c r="G1186" s="3" t="s">
        <v>1449</v>
      </c>
      <c r="H1186" s="1" t="s">
        <v>12</v>
      </c>
      <c r="I1186" s="1" t="s">
        <v>44</v>
      </c>
      <c r="J1186" s="1" t="s">
        <v>14</v>
      </c>
    </row>
    <row r="1187" spans="2:10" x14ac:dyDescent="0.3">
      <c r="B1187" s="1" t="s">
        <v>1555</v>
      </c>
      <c r="C1187" s="1" t="s">
        <v>38</v>
      </c>
      <c r="D1187" s="2" t="s">
        <v>214</v>
      </c>
      <c r="E1187" s="2" t="s">
        <v>214</v>
      </c>
      <c r="F1187" s="2" t="s">
        <v>11</v>
      </c>
      <c r="G1187" s="3" t="s">
        <v>1556</v>
      </c>
      <c r="H1187" s="1" t="s">
        <v>12</v>
      </c>
      <c r="I1187" s="1" t="s">
        <v>80</v>
      </c>
      <c r="J1187" s="1" t="s">
        <v>14</v>
      </c>
    </row>
    <row r="1188" spans="2:10" x14ac:dyDescent="0.3">
      <c r="B1188" s="1" t="s">
        <v>1555</v>
      </c>
      <c r="C1188" s="1" t="s">
        <v>15</v>
      </c>
      <c r="D1188" s="2" t="s">
        <v>532</v>
      </c>
      <c r="E1188" s="2" t="s">
        <v>532</v>
      </c>
      <c r="F1188" s="2" t="s">
        <v>11</v>
      </c>
      <c r="G1188" s="3" t="s">
        <v>388</v>
      </c>
      <c r="H1188" s="1" t="s">
        <v>12</v>
      </c>
      <c r="I1188" s="1" t="s">
        <v>30</v>
      </c>
      <c r="J1188" s="1" t="s">
        <v>14</v>
      </c>
    </row>
    <row r="1189" spans="2:10" x14ac:dyDescent="0.3">
      <c r="B1189" s="1" t="s">
        <v>1555</v>
      </c>
      <c r="C1189" s="1" t="s">
        <v>26</v>
      </c>
      <c r="D1189" s="2" t="s">
        <v>214</v>
      </c>
      <c r="E1189" s="2" t="s">
        <v>214</v>
      </c>
      <c r="F1189" s="2" t="s">
        <v>11</v>
      </c>
      <c r="G1189" s="3" t="s">
        <v>1557</v>
      </c>
      <c r="H1189" s="1" t="s">
        <v>12</v>
      </c>
      <c r="I1189" s="1" t="s">
        <v>50</v>
      </c>
      <c r="J1189" s="1" t="s">
        <v>14</v>
      </c>
    </row>
    <row r="1190" spans="2:10" x14ac:dyDescent="0.3">
      <c r="B1190" s="1" t="s">
        <v>1555</v>
      </c>
      <c r="C1190" s="1" t="s">
        <v>45</v>
      </c>
      <c r="D1190" s="2" t="s">
        <v>1335</v>
      </c>
      <c r="E1190" s="2" t="s">
        <v>578</v>
      </c>
      <c r="F1190" s="2" t="s">
        <v>11</v>
      </c>
      <c r="G1190" s="3" t="s">
        <v>1558</v>
      </c>
      <c r="H1190" s="1" t="s">
        <v>12</v>
      </c>
      <c r="I1190" s="1" t="s">
        <v>63</v>
      </c>
      <c r="J1190" s="1" t="s">
        <v>52</v>
      </c>
    </row>
    <row r="1191" spans="2:10" x14ac:dyDescent="0.3">
      <c r="B1191" s="1" t="s">
        <v>1555</v>
      </c>
      <c r="C1191" s="1" t="s">
        <v>46</v>
      </c>
      <c r="D1191" s="2" t="s">
        <v>390</v>
      </c>
      <c r="E1191" s="2" t="s">
        <v>390</v>
      </c>
      <c r="F1191" s="2" t="s">
        <v>11</v>
      </c>
      <c r="G1191" s="3" t="s">
        <v>1559</v>
      </c>
      <c r="H1191" s="1" t="s">
        <v>12</v>
      </c>
      <c r="I1191" s="1" t="s">
        <v>32</v>
      </c>
      <c r="J1191" s="1" t="s">
        <v>14</v>
      </c>
    </row>
    <row r="1192" spans="2:10" x14ac:dyDescent="0.3">
      <c r="B1192" s="1" t="s">
        <v>1555</v>
      </c>
      <c r="C1192" s="1" t="s">
        <v>36</v>
      </c>
      <c r="D1192" s="2" t="s">
        <v>491</v>
      </c>
      <c r="E1192" s="2" t="s">
        <v>491</v>
      </c>
      <c r="F1192" s="2" t="s">
        <v>11</v>
      </c>
      <c r="G1192" s="3" t="s">
        <v>1560</v>
      </c>
      <c r="H1192" s="1" t="s">
        <v>12</v>
      </c>
      <c r="I1192" s="1" t="s">
        <v>50</v>
      </c>
      <c r="J1192" s="1" t="s">
        <v>14</v>
      </c>
    </row>
    <row r="1193" spans="2:10" x14ac:dyDescent="0.3">
      <c r="B1193" s="1" t="s">
        <v>1555</v>
      </c>
      <c r="C1193" s="1" t="s">
        <v>19</v>
      </c>
      <c r="D1193" s="2" t="s">
        <v>387</v>
      </c>
      <c r="E1193" s="2" t="s">
        <v>387</v>
      </c>
      <c r="F1193" s="2" t="s">
        <v>11</v>
      </c>
      <c r="G1193" s="3" t="s">
        <v>1561</v>
      </c>
      <c r="H1193" s="1" t="s">
        <v>12</v>
      </c>
      <c r="I1193" s="1" t="s">
        <v>62</v>
      </c>
      <c r="J1193" s="1" t="s">
        <v>14</v>
      </c>
    </row>
    <row r="1194" spans="2:10" x14ac:dyDescent="0.3">
      <c r="B1194" s="1" t="s">
        <v>1555</v>
      </c>
      <c r="C1194" s="1" t="s">
        <v>28</v>
      </c>
      <c r="D1194" s="2" t="s">
        <v>693</v>
      </c>
      <c r="E1194" s="2" t="s">
        <v>693</v>
      </c>
      <c r="F1194" s="2" t="s">
        <v>11</v>
      </c>
      <c r="G1194" s="3" t="s">
        <v>1562</v>
      </c>
      <c r="H1194" s="1" t="s">
        <v>12</v>
      </c>
      <c r="I1194" s="1" t="s">
        <v>30</v>
      </c>
      <c r="J1194" s="1" t="s">
        <v>14</v>
      </c>
    </row>
    <row r="1195" spans="2:10" x14ac:dyDescent="0.3">
      <c r="B1195" s="1" t="s">
        <v>1555</v>
      </c>
      <c r="C1195" s="1" t="s">
        <v>24</v>
      </c>
      <c r="D1195" s="2" t="s">
        <v>254</v>
      </c>
      <c r="E1195" s="2" t="s">
        <v>254</v>
      </c>
      <c r="F1195" s="2" t="s">
        <v>11</v>
      </c>
      <c r="G1195" s="3" t="s">
        <v>1563</v>
      </c>
      <c r="H1195" s="1" t="s">
        <v>12</v>
      </c>
      <c r="I1195" s="1" t="s">
        <v>66</v>
      </c>
      <c r="J1195" s="1" t="s">
        <v>14</v>
      </c>
    </row>
    <row r="1196" spans="2:10" x14ac:dyDescent="0.3">
      <c r="B1196" s="1" t="s">
        <v>1555</v>
      </c>
      <c r="C1196" s="1" t="s">
        <v>17</v>
      </c>
      <c r="D1196" s="2" t="s">
        <v>387</v>
      </c>
      <c r="E1196" s="2" t="s">
        <v>387</v>
      </c>
      <c r="F1196" s="2" t="s">
        <v>11</v>
      </c>
      <c r="G1196" s="3" t="s">
        <v>120</v>
      </c>
      <c r="H1196" s="1" t="s">
        <v>12</v>
      </c>
      <c r="I1196" s="1" t="s">
        <v>119</v>
      </c>
      <c r="J1196" s="1" t="s">
        <v>14</v>
      </c>
    </row>
    <row r="1197" spans="2:10" x14ac:dyDescent="0.3">
      <c r="B1197" s="1" t="s">
        <v>1555</v>
      </c>
      <c r="C1197" s="1" t="s">
        <v>10</v>
      </c>
      <c r="D1197" s="2" t="s">
        <v>214</v>
      </c>
      <c r="E1197" s="2" t="s">
        <v>214</v>
      </c>
      <c r="F1197" s="2" t="s">
        <v>11</v>
      </c>
      <c r="G1197" s="3" t="s">
        <v>1564</v>
      </c>
      <c r="H1197" s="1" t="s">
        <v>12</v>
      </c>
      <c r="I1197" s="1" t="s">
        <v>42</v>
      </c>
      <c r="J1197" s="1" t="s">
        <v>14</v>
      </c>
    </row>
    <row r="1198" spans="2:10" x14ac:dyDescent="0.3">
      <c r="B1198" s="1" t="s">
        <v>1555</v>
      </c>
      <c r="C1198" s="1" t="s">
        <v>35</v>
      </c>
      <c r="D1198" s="2" t="s">
        <v>532</v>
      </c>
      <c r="E1198" s="2" t="s">
        <v>532</v>
      </c>
      <c r="F1198" s="2" t="s">
        <v>11</v>
      </c>
      <c r="G1198" s="3" t="s">
        <v>1565</v>
      </c>
      <c r="H1198" s="1" t="s">
        <v>12</v>
      </c>
      <c r="I1198" s="1" t="s">
        <v>49</v>
      </c>
      <c r="J1198" s="1" t="s">
        <v>14</v>
      </c>
    </row>
    <row r="1199" spans="2:10" x14ac:dyDescent="0.3">
      <c r="B1199" s="1" t="s">
        <v>1555</v>
      </c>
      <c r="C1199" s="1" t="s">
        <v>23</v>
      </c>
      <c r="D1199" s="2" t="s">
        <v>387</v>
      </c>
      <c r="E1199" s="2" t="s">
        <v>387</v>
      </c>
      <c r="F1199" s="2" t="s">
        <v>11</v>
      </c>
      <c r="G1199" s="3" t="s">
        <v>1566</v>
      </c>
      <c r="H1199" s="1" t="s">
        <v>12</v>
      </c>
      <c r="I1199" s="1" t="s">
        <v>58</v>
      </c>
      <c r="J1199" s="1" t="s">
        <v>14</v>
      </c>
    </row>
    <row r="1200" spans="2:10" x14ac:dyDescent="0.3">
      <c r="B1200" s="1" t="s">
        <v>1555</v>
      </c>
      <c r="C1200" s="1" t="s">
        <v>33</v>
      </c>
      <c r="D1200" s="2" t="s">
        <v>387</v>
      </c>
      <c r="E1200" s="2" t="s">
        <v>387</v>
      </c>
      <c r="F1200" s="2" t="s">
        <v>11</v>
      </c>
      <c r="G1200" s="3" t="s">
        <v>395</v>
      </c>
      <c r="H1200" s="1" t="s">
        <v>12</v>
      </c>
      <c r="I1200" s="1" t="s">
        <v>56</v>
      </c>
      <c r="J1200" s="1" t="s">
        <v>14</v>
      </c>
    </row>
    <row r="1201" spans="2:10" x14ac:dyDescent="0.3">
      <c r="B1201" s="1" t="s">
        <v>1555</v>
      </c>
      <c r="C1201" s="1" t="s">
        <v>21</v>
      </c>
      <c r="D1201" s="2" t="s">
        <v>214</v>
      </c>
      <c r="E1201" s="2" t="s">
        <v>214</v>
      </c>
      <c r="F1201" s="2" t="s">
        <v>11</v>
      </c>
      <c r="G1201" s="3" t="s">
        <v>1567</v>
      </c>
      <c r="H1201" s="1" t="s">
        <v>12</v>
      </c>
      <c r="I1201" s="1" t="s">
        <v>25</v>
      </c>
      <c r="J1201" s="1" t="s">
        <v>14</v>
      </c>
    </row>
    <row r="1202" spans="2:10" x14ac:dyDescent="0.3">
      <c r="B1202" s="1" t="s">
        <v>1555</v>
      </c>
      <c r="C1202" s="1" t="s">
        <v>39</v>
      </c>
      <c r="D1202" s="2" t="s">
        <v>1070</v>
      </c>
      <c r="E1202" s="2" t="s">
        <v>866</v>
      </c>
      <c r="F1202" s="2" t="s">
        <v>11</v>
      </c>
      <c r="G1202" s="3" t="s">
        <v>573</v>
      </c>
      <c r="H1202" s="1" t="s">
        <v>12</v>
      </c>
      <c r="I1202" s="1" t="s">
        <v>10</v>
      </c>
      <c r="J1202" s="1" t="s">
        <v>52</v>
      </c>
    </row>
    <row r="1203" spans="2:10" x14ac:dyDescent="0.3">
      <c r="B1203" s="1" t="s">
        <v>1555</v>
      </c>
      <c r="C1203" s="1" t="s">
        <v>41</v>
      </c>
      <c r="D1203" s="2" t="s">
        <v>214</v>
      </c>
      <c r="E1203" s="2" t="s">
        <v>214</v>
      </c>
      <c r="F1203" s="2" t="s">
        <v>11</v>
      </c>
      <c r="G1203" s="3" t="s">
        <v>794</v>
      </c>
      <c r="H1203" s="1" t="s">
        <v>12</v>
      </c>
      <c r="I1203" s="1" t="s">
        <v>49</v>
      </c>
      <c r="J1203" s="1" t="s">
        <v>14</v>
      </c>
    </row>
    <row r="1204" spans="2:10" x14ac:dyDescent="0.3">
      <c r="B1204" s="1" t="s">
        <v>1555</v>
      </c>
      <c r="C1204" s="1" t="s">
        <v>43</v>
      </c>
      <c r="D1204" s="2" t="s">
        <v>1456</v>
      </c>
      <c r="E1204" s="2" t="s">
        <v>1456</v>
      </c>
      <c r="F1204" s="2" t="s">
        <v>11</v>
      </c>
      <c r="G1204" s="3" t="s">
        <v>1568</v>
      </c>
      <c r="H1204" s="1" t="s">
        <v>12</v>
      </c>
      <c r="I1204" s="1" t="s">
        <v>32</v>
      </c>
      <c r="J1204" s="1" t="s">
        <v>14</v>
      </c>
    </row>
    <row r="1205" spans="2:10" x14ac:dyDescent="0.3">
      <c r="B1205" s="1" t="s">
        <v>1555</v>
      </c>
      <c r="C1205" s="1" t="s">
        <v>29</v>
      </c>
      <c r="D1205" s="2" t="s">
        <v>204</v>
      </c>
      <c r="E1205" s="2" t="s">
        <v>314</v>
      </c>
      <c r="F1205" s="2" t="s">
        <v>11</v>
      </c>
      <c r="G1205" s="3" t="s">
        <v>1569</v>
      </c>
      <c r="H1205" s="1" t="s">
        <v>12</v>
      </c>
      <c r="I1205" s="1" t="s">
        <v>15</v>
      </c>
      <c r="J1205" s="1" t="s">
        <v>52</v>
      </c>
    </row>
    <row r="1206" spans="2:10" x14ac:dyDescent="0.3">
      <c r="B1206" s="1" t="s">
        <v>1570</v>
      </c>
      <c r="C1206" s="1" t="s">
        <v>24</v>
      </c>
      <c r="D1206" s="2" t="s">
        <v>438</v>
      </c>
      <c r="E1206" s="2" t="s">
        <v>438</v>
      </c>
      <c r="F1206" s="2" t="s">
        <v>11</v>
      </c>
      <c r="G1206" s="3" t="s">
        <v>1571</v>
      </c>
      <c r="H1206" s="1" t="s">
        <v>12</v>
      </c>
      <c r="I1206" s="1" t="s">
        <v>22</v>
      </c>
      <c r="J1206" s="1" t="s">
        <v>14</v>
      </c>
    </row>
    <row r="1207" spans="2:10" x14ac:dyDescent="0.3">
      <c r="B1207" s="1" t="s">
        <v>1570</v>
      </c>
      <c r="C1207" s="1" t="s">
        <v>45</v>
      </c>
      <c r="D1207" s="2" t="s">
        <v>251</v>
      </c>
      <c r="E1207" s="2" t="s">
        <v>251</v>
      </c>
      <c r="F1207" s="2" t="s">
        <v>11</v>
      </c>
      <c r="G1207" s="3" t="s">
        <v>1572</v>
      </c>
      <c r="H1207" s="1" t="s">
        <v>12</v>
      </c>
      <c r="I1207" s="1" t="s">
        <v>50</v>
      </c>
      <c r="J1207" s="1" t="s">
        <v>14</v>
      </c>
    </row>
    <row r="1208" spans="2:10" x14ac:dyDescent="0.3">
      <c r="B1208" s="1" t="s">
        <v>1570</v>
      </c>
      <c r="C1208" s="1" t="s">
        <v>23</v>
      </c>
      <c r="D1208" s="2" t="s">
        <v>322</v>
      </c>
      <c r="E1208" s="2" t="s">
        <v>322</v>
      </c>
      <c r="F1208" s="2" t="s">
        <v>11</v>
      </c>
      <c r="G1208" s="3" t="s">
        <v>1573</v>
      </c>
      <c r="H1208" s="1" t="s">
        <v>12</v>
      </c>
      <c r="I1208" s="1" t="s">
        <v>18</v>
      </c>
      <c r="J1208" s="1" t="s">
        <v>14</v>
      </c>
    </row>
    <row r="1209" spans="2:10" x14ac:dyDescent="0.3">
      <c r="B1209" s="1" t="s">
        <v>1570</v>
      </c>
      <c r="C1209" s="1" t="s">
        <v>43</v>
      </c>
      <c r="D1209" s="2" t="s">
        <v>182</v>
      </c>
      <c r="E1209" s="2" t="s">
        <v>182</v>
      </c>
      <c r="F1209" s="2" t="s">
        <v>11</v>
      </c>
      <c r="G1209" s="3" t="s">
        <v>1574</v>
      </c>
      <c r="H1209" s="1" t="s">
        <v>12</v>
      </c>
      <c r="I1209" s="1" t="s">
        <v>32</v>
      </c>
      <c r="J1209" s="1" t="s">
        <v>14</v>
      </c>
    </row>
    <row r="1210" spans="2:10" x14ac:dyDescent="0.3">
      <c r="B1210" s="1" t="s">
        <v>1570</v>
      </c>
      <c r="C1210" s="1" t="s">
        <v>19</v>
      </c>
      <c r="D1210" s="2" t="s">
        <v>251</v>
      </c>
      <c r="E1210" s="2" t="s">
        <v>251</v>
      </c>
      <c r="F1210" s="2" t="s">
        <v>11</v>
      </c>
      <c r="G1210" s="3" t="s">
        <v>981</v>
      </c>
      <c r="H1210" s="1" t="s">
        <v>12</v>
      </c>
      <c r="I1210" s="1" t="s">
        <v>47</v>
      </c>
      <c r="J1210" s="1" t="s">
        <v>14</v>
      </c>
    </row>
    <row r="1211" spans="2:10" x14ac:dyDescent="0.3">
      <c r="B1211" s="1" t="s">
        <v>1570</v>
      </c>
      <c r="C1211" s="1" t="s">
        <v>26</v>
      </c>
      <c r="D1211" s="2" t="s">
        <v>190</v>
      </c>
      <c r="E1211" s="2" t="s">
        <v>190</v>
      </c>
      <c r="F1211" s="2" t="s">
        <v>11</v>
      </c>
      <c r="G1211" s="3" t="s">
        <v>1575</v>
      </c>
      <c r="H1211" s="1" t="s">
        <v>12</v>
      </c>
      <c r="I1211" s="1" t="s">
        <v>89</v>
      </c>
      <c r="J1211" s="1" t="s">
        <v>14</v>
      </c>
    </row>
    <row r="1212" spans="2:10" x14ac:dyDescent="0.3">
      <c r="B1212" s="1" t="s">
        <v>1570</v>
      </c>
      <c r="C1212" s="1" t="s">
        <v>38</v>
      </c>
      <c r="D1212" s="2" t="s">
        <v>859</v>
      </c>
      <c r="E1212" s="2" t="s">
        <v>859</v>
      </c>
      <c r="F1212" s="2" t="s">
        <v>11</v>
      </c>
      <c r="G1212" s="3" t="s">
        <v>1576</v>
      </c>
      <c r="H1212" s="1" t="s">
        <v>12</v>
      </c>
      <c r="I1212" s="1" t="s">
        <v>16</v>
      </c>
      <c r="J1212" s="1" t="s">
        <v>14</v>
      </c>
    </row>
    <row r="1213" spans="2:10" x14ac:dyDescent="0.3">
      <c r="B1213" s="1" t="s">
        <v>1570</v>
      </c>
      <c r="C1213" s="1" t="s">
        <v>36</v>
      </c>
      <c r="D1213" s="2" t="s">
        <v>438</v>
      </c>
      <c r="E1213" s="2" t="s">
        <v>438</v>
      </c>
      <c r="F1213" s="2" t="s">
        <v>11</v>
      </c>
      <c r="G1213" s="3" t="s">
        <v>1577</v>
      </c>
      <c r="H1213" s="1" t="s">
        <v>12</v>
      </c>
      <c r="I1213" s="1" t="s">
        <v>30</v>
      </c>
      <c r="J1213" s="1" t="s">
        <v>14</v>
      </c>
    </row>
    <row r="1214" spans="2:10" x14ac:dyDescent="0.3">
      <c r="B1214" s="1" t="s">
        <v>1570</v>
      </c>
      <c r="C1214" s="1" t="s">
        <v>33</v>
      </c>
      <c r="D1214" s="2" t="s">
        <v>783</v>
      </c>
      <c r="E1214" s="2" t="s">
        <v>783</v>
      </c>
      <c r="F1214" s="2" t="s">
        <v>11</v>
      </c>
      <c r="G1214" s="3" t="s">
        <v>1578</v>
      </c>
      <c r="H1214" s="1" t="s">
        <v>12</v>
      </c>
      <c r="I1214" s="1" t="s">
        <v>87</v>
      </c>
      <c r="J1214" s="1" t="s">
        <v>14</v>
      </c>
    </row>
    <row r="1215" spans="2:10" x14ac:dyDescent="0.3">
      <c r="B1215" s="1" t="s">
        <v>1570</v>
      </c>
      <c r="C1215" s="1" t="s">
        <v>29</v>
      </c>
      <c r="D1215" s="2" t="s">
        <v>251</v>
      </c>
      <c r="E1215" s="2" t="s">
        <v>251</v>
      </c>
      <c r="F1215" s="2" t="s">
        <v>11</v>
      </c>
      <c r="G1215" s="3" t="s">
        <v>1579</v>
      </c>
      <c r="H1215" s="1" t="s">
        <v>12</v>
      </c>
      <c r="I1215" s="1" t="s">
        <v>22</v>
      </c>
      <c r="J1215" s="1" t="s">
        <v>14</v>
      </c>
    </row>
    <row r="1216" spans="2:10" x14ac:dyDescent="0.3">
      <c r="B1216" s="1" t="s">
        <v>1570</v>
      </c>
      <c r="C1216" s="1" t="s">
        <v>17</v>
      </c>
      <c r="D1216" s="2" t="s">
        <v>322</v>
      </c>
      <c r="E1216" s="2" t="s">
        <v>322</v>
      </c>
      <c r="F1216" s="2" t="s">
        <v>11</v>
      </c>
      <c r="G1216" s="3" t="s">
        <v>1580</v>
      </c>
      <c r="H1216" s="1" t="s">
        <v>12</v>
      </c>
      <c r="I1216" s="1" t="s">
        <v>87</v>
      </c>
      <c r="J1216" s="1" t="s">
        <v>14</v>
      </c>
    </row>
    <row r="1217" spans="2:10" x14ac:dyDescent="0.3">
      <c r="B1217" s="1" t="s">
        <v>1570</v>
      </c>
      <c r="C1217" s="1" t="s">
        <v>28</v>
      </c>
      <c r="D1217" s="2" t="s">
        <v>190</v>
      </c>
      <c r="E1217" s="2" t="s">
        <v>190</v>
      </c>
      <c r="F1217" s="2" t="s">
        <v>11</v>
      </c>
      <c r="G1217" s="3" t="s">
        <v>911</v>
      </c>
      <c r="H1217" s="1" t="s">
        <v>12</v>
      </c>
      <c r="I1217" s="1" t="s">
        <v>56</v>
      </c>
      <c r="J1217" s="1" t="s">
        <v>14</v>
      </c>
    </row>
    <row r="1218" spans="2:10" x14ac:dyDescent="0.3">
      <c r="B1218" s="1" t="s">
        <v>1570</v>
      </c>
      <c r="C1218" s="1" t="s">
        <v>10</v>
      </c>
      <c r="D1218" s="2" t="s">
        <v>190</v>
      </c>
      <c r="E1218" s="2" t="s">
        <v>190</v>
      </c>
      <c r="F1218" s="2" t="s">
        <v>11</v>
      </c>
      <c r="G1218" s="3" t="s">
        <v>1581</v>
      </c>
      <c r="H1218" s="1" t="s">
        <v>12</v>
      </c>
      <c r="I1218" s="1" t="s">
        <v>56</v>
      </c>
      <c r="J1218" s="1" t="s">
        <v>14</v>
      </c>
    </row>
    <row r="1219" spans="2:10" x14ac:dyDescent="0.3">
      <c r="B1219" s="1" t="s">
        <v>1570</v>
      </c>
      <c r="C1219" s="1" t="s">
        <v>15</v>
      </c>
      <c r="D1219" s="2" t="s">
        <v>438</v>
      </c>
      <c r="E1219" s="2" t="s">
        <v>438</v>
      </c>
      <c r="F1219" s="2" t="s">
        <v>11</v>
      </c>
      <c r="G1219" s="3" t="s">
        <v>1582</v>
      </c>
      <c r="H1219" s="1" t="s">
        <v>12</v>
      </c>
      <c r="I1219" s="1" t="s">
        <v>62</v>
      </c>
      <c r="J1219" s="1" t="s">
        <v>14</v>
      </c>
    </row>
    <row r="1220" spans="2:10" x14ac:dyDescent="0.3">
      <c r="B1220" s="1" t="s">
        <v>1570</v>
      </c>
      <c r="C1220" s="1" t="s">
        <v>31</v>
      </c>
      <c r="D1220" s="2" t="s">
        <v>1583</v>
      </c>
      <c r="E1220" s="2" t="s">
        <v>1583</v>
      </c>
      <c r="F1220" s="2" t="s">
        <v>11</v>
      </c>
      <c r="G1220" s="3" t="s">
        <v>1584</v>
      </c>
      <c r="H1220" s="1" t="s">
        <v>12</v>
      </c>
      <c r="I1220" s="1" t="s">
        <v>37</v>
      </c>
      <c r="J1220" s="1" t="s">
        <v>14</v>
      </c>
    </row>
    <row r="1221" spans="2:10" x14ac:dyDescent="0.3">
      <c r="B1221" s="1" t="s">
        <v>1570</v>
      </c>
      <c r="C1221" s="1" t="s">
        <v>41</v>
      </c>
      <c r="D1221" s="2" t="s">
        <v>443</v>
      </c>
      <c r="E1221" s="2" t="s">
        <v>443</v>
      </c>
      <c r="F1221" s="2" t="s">
        <v>11</v>
      </c>
      <c r="G1221" s="3" t="s">
        <v>1585</v>
      </c>
      <c r="H1221" s="1" t="s">
        <v>12</v>
      </c>
      <c r="I1221" s="1" t="s">
        <v>76</v>
      </c>
      <c r="J1221" s="1" t="s">
        <v>14</v>
      </c>
    </row>
    <row r="1222" spans="2:10" x14ac:dyDescent="0.3">
      <c r="B1222" s="1" t="s">
        <v>1570</v>
      </c>
      <c r="C1222" s="1" t="s">
        <v>46</v>
      </c>
      <c r="D1222" s="2" t="s">
        <v>783</v>
      </c>
      <c r="E1222" s="2" t="s">
        <v>783</v>
      </c>
      <c r="F1222" s="2" t="s">
        <v>11</v>
      </c>
      <c r="G1222" s="3" t="s">
        <v>1586</v>
      </c>
      <c r="H1222" s="1" t="s">
        <v>12</v>
      </c>
      <c r="I1222" s="1" t="s">
        <v>71</v>
      </c>
      <c r="J1222" s="1" t="s">
        <v>14</v>
      </c>
    </row>
    <row r="1223" spans="2:10" x14ac:dyDescent="0.3">
      <c r="B1223" s="1" t="s">
        <v>1570</v>
      </c>
      <c r="C1223" s="1" t="s">
        <v>39</v>
      </c>
      <c r="D1223" s="2" t="s">
        <v>251</v>
      </c>
      <c r="E1223" s="2" t="s">
        <v>251</v>
      </c>
      <c r="F1223" s="2" t="s">
        <v>11</v>
      </c>
      <c r="G1223" s="3" t="s">
        <v>1587</v>
      </c>
      <c r="H1223" s="1" t="s">
        <v>12</v>
      </c>
      <c r="I1223" s="1" t="s">
        <v>47</v>
      </c>
      <c r="J1223" s="1" t="s">
        <v>14</v>
      </c>
    </row>
    <row r="1224" spans="2:10" x14ac:dyDescent="0.3">
      <c r="B1224" s="1" t="s">
        <v>1570</v>
      </c>
      <c r="C1224" s="1" t="s">
        <v>35</v>
      </c>
      <c r="D1224" s="2" t="s">
        <v>251</v>
      </c>
      <c r="E1224" s="2" t="s">
        <v>251</v>
      </c>
      <c r="F1224" s="2" t="s">
        <v>11</v>
      </c>
      <c r="G1224" s="3" t="s">
        <v>1588</v>
      </c>
      <c r="H1224" s="1" t="s">
        <v>12</v>
      </c>
      <c r="I1224" s="1" t="s">
        <v>80</v>
      </c>
      <c r="J1224" s="1" t="s">
        <v>14</v>
      </c>
    </row>
    <row r="1225" spans="2:10" x14ac:dyDescent="0.3">
      <c r="B1225" s="1" t="s">
        <v>1570</v>
      </c>
      <c r="C1225" s="1" t="s">
        <v>21</v>
      </c>
      <c r="D1225" s="2" t="s">
        <v>522</v>
      </c>
      <c r="E1225" s="2" t="s">
        <v>875</v>
      </c>
      <c r="F1225" s="2" t="s">
        <v>11</v>
      </c>
      <c r="G1225" s="3" t="s">
        <v>1589</v>
      </c>
      <c r="H1225" s="1" t="s">
        <v>12</v>
      </c>
      <c r="I1225" s="1" t="s">
        <v>15</v>
      </c>
      <c r="J1225" s="1" t="s">
        <v>52</v>
      </c>
    </row>
    <row r="1226" spans="2:10" x14ac:dyDescent="0.3">
      <c r="B1226" s="1" t="s">
        <v>1590</v>
      </c>
      <c r="C1226" s="1" t="s">
        <v>46</v>
      </c>
      <c r="D1226" s="2" t="s">
        <v>1591</v>
      </c>
      <c r="E1226" s="2" t="s">
        <v>1591</v>
      </c>
      <c r="F1226" s="2" t="s">
        <v>11</v>
      </c>
      <c r="G1226" s="3" t="s">
        <v>1592</v>
      </c>
      <c r="H1226" s="1" t="s">
        <v>12</v>
      </c>
      <c r="I1226" s="1" t="s">
        <v>16</v>
      </c>
      <c r="J1226" s="1" t="s">
        <v>14</v>
      </c>
    </row>
    <row r="1227" spans="2:10" x14ac:dyDescent="0.3">
      <c r="B1227" s="1" t="s">
        <v>1590</v>
      </c>
      <c r="C1227" s="1" t="s">
        <v>23</v>
      </c>
      <c r="D1227" s="2" t="s">
        <v>1593</v>
      </c>
      <c r="E1227" s="2" t="s">
        <v>1593</v>
      </c>
      <c r="F1227" s="2" t="s">
        <v>11</v>
      </c>
      <c r="G1227" s="3" t="s">
        <v>208</v>
      </c>
      <c r="H1227" s="1" t="s">
        <v>12</v>
      </c>
      <c r="I1227" s="1" t="s">
        <v>34</v>
      </c>
      <c r="J1227" s="1" t="s">
        <v>14</v>
      </c>
    </row>
    <row r="1228" spans="2:10" x14ac:dyDescent="0.3">
      <c r="B1228" s="1" t="s">
        <v>1590</v>
      </c>
      <c r="C1228" s="1" t="s">
        <v>36</v>
      </c>
      <c r="D1228" s="2" t="s">
        <v>286</v>
      </c>
      <c r="E1228" s="2" t="s">
        <v>283</v>
      </c>
      <c r="F1228" s="2" t="s">
        <v>11</v>
      </c>
      <c r="G1228" s="3" t="s">
        <v>1594</v>
      </c>
      <c r="H1228" s="1" t="s">
        <v>12</v>
      </c>
      <c r="I1228" s="1" t="s">
        <v>15</v>
      </c>
      <c r="J1228" s="1" t="s">
        <v>52</v>
      </c>
    </row>
    <row r="1229" spans="2:10" x14ac:dyDescent="0.3">
      <c r="B1229" s="1" t="s">
        <v>1590</v>
      </c>
      <c r="C1229" s="1" t="s">
        <v>33</v>
      </c>
      <c r="D1229" s="2" t="s">
        <v>1158</v>
      </c>
      <c r="E1229" s="2" t="s">
        <v>1158</v>
      </c>
      <c r="F1229" s="2" t="s">
        <v>11</v>
      </c>
      <c r="G1229" s="3" t="s">
        <v>1595</v>
      </c>
      <c r="H1229" s="1" t="s">
        <v>12</v>
      </c>
      <c r="I1229" s="1" t="s">
        <v>20</v>
      </c>
      <c r="J1229" s="1" t="s">
        <v>14</v>
      </c>
    </row>
    <row r="1230" spans="2:10" x14ac:dyDescent="0.3">
      <c r="B1230" s="1" t="s">
        <v>1590</v>
      </c>
      <c r="C1230" s="1" t="s">
        <v>15</v>
      </c>
      <c r="D1230" s="2" t="s">
        <v>1596</v>
      </c>
      <c r="E1230" s="2" t="s">
        <v>1596</v>
      </c>
      <c r="F1230" s="2" t="s">
        <v>11</v>
      </c>
      <c r="G1230" s="3" t="s">
        <v>1597</v>
      </c>
      <c r="H1230" s="1" t="s">
        <v>12</v>
      </c>
      <c r="I1230" s="1" t="s">
        <v>76</v>
      </c>
      <c r="J1230" s="1" t="s">
        <v>14</v>
      </c>
    </row>
    <row r="1231" spans="2:10" x14ac:dyDescent="0.3">
      <c r="B1231" s="1" t="s">
        <v>1590</v>
      </c>
      <c r="C1231" s="1" t="s">
        <v>28</v>
      </c>
      <c r="D1231" s="2" t="s">
        <v>1598</v>
      </c>
      <c r="E1231" s="2" t="s">
        <v>1598</v>
      </c>
      <c r="F1231" s="2" t="s">
        <v>11</v>
      </c>
      <c r="G1231" s="3" t="s">
        <v>1599</v>
      </c>
      <c r="H1231" s="1" t="s">
        <v>12</v>
      </c>
      <c r="I1231" s="1" t="s">
        <v>67</v>
      </c>
      <c r="J1231" s="1" t="s">
        <v>14</v>
      </c>
    </row>
    <row r="1232" spans="2:10" x14ac:dyDescent="0.3">
      <c r="B1232" s="1" t="s">
        <v>1590</v>
      </c>
      <c r="C1232" s="1" t="s">
        <v>39</v>
      </c>
      <c r="D1232" s="2" t="s">
        <v>1600</v>
      </c>
      <c r="E1232" s="2" t="s">
        <v>1600</v>
      </c>
      <c r="F1232" s="2" t="s">
        <v>11</v>
      </c>
      <c r="G1232" s="3" t="s">
        <v>261</v>
      </c>
      <c r="H1232" s="1" t="s">
        <v>12</v>
      </c>
      <c r="I1232" s="1" t="s">
        <v>59</v>
      </c>
      <c r="J1232" s="1" t="s">
        <v>14</v>
      </c>
    </row>
    <row r="1233" spans="2:10" x14ac:dyDescent="0.3">
      <c r="B1233" s="1" t="s">
        <v>1590</v>
      </c>
      <c r="C1233" s="1" t="s">
        <v>10</v>
      </c>
      <c r="D1233" s="2" t="s">
        <v>1601</v>
      </c>
      <c r="E1233" s="2" t="s">
        <v>1601</v>
      </c>
      <c r="F1233" s="2" t="s">
        <v>11</v>
      </c>
      <c r="G1233" s="3" t="s">
        <v>1602</v>
      </c>
      <c r="H1233" s="1" t="s">
        <v>12</v>
      </c>
      <c r="I1233" s="1" t="s">
        <v>32</v>
      </c>
      <c r="J1233" s="1" t="s">
        <v>14</v>
      </c>
    </row>
    <row r="1234" spans="2:10" x14ac:dyDescent="0.3">
      <c r="B1234" s="1" t="s">
        <v>1590</v>
      </c>
      <c r="C1234" s="1" t="s">
        <v>41</v>
      </c>
      <c r="D1234" s="2" t="s">
        <v>1333</v>
      </c>
      <c r="E1234" s="2" t="s">
        <v>1333</v>
      </c>
      <c r="F1234" s="2" t="s">
        <v>11</v>
      </c>
      <c r="G1234" s="3" t="s">
        <v>1603</v>
      </c>
      <c r="H1234" s="1" t="s">
        <v>12</v>
      </c>
      <c r="I1234" s="1" t="s">
        <v>75</v>
      </c>
      <c r="J1234" s="1" t="s">
        <v>14</v>
      </c>
    </row>
    <row r="1235" spans="2:10" x14ac:dyDescent="0.3">
      <c r="B1235" s="1" t="s">
        <v>1590</v>
      </c>
      <c r="C1235" s="1" t="s">
        <v>24</v>
      </c>
      <c r="D1235" s="2" t="s">
        <v>1158</v>
      </c>
      <c r="E1235" s="2" t="s">
        <v>1158</v>
      </c>
      <c r="F1235" s="2" t="s">
        <v>11</v>
      </c>
      <c r="G1235" s="3" t="s">
        <v>1604</v>
      </c>
      <c r="H1235" s="1" t="s">
        <v>12</v>
      </c>
      <c r="I1235" s="1" t="s">
        <v>58</v>
      </c>
      <c r="J1235" s="1" t="s">
        <v>14</v>
      </c>
    </row>
    <row r="1236" spans="2:10" x14ac:dyDescent="0.3">
      <c r="B1236" s="1" t="s">
        <v>1590</v>
      </c>
      <c r="C1236" s="1" t="s">
        <v>31</v>
      </c>
      <c r="D1236" s="2" t="s">
        <v>1605</v>
      </c>
      <c r="E1236" s="2" t="s">
        <v>1605</v>
      </c>
      <c r="F1236" s="2" t="s">
        <v>11</v>
      </c>
      <c r="G1236" s="3" t="s">
        <v>1606</v>
      </c>
      <c r="H1236" s="1" t="s">
        <v>12</v>
      </c>
      <c r="I1236" s="1" t="s">
        <v>62</v>
      </c>
      <c r="J1236" s="1" t="s">
        <v>14</v>
      </c>
    </row>
    <row r="1237" spans="2:10" x14ac:dyDescent="0.3">
      <c r="B1237" s="1" t="s">
        <v>1590</v>
      </c>
      <c r="C1237" s="1" t="s">
        <v>38</v>
      </c>
      <c r="D1237" s="2" t="s">
        <v>1605</v>
      </c>
      <c r="E1237" s="2" t="s">
        <v>1605</v>
      </c>
      <c r="F1237" s="2" t="s">
        <v>11</v>
      </c>
      <c r="G1237" s="3" t="s">
        <v>1607</v>
      </c>
      <c r="H1237" s="1" t="s">
        <v>12</v>
      </c>
      <c r="I1237" s="1" t="s">
        <v>73</v>
      </c>
      <c r="J1237" s="1" t="s">
        <v>14</v>
      </c>
    </row>
    <row r="1238" spans="2:10" x14ac:dyDescent="0.3">
      <c r="B1238" s="1" t="s">
        <v>1590</v>
      </c>
      <c r="C1238" s="1" t="s">
        <v>43</v>
      </c>
      <c r="D1238" s="2" t="s">
        <v>1596</v>
      </c>
      <c r="E1238" s="2" t="s">
        <v>1596</v>
      </c>
      <c r="F1238" s="2" t="s">
        <v>11</v>
      </c>
      <c r="G1238" s="3" t="s">
        <v>1608</v>
      </c>
      <c r="H1238" s="1" t="s">
        <v>12</v>
      </c>
      <c r="I1238" s="1" t="s">
        <v>87</v>
      </c>
      <c r="J1238" s="1" t="s">
        <v>14</v>
      </c>
    </row>
    <row r="1239" spans="2:10" x14ac:dyDescent="0.3">
      <c r="B1239" s="1" t="s">
        <v>1590</v>
      </c>
      <c r="C1239" s="1" t="s">
        <v>26</v>
      </c>
      <c r="D1239" s="2" t="s">
        <v>1596</v>
      </c>
      <c r="E1239" s="2" t="s">
        <v>1596</v>
      </c>
      <c r="F1239" s="2" t="s">
        <v>11</v>
      </c>
      <c r="G1239" s="3" t="s">
        <v>291</v>
      </c>
      <c r="H1239" s="1" t="s">
        <v>12</v>
      </c>
      <c r="I1239" s="1" t="s">
        <v>67</v>
      </c>
      <c r="J1239" s="1" t="s">
        <v>14</v>
      </c>
    </row>
    <row r="1240" spans="2:10" x14ac:dyDescent="0.3">
      <c r="B1240" s="1" t="s">
        <v>1590</v>
      </c>
      <c r="C1240" s="1" t="s">
        <v>29</v>
      </c>
      <c r="D1240" s="2" t="s">
        <v>1333</v>
      </c>
      <c r="E1240" s="2" t="s">
        <v>1333</v>
      </c>
      <c r="F1240" s="2" t="s">
        <v>11</v>
      </c>
      <c r="G1240" s="3" t="s">
        <v>289</v>
      </c>
      <c r="H1240" s="1" t="s">
        <v>12</v>
      </c>
      <c r="I1240" s="1" t="s">
        <v>37</v>
      </c>
      <c r="J1240" s="1" t="s">
        <v>14</v>
      </c>
    </row>
    <row r="1241" spans="2:10" x14ac:dyDescent="0.3">
      <c r="B1241" s="1" t="s">
        <v>1590</v>
      </c>
      <c r="C1241" s="1" t="s">
        <v>19</v>
      </c>
      <c r="D1241" s="2" t="s">
        <v>1333</v>
      </c>
      <c r="E1241" s="2" t="s">
        <v>1333</v>
      </c>
      <c r="F1241" s="2" t="s">
        <v>11</v>
      </c>
      <c r="G1241" s="3" t="s">
        <v>775</v>
      </c>
      <c r="H1241" s="1" t="s">
        <v>12</v>
      </c>
      <c r="I1241" s="1" t="s">
        <v>65</v>
      </c>
      <c r="J1241" s="1" t="s">
        <v>14</v>
      </c>
    </row>
    <row r="1242" spans="2:10" x14ac:dyDescent="0.3">
      <c r="B1242" s="1" t="s">
        <v>1590</v>
      </c>
      <c r="C1242" s="1" t="s">
        <v>45</v>
      </c>
      <c r="D1242" s="2" t="s">
        <v>1596</v>
      </c>
      <c r="E1242" s="2" t="s">
        <v>1596</v>
      </c>
      <c r="F1242" s="2" t="s">
        <v>11</v>
      </c>
      <c r="G1242" s="3" t="s">
        <v>1609</v>
      </c>
      <c r="H1242" s="1" t="s">
        <v>12</v>
      </c>
      <c r="I1242" s="1" t="s">
        <v>25</v>
      </c>
      <c r="J1242" s="1" t="s">
        <v>14</v>
      </c>
    </row>
    <row r="1243" spans="2:10" x14ac:dyDescent="0.3">
      <c r="B1243" s="1" t="s">
        <v>1590</v>
      </c>
      <c r="C1243" s="1" t="s">
        <v>21</v>
      </c>
      <c r="D1243" s="2" t="s">
        <v>1610</v>
      </c>
      <c r="E1243" s="2" t="s">
        <v>1611</v>
      </c>
      <c r="F1243" s="2" t="s">
        <v>11</v>
      </c>
      <c r="G1243" s="3" t="s">
        <v>1612</v>
      </c>
      <c r="H1243" s="1" t="s">
        <v>12</v>
      </c>
      <c r="I1243" s="1" t="s">
        <v>63</v>
      </c>
      <c r="J1243" s="1" t="s">
        <v>52</v>
      </c>
    </row>
    <row r="1244" spans="2:10" x14ac:dyDescent="0.3">
      <c r="B1244" s="1" t="s">
        <v>1590</v>
      </c>
      <c r="C1244" s="1" t="s">
        <v>17</v>
      </c>
      <c r="D1244" s="2" t="s">
        <v>1596</v>
      </c>
      <c r="E1244" s="2" t="s">
        <v>1596</v>
      </c>
      <c r="F1244" s="2" t="s">
        <v>11</v>
      </c>
      <c r="G1244" s="3" t="s">
        <v>1613</v>
      </c>
      <c r="H1244" s="1" t="s">
        <v>12</v>
      </c>
      <c r="I1244" s="1" t="s">
        <v>71</v>
      </c>
      <c r="J1244" s="1" t="s">
        <v>14</v>
      </c>
    </row>
    <row r="1245" spans="2:10" x14ac:dyDescent="0.3">
      <c r="B1245" s="1" t="s">
        <v>1590</v>
      </c>
      <c r="C1245" s="1" t="s">
        <v>35</v>
      </c>
      <c r="D1245" s="2" t="s">
        <v>1593</v>
      </c>
      <c r="E1245" s="2" t="s">
        <v>1593</v>
      </c>
      <c r="F1245" s="2" t="s">
        <v>11</v>
      </c>
      <c r="G1245" s="3" t="s">
        <v>924</v>
      </c>
      <c r="H1245" s="1" t="s">
        <v>12</v>
      </c>
      <c r="I1245" s="1" t="s">
        <v>106</v>
      </c>
      <c r="J1245" s="1" t="s">
        <v>14</v>
      </c>
    </row>
    <row r="1246" spans="2:10" x14ac:dyDescent="0.3">
      <c r="B1246" s="1" t="s">
        <v>1614</v>
      </c>
      <c r="C1246" s="1" t="s">
        <v>41</v>
      </c>
      <c r="D1246" s="2" t="s">
        <v>467</v>
      </c>
      <c r="E1246" s="2" t="s">
        <v>467</v>
      </c>
      <c r="F1246" s="2" t="s">
        <v>11</v>
      </c>
      <c r="G1246" s="3" t="s">
        <v>1615</v>
      </c>
      <c r="H1246" s="1" t="s">
        <v>12</v>
      </c>
      <c r="I1246" s="1" t="s">
        <v>16</v>
      </c>
      <c r="J1246" s="1" t="s">
        <v>14</v>
      </c>
    </row>
    <row r="1247" spans="2:10" x14ac:dyDescent="0.3">
      <c r="B1247" s="1" t="s">
        <v>1614</v>
      </c>
      <c r="C1247" s="1" t="s">
        <v>45</v>
      </c>
      <c r="D1247" s="2" t="s">
        <v>222</v>
      </c>
      <c r="E1247" s="2" t="s">
        <v>222</v>
      </c>
      <c r="F1247" s="2" t="s">
        <v>11</v>
      </c>
      <c r="G1247" s="3" t="s">
        <v>1616</v>
      </c>
      <c r="H1247" s="1" t="s">
        <v>12</v>
      </c>
      <c r="I1247" s="1" t="s">
        <v>64</v>
      </c>
      <c r="J1247" s="1" t="s">
        <v>14</v>
      </c>
    </row>
    <row r="1248" spans="2:10" x14ac:dyDescent="0.3">
      <c r="B1248" s="1" t="s">
        <v>1614</v>
      </c>
      <c r="C1248" s="1" t="s">
        <v>26</v>
      </c>
      <c r="D1248" s="2" t="s">
        <v>498</v>
      </c>
      <c r="E1248" s="2" t="s">
        <v>498</v>
      </c>
      <c r="F1248" s="2" t="s">
        <v>11</v>
      </c>
      <c r="G1248" s="3" t="s">
        <v>1617</v>
      </c>
      <c r="H1248" s="1" t="s">
        <v>12</v>
      </c>
      <c r="I1248" s="1" t="s">
        <v>18</v>
      </c>
      <c r="J1248" s="1" t="s">
        <v>14</v>
      </c>
    </row>
    <row r="1249" spans="2:10" x14ac:dyDescent="0.3">
      <c r="B1249" s="1" t="s">
        <v>1614</v>
      </c>
      <c r="C1249" s="1" t="s">
        <v>31</v>
      </c>
      <c r="D1249" s="2" t="s">
        <v>512</v>
      </c>
      <c r="E1249" s="2" t="s">
        <v>512</v>
      </c>
      <c r="F1249" s="2" t="s">
        <v>11</v>
      </c>
      <c r="G1249" s="3" t="s">
        <v>1515</v>
      </c>
      <c r="H1249" s="1" t="s">
        <v>12</v>
      </c>
      <c r="I1249" s="1" t="s">
        <v>69</v>
      </c>
      <c r="J1249" s="1" t="s">
        <v>14</v>
      </c>
    </row>
    <row r="1250" spans="2:10" x14ac:dyDescent="0.3">
      <c r="B1250" s="1" t="s">
        <v>1614</v>
      </c>
      <c r="C1250" s="1" t="s">
        <v>39</v>
      </c>
      <c r="D1250" s="2" t="s">
        <v>692</v>
      </c>
      <c r="E1250" s="2" t="s">
        <v>692</v>
      </c>
      <c r="F1250" s="2" t="s">
        <v>11</v>
      </c>
      <c r="G1250" s="3" t="s">
        <v>1618</v>
      </c>
      <c r="H1250" s="1" t="s">
        <v>12</v>
      </c>
      <c r="I1250" s="1" t="s">
        <v>67</v>
      </c>
      <c r="J1250" s="1" t="s">
        <v>14</v>
      </c>
    </row>
    <row r="1251" spans="2:10" x14ac:dyDescent="0.3">
      <c r="B1251" s="1" t="s">
        <v>1614</v>
      </c>
      <c r="C1251" s="1" t="s">
        <v>35</v>
      </c>
      <c r="D1251" s="2" t="s">
        <v>467</v>
      </c>
      <c r="E1251" s="2" t="s">
        <v>467</v>
      </c>
      <c r="F1251" s="2" t="s">
        <v>11</v>
      </c>
      <c r="G1251" s="3" t="s">
        <v>1619</v>
      </c>
      <c r="H1251" s="1" t="s">
        <v>12</v>
      </c>
      <c r="I1251" s="1" t="s">
        <v>1309</v>
      </c>
      <c r="J1251" s="1" t="s">
        <v>14</v>
      </c>
    </row>
    <row r="1252" spans="2:10" x14ac:dyDescent="0.3">
      <c r="B1252" s="1" t="s">
        <v>1614</v>
      </c>
      <c r="C1252" s="1" t="s">
        <v>38</v>
      </c>
      <c r="D1252" s="2" t="s">
        <v>491</v>
      </c>
      <c r="E1252" s="2" t="s">
        <v>491</v>
      </c>
      <c r="F1252" s="2" t="s">
        <v>11</v>
      </c>
      <c r="G1252" s="3" t="s">
        <v>1620</v>
      </c>
      <c r="H1252" s="1" t="s">
        <v>12</v>
      </c>
      <c r="I1252" s="1" t="s">
        <v>25</v>
      </c>
      <c r="J1252" s="1" t="s">
        <v>14</v>
      </c>
    </row>
    <row r="1253" spans="2:10" x14ac:dyDescent="0.3">
      <c r="B1253" s="1" t="s">
        <v>1614</v>
      </c>
      <c r="C1253" s="1" t="s">
        <v>21</v>
      </c>
      <c r="D1253" s="2" t="s">
        <v>467</v>
      </c>
      <c r="E1253" s="2" t="s">
        <v>467</v>
      </c>
      <c r="F1253" s="2" t="s">
        <v>11</v>
      </c>
      <c r="G1253" s="3" t="s">
        <v>1621</v>
      </c>
      <c r="H1253" s="1" t="s">
        <v>12</v>
      </c>
      <c r="I1253" s="1" t="s">
        <v>59</v>
      </c>
      <c r="J1253" s="1" t="s">
        <v>14</v>
      </c>
    </row>
    <row r="1254" spans="2:10" x14ac:dyDescent="0.3">
      <c r="B1254" s="1" t="s">
        <v>1614</v>
      </c>
      <c r="C1254" s="1" t="s">
        <v>36</v>
      </c>
      <c r="D1254" s="2" t="s">
        <v>1622</v>
      </c>
      <c r="E1254" s="2" t="s">
        <v>1622</v>
      </c>
      <c r="F1254" s="2" t="s">
        <v>11</v>
      </c>
      <c r="G1254" s="3" t="s">
        <v>1623</v>
      </c>
      <c r="H1254" s="1" t="s">
        <v>12</v>
      </c>
      <c r="I1254" s="1" t="s">
        <v>60</v>
      </c>
      <c r="J1254" s="1" t="s">
        <v>14</v>
      </c>
    </row>
    <row r="1255" spans="2:10" x14ac:dyDescent="0.3">
      <c r="B1255" s="1" t="s">
        <v>1614</v>
      </c>
      <c r="C1255" s="1" t="s">
        <v>29</v>
      </c>
      <c r="D1255" s="2" t="s">
        <v>467</v>
      </c>
      <c r="E1255" s="2" t="s">
        <v>467</v>
      </c>
      <c r="F1255" s="2" t="s">
        <v>11</v>
      </c>
      <c r="G1255" s="3" t="s">
        <v>1624</v>
      </c>
      <c r="H1255" s="1" t="s">
        <v>12</v>
      </c>
      <c r="I1255" s="1" t="s">
        <v>29</v>
      </c>
      <c r="J1255" s="1" t="s">
        <v>14</v>
      </c>
    </row>
    <row r="1256" spans="2:10" x14ac:dyDescent="0.3">
      <c r="B1256" s="1" t="s">
        <v>1614</v>
      </c>
      <c r="C1256" s="1" t="s">
        <v>19</v>
      </c>
      <c r="D1256" s="2" t="s">
        <v>467</v>
      </c>
      <c r="E1256" s="2" t="s">
        <v>467</v>
      </c>
      <c r="F1256" s="2" t="s">
        <v>11</v>
      </c>
      <c r="G1256" s="3" t="s">
        <v>1625</v>
      </c>
      <c r="H1256" s="1" t="s">
        <v>12</v>
      </c>
      <c r="I1256" s="1" t="s">
        <v>80</v>
      </c>
      <c r="J1256" s="1" t="s">
        <v>14</v>
      </c>
    </row>
    <row r="1257" spans="2:10" x14ac:dyDescent="0.3">
      <c r="B1257" s="1" t="s">
        <v>1614</v>
      </c>
      <c r="C1257" s="1" t="s">
        <v>33</v>
      </c>
      <c r="D1257" s="2" t="s">
        <v>1622</v>
      </c>
      <c r="E1257" s="2" t="s">
        <v>1622</v>
      </c>
      <c r="F1257" s="2" t="s">
        <v>11</v>
      </c>
      <c r="G1257" s="3" t="s">
        <v>1626</v>
      </c>
      <c r="H1257" s="1" t="s">
        <v>12</v>
      </c>
      <c r="I1257" s="1" t="s">
        <v>1309</v>
      </c>
      <c r="J1257" s="1" t="s">
        <v>14</v>
      </c>
    </row>
    <row r="1258" spans="2:10" x14ac:dyDescent="0.3">
      <c r="B1258" s="1" t="s">
        <v>1614</v>
      </c>
      <c r="C1258" s="1" t="s">
        <v>46</v>
      </c>
      <c r="D1258" s="2" t="s">
        <v>526</v>
      </c>
      <c r="E1258" s="2" t="s">
        <v>526</v>
      </c>
      <c r="F1258" s="2" t="s">
        <v>11</v>
      </c>
      <c r="G1258" s="3" t="s">
        <v>1627</v>
      </c>
      <c r="H1258" s="1" t="s">
        <v>12</v>
      </c>
      <c r="I1258" s="1" t="s">
        <v>20</v>
      </c>
      <c r="J1258" s="1" t="s">
        <v>14</v>
      </c>
    </row>
    <row r="1259" spans="2:10" x14ac:dyDescent="0.3">
      <c r="B1259" s="1" t="s">
        <v>1614</v>
      </c>
      <c r="C1259" s="1" t="s">
        <v>28</v>
      </c>
      <c r="D1259" s="2" t="s">
        <v>498</v>
      </c>
      <c r="E1259" s="2" t="s">
        <v>498</v>
      </c>
      <c r="F1259" s="2" t="s">
        <v>11</v>
      </c>
      <c r="G1259" s="3" t="s">
        <v>129</v>
      </c>
      <c r="H1259" s="1" t="s">
        <v>12</v>
      </c>
      <c r="I1259" s="1" t="s">
        <v>127</v>
      </c>
      <c r="J1259" s="1" t="s">
        <v>14</v>
      </c>
    </row>
    <row r="1260" spans="2:10" x14ac:dyDescent="0.3">
      <c r="B1260" s="1" t="s">
        <v>1614</v>
      </c>
      <c r="C1260" s="1" t="s">
        <v>24</v>
      </c>
      <c r="D1260" s="2" t="s">
        <v>467</v>
      </c>
      <c r="E1260" s="2" t="s">
        <v>467</v>
      </c>
      <c r="F1260" s="2" t="s">
        <v>11</v>
      </c>
      <c r="G1260" s="3" t="s">
        <v>637</v>
      </c>
      <c r="H1260" s="1" t="s">
        <v>12</v>
      </c>
      <c r="I1260" s="1" t="s">
        <v>78</v>
      </c>
      <c r="J1260" s="1" t="s">
        <v>14</v>
      </c>
    </row>
    <row r="1261" spans="2:10" x14ac:dyDescent="0.3">
      <c r="B1261" s="1" t="s">
        <v>1614</v>
      </c>
      <c r="C1261" s="1" t="s">
        <v>43</v>
      </c>
      <c r="D1261" s="2" t="s">
        <v>1622</v>
      </c>
      <c r="E1261" s="2" t="s">
        <v>1622</v>
      </c>
      <c r="F1261" s="2" t="s">
        <v>11</v>
      </c>
      <c r="G1261" s="3" t="s">
        <v>205</v>
      </c>
      <c r="H1261" s="1" t="s">
        <v>12</v>
      </c>
      <c r="I1261" s="1" t="s">
        <v>29</v>
      </c>
      <c r="J1261" s="1" t="s">
        <v>14</v>
      </c>
    </row>
    <row r="1262" spans="2:10" x14ac:dyDescent="0.3">
      <c r="B1262" s="1" t="s">
        <v>1614</v>
      </c>
      <c r="C1262" s="1" t="s">
        <v>23</v>
      </c>
      <c r="D1262" s="2" t="s">
        <v>467</v>
      </c>
      <c r="E1262" s="2" t="s">
        <v>467</v>
      </c>
      <c r="F1262" s="2" t="s">
        <v>11</v>
      </c>
      <c r="G1262" s="3" t="s">
        <v>511</v>
      </c>
      <c r="H1262" s="1" t="s">
        <v>12</v>
      </c>
      <c r="I1262" s="1" t="s">
        <v>61</v>
      </c>
      <c r="J1262" s="1" t="s">
        <v>14</v>
      </c>
    </row>
    <row r="1263" spans="2:10" x14ac:dyDescent="0.3">
      <c r="B1263" s="1" t="s">
        <v>1614</v>
      </c>
      <c r="C1263" s="1" t="s">
        <v>17</v>
      </c>
      <c r="D1263" s="2" t="s">
        <v>506</v>
      </c>
      <c r="E1263" s="2" t="s">
        <v>506</v>
      </c>
      <c r="F1263" s="2" t="s">
        <v>11</v>
      </c>
      <c r="G1263" s="3" t="s">
        <v>663</v>
      </c>
      <c r="H1263" s="1" t="s">
        <v>12</v>
      </c>
      <c r="I1263" s="1" t="s">
        <v>56</v>
      </c>
      <c r="J1263" s="1" t="s">
        <v>14</v>
      </c>
    </row>
    <row r="1264" spans="2:10" x14ac:dyDescent="0.3">
      <c r="B1264" s="1" t="s">
        <v>1614</v>
      </c>
      <c r="C1264" s="1" t="s">
        <v>15</v>
      </c>
      <c r="D1264" s="2" t="s">
        <v>227</v>
      </c>
      <c r="E1264" s="2" t="s">
        <v>227</v>
      </c>
      <c r="F1264" s="2" t="s">
        <v>11</v>
      </c>
      <c r="G1264" s="3" t="s">
        <v>1628</v>
      </c>
      <c r="H1264" s="1" t="s">
        <v>12</v>
      </c>
      <c r="I1264" s="1" t="s">
        <v>29</v>
      </c>
      <c r="J1264" s="1" t="s">
        <v>14</v>
      </c>
    </row>
    <row r="1265" spans="2:10" x14ac:dyDescent="0.3">
      <c r="B1265" s="1" t="s">
        <v>1614</v>
      </c>
      <c r="C1265" s="1" t="s">
        <v>10</v>
      </c>
      <c r="D1265" s="2" t="s">
        <v>227</v>
      </c>
      <c r="E1265" s="2" t="s">
        <v>227</v>
      </c>
      <c r="F1265" s="2" t="s">
        <v>11</v>
      </c>
      <c r="G1265" s="3" t="s">
        <v>1629</v>
      </c>
      <c r="H1265" s="1" t="s">
        <v>12</v>
      </c>
      <c r="I1265" s="1" t="s">
        <v>29</v>
      </c>
      <c r="J1265" s="1" t="s">
        <v>14</v>
      </c>
    </row>
    <row r="1266" spans="2:10" x14ac:dyDescent="0.3">
      <c r="B1266" s="1" t="s">
        <v>1630</v>
      </c>
      <c r="C1266" s="1" t="s">
        <v>28</v>
      </c>
      <c r="D1266" s="2" t="s">
        <v>322</v>
      </c>
      <c r="E1266" s="2" t="s">
        <v>322</v>
      </c>
      <c r="F1266" s="2" t="s">
        <v>11</v>
      </c>
      <c r="G1266" s="3" t="s">
        <v>130</v>
      </c>
      <c r="H1266" s="1" t="s">
        <v>12</v>
      </c>
      <c r="I1266" s="1" t="s">
        <v>76</v>
      </c>
      <c r="J1266" s="1" t="s">
        <v>14</v>
      </c>
    </row>
    <row r="1267" spans="2:10" x14ac:dyDescent="0.3">
      <c r="B1267" s="1" t="s">
        <v>1630</v>
      </c>
      <c r="C1267" s="1" t="s">
        <v>46</v>
      </c>
      <c r="D1267" s="2" t="s">
        <v>393</v>
      </c>
      <c r="E1267" s="2" t="s">
        <v>393</v>
      </c>
      <c r="F1267" s="2" t="s">
        <v>11</v>
      </c>
      <c r="G1267" s="3" t="s">
        <v>1631</v>
      </c>
      <c r="H1267" s="1" t="s">
        <v>12</v>
      </c>
      <c r="I1267" s="1" t="s">
        <v>103</v>
      </c>
      <c r="J1267" s="1" t="s">
        <v>14</v>
      </c>
    </row>
    <row r="1268" spans="2:10" x14ac:dyDescent="0.3">
      <c r="B1268" s="1" t="s">
        <v>1630</v>
      </c>
      <c r="C1268" s="1" t="s">
        <v>33</v>
      </c>
      <c r="D1268" s="2" t="s">
        <v>322</v>
      </c>
      <c r="E1268" s="2" t="s">
        <v>322</v>
      </c>
      <c r="F1268" s="2" t="s">
        <v>11</v>
      </c>
      <c r="G1268" s="3" t="s">
        <v>1632</v>
      </c>
      <c r="H1268" s="1" t="s">
        <v>12</v>
      </c>
      <c r="I1268" s="1" t="s">
        <v>63</v>
      </c>
      <c r="J1268" s="1" t="s">
        <v>14</v>
      </c>
    </row>
    <row r="1269" spans="2:10" x14ac:dyDescent="0.3">
      <c r="B1269" s="1" t="s">
        <v>1630</v>
      </c>
      <c r="C1269" s="1" t="s">
        <v>41</v>
      </c>
      <c r="D1269" s="2" t="s">
        <v>529</v>
      </c>
      <c r="E1269" s="2" t="s">
        <v>529</v>
      </c>
      <c r="F1269" s="2" t="s">
        <v>11</v>
      </c>
      <c r="G1269" s="3" t="s">
        <v>1633</v>
      </c>
      <c r="H1269" s="1" t="s">
        <v>12</v>
      </c>
      <c r="I1269" s="1" t="s">
        <v>32</v>
      </c>
      <c r="J1269" s="1" t="s">
        <v>14</v>
      </c>
    </row>
    <row r="1270" spans="2:10" x14ac:dyDescent="0.3">
      <c r="B1270" s="1" t="s">
        <v>1630</v>
      </c>
      <c r="C1270" s="1" t="s">
        <v>43</v>
      </c>
      <c r="D1270" s="2" t="s">
        <v>393</v>
      </c>
      <c r="E1270" s="2" t="s">
        <v>393</v>
      </c>
      <c r="F1270" s="2" t="s">
        <v>11</v>
      </c>
      <c r="G1270" s="3" t="s">
        <v>1634</v>
      </c>
      <c r="H1270" s="1" t="s">
        <v>12</v>
      </c>
      <c r="I1270" s="1" t="s">
        <v>82</v>
      </c>
      <c r="J1270" s="1" t="s">
        <v>14</v>
      </c>
    </row>
    <row r="1271" spans="2:10" x14ac:dyDescent="0.3">
      <c r="B1271" s="1" t="s">
        <v>1630</v>
      </c>
      <c r="C1271" s="1" t="s">
        <v>36</v>
      </c>
      <c r="D1271" s="2" t="s">
        <v>529</v>
      </c>
      <c r="E1271" s="2" t="s">
        <v>529</v>
      </c>
      <c r="F1271" s="2" t="s">
        <v>11</v>
      </c>
      <c r="G1271" s="3" t="s">
        <v>1635</v>
      </c>
      <c r="H1271" s="1" t="s">
        <v>12</v>
      </c>
      <c r="I1271" s="1" t="s">
        <v>64</v>
      </c>
      <c r="J1271" s="1" t="s">
        <v>14</v>
      </c>
    </row>
    <row r="1272" spans="2:10" x14ac:dyDescent="0.3">
      <c r="B1272" s="1" t="s">
        <v>1630</v>
      </c>
      <c r="C1272" s="1" t="s">
        <v>39</v>
      </c>
      <c r="D1272" s="2" t="s">
        <v>251</v>
      </c>
      <c r="E1272" s="2" t="s">
        <v>251</v>
      </c>
      <c r="F1272" s="2" t="s">
        <v>11</v>
      </c>
      <c r="G1272" s="3" t="s">
        <v>1636</v>
      </c>
      <c r="H1272" s="1" t="s">
        <v>12</v>
      </c>
      <c r="I1272" s="1" t="s">
        <v>63</v>
      </c>
      <c r="J1272" s="1" t="s">
        <v>14</v>
      </c>
    </row>
    <row r="1273" spans="2:10" x14ac:dyDescent="0.3">
      <c r="B1273" s="1" t="s">
        <v>1630</v>
      </c>
      <c r="C1273" s="1" t="s">
        <v>19</v>
      </c>
      <c r="D1273" s="2" t="s">
        <v>584</v>
      </c>
      <c r="E1273" s="2" t="s">
        <v>584</v>
      </c>
      <c r="F1273" s="2" t="s">
        <v>11</v>
      </c>
      <c r="G1273" s="3" t="s">
        <v>1637</v>
      </c>
      <c r="H1273" s="1" t="s">
        <v>12</v>
      </c>
      <c r="I1273" s="1" t="s">
        <v>104</v>
      </c>
      <c r="J1273" s="1" t="s">
        <v>14</v>
      </c>
    </row>
    <row r="1274" spans="2:10" x14ac:dyDescent="0.3">
      <c r="B1274" s="1" t="s">
        <v>1630</v>
      </c>
      <c r="C1274" s="1" t="s">
        <v>15</v>
      </c>
      <c r="D1274" s="2" t="s">
        <v>443</v>
      </c>
      <c r="E1274" s="2" t="s">
        <v>443</v>
      </c>
      <c r="F1274" s="2" t="s">
        <v>11</v>
      </c>
      <c r="G1274" s="3" t="s">
        <v>1638</v>
      </c>
      <c r="H1274" s="1" t="s">
        <v>12</v>
      </c>
      <c r="I1274" s="1" t="s">
        <v>49</v>
      </c>
      <c r="J1274" s="1" t="s">
        <v>14</v>
      </c>
    </row>
    <row r="1275" spans="2:10" x14ac:dyDescent="0.3">
      <c r="B1275" s="1" t="s">
        <v>1630</v>
      </c>
      <c r="C1275" s="1" t="s">
        <v>23</v>
      </c>
      <c r="D1275" s="2" t="s">
        <v>192</v>
      </c>
      <c r="E1275" s="2" t="s">
        <v>192</v>
      </c>
      <c r="F1275" s="2" t="s">
        <v>11</v>
      </c>
      <c r="G1275" s="3" t="s">
        <v>1205</v>
      </c>
      <c r="H1275" s="1" t="s">
        <v>12</v>
      </c>
      <c r="I1275" s="1" t="s">
        <v>51</v>
      </c>
      <c r="J1275" s="1" t="s">
        <v>14</v>
      </c>
    </row>
    <row r="1276" spans="2:10" x14ac:dyDescent="0.3">
      <c r="B1276" s="1" t="s">
        <v>1630</v>
      </c>
      <c r="C1276" s="1" t="s">
        <v>26</v>
      </c>
      <c r="D1276" s="2" t="s">
        <v>751</v>
      </c>
      <c r="E1276" s="2" t="s">
        <v>751</v>
      </c>
      <c r="F1276" s="2" t="s">
        <v>11</v>
      </c>
      <c r="G1276" s="3" t="s">
        <v>1639</v>
      </c>
      <c r="H1276" s="1" t="s">
        <v>12</v>
      </c>
      <c r="I1276" s="1" t="s">
        <v>76</v>
      </c>
      <c r="J1276" s="1" t="s">
        <v>14</v>
      </c>
    </row>
    <row r="1277" spans="2:10" x14ac:dyDescent="0.3">
      <c r="B1277" s="1" t="s">
        <v>1630</v>
      </c>
      <c r="C1277" s="1" t="s">
        <v>10</v>
      </c>
      <c r="D1277" s="2" t="s">
        <v>751</v>
      </c>
      <c r="E1277" s="2" t="s">
        <v>751</v>
      </c>
      <c r="F1277" s="2" t="s">
        <v>11</v>
      </c>
      <c r="G1277" s="3" t="s">
        <v>1640</v>
      </c>
      <c r="H1277" s="1" t="s">
        <v>12</v>
      </c>
      <c r="I1277" s="1" t="s">
        <v>58</v>
      </c>
      <c r="J1277" s="1" t="s">
        <v>14</v>
      </c>
    </row>
    <row r="1278" spans="2:10" x14ac:dyDescent="0.3">
      <c r="B1278" s="1" t="s">
        <v>1630</v>
      </c>
      <c r="C1278" s="1" t="s">
        <v>24</v>
      </c>
      <c r="D1278" s="2" t="s">
        <v>529</v>
      </c>
      <c r="E1278" s="2" t="s">
        <v>529</v>
      </c>
      <c r="F1278" s="2" t="s">
        <v>11</v>
      </c>
      <c r="G1278" s="3" t="s">
        <v>1641</v>
      </c>
      <c r="H1278" s="1" t="s">
        <v>12</v>
      </c>
      <c r="I1278" s="1" t="s">
        <v>60</v>
      </c>
      <c r="J1278" s="1" t="s">
        <v>14</v>
      </c>
    </row>
    <row r="1279" spans="2:10" x14ac:dyDescent="0.3">
      <c r="B1279" s="1" t="s">
        <v>1630</v>
      </c>
      <c r="C1279" s="1" t="s">
        <v>17</v>
      </c>
      <c r="D1279" s="2" t="s">
        <v>322</v>
      </c>
      <c r="E1279" s="2" t="s">
        <v>322</v>
      </c>
      <c r="F1279" s="2" t="s">
        <v>11</v>
      </c>
      <c r="G1279" s="3" t="s">
        <v>1642</v>
      </c>
      <c r="H1279" s="1" t="s">
        <v>12</v>
      </c>
      <c r="I1279" s="1" t="s">
        <v>36</v>
      </c>
      <c r="J1279" s="1" t="s">
        <v>14</v>
      </c>
    </row>
    <row r="1280" spans="2:10" x14ac:dyDescent="0.3">
      <c r="B1280" s="1" t="s">
        <v>1630</v>
      </c>
      <c r="C1280" s="1" t="s">
        <v>29</v>
      </c>
      <c r="D1280" s="2" t="s">
        <v>529</v>
      </c>
      <c r="E1280" s="2" t="s">
        <v>529</v>
      </c>
      <c r="F1280" s="2" t="s">
        <v>11</v>
      </c>
      <c r="G1280" s="3" t="s">
        <v>932</v>
      </c>
      <c r="H1280" s="1" t="s">
        <v>12</v>
      </c>
      <c r="I1280" s="1" t="s">
        <v>16</v>
      </c>
      <c r="J1280" s="1" t="s">
        <v>14</v>
      </c>
    </row>
    <row r="1281" spans="2:10" x14ac:dyDescent="0.3">
      <c r="B1281" s="1" t="s">
        <v>1630</v>
      </c>
      <c r="C1281" s="1" t="s">
        <v>31</v>
      </c>
      <c r="D1281" s="2" t="s">
        <v>584</v>
      </c>
      <c r="E1281" s="2" t="s">
        <v>584</v>
      </c>
      <c r="F1281" s="2" t="s">
        <v>11</v>
      </c>
      <c r="G1281" s="3" t="s">
        <v>1643</v>
      </c>
      <c r="H1281" s="1" t="s">
        <v>12</v>
      </c>
      <c r="I1281" s="1" t="s">
        <v>69</v>
      </c>
      <c r="J1281" s="1" t="s">
        <v>14</v>
      </c>
    </row>
    <row r="1282" spans="2:10" x14ac:dyDescent="0.3">
      <c r="B1282" s="1" t="s">
        <v>1630</v>
      </c>
      <c r="C1282" s="1" t="s">
        <v>35</v>
      </c>
      <c r="D1282" s="2" t="s">
        <v>529</v>
      </c>
      <c r="E1282" s="2" t="s">
        <v>529</v>
      </c>
      <c r="F1282" s="2" t="s">
        <v>11</v>
      </c>
      <c r="G1282" s="3" t="s">
        <v>1644</v>
      </c>
      <c r="H1282" s="1" t="s">
        <v>12</v>
      </c>
      <c r="I1282" s="1" t="s">
        <v>51</v>
      </c>
      <c r="J1282" s="1" t="s">
        <v>14</v>
      </c>
    </row>
    <row r="1283" spans="2:10" x14ac:dyDescent="0.3">
      <c r="B1283" s="1" t="s">
        <v>1630</v>
      </c>
      <c r="C1283" s="1" t="s">
        <v>38</v>
      </c>
      <c r="D1283" s="2" t="s">
        <v>529</v>
      </c>
      <c r="E1283" s="2" t="s">
        <v>529</v>
      </c>
      <c r="F1283" s="2" t="s">
        <v>11</v>
      </c>
      <c r="G1283" s="3" t="s">
        <v>845</v>
      </c>
      <c r="H1283" s="1" t="s">
        <v>12</v>
      </c>
      <c r="I1283" s="1" t="s">
        <v>94</v>
      </c>
      <c r="J1283" s="1" t="s">
        <v>14</v>
      </c>
    </row>
    <row r="1284" spans="2:10" x14ac:dyDescent="0.3">
      <c r="B1284" s="1" t="s">
        <v>1630</v>
      </c>
      <c r="C1284" s="1" t="s">
        <v>45</v>
      </c>
      <c r="D1284" s="2" t="s">
        <v>783</v>
      </c>
      <c r="E1284" s="2" t="s">
        <v>783</v>
      </c>
      <c r="F1284" s="2" t="s">
        <v>11</v>
      </c>
      <c r="G1284" s="3" t="s">
        <v>1645</v>
      </c>
      <c r="H1284" s="1" t="s">
        <v>12</v>
      </c>
      <c r="I1284" s="1" t="s">
        <v>64</v>
      </c>
      <c r="J1284" s="1" t="s">
        <v>14</v>
      </c>
    </row>
    <row r="1285" spans="2:10" x14ac:dyDescent="0.3">
      <c r="B1285" s="1" t="s">
        <v>1630</v>
      </c>
      <c r="C1285" s="1" t="s">
        <v>21</v>
      </c>
      <c r="D1285" s="2" t="s">
        <v>751</v>
      </c>
      <c r="E1285" s="2" t="s">
        <v>751</v>
      </c>
      <c r="F1285" s="2" t="s">
        <v>11</v>
      </c>
      <c r="G1285" s="3" t="s">
        <v>1646</v>
      </c>
      <c r="H1285" s="1" t="s">
        <v>12</v>
      </c>
      <c r="I1285" s="1" t="s">
        <v>51</v>
      </c>
      <c r="J1285" s="1" t="s">
        <v>14</v>
      </c>
    </row>
    <row r="1286" spans="2:10" x14ac:dyDescent="0.3">
      <c r="B1286" s="1" t="s">
        <v>1647</v>
      </c>
      <c r="C1286" s="1" t="s">
        <v>26</v>
      </c>
      <c r="D1286" s="2" t="s">
        <v>1456</v>
      </c>
      <c r="E1286" s="2" t="s">
        <v>1456</v>
      </c>
      <c r="F1286" s="2" t="s">
        <v>11</v>
      </c>
      <c r="G1286" s="3" t="s">
        <v>1648</v>
      </c>
      <c r="H1286" s="1" t="s">
        <v>12</v>
      </c>
      <c r="I1286" s="1" t="s">
        <v>50</v>
      </c>
      <c r="J1286" s="1" t="s">
        <v>14</v>
      </c>
    </row>
    <row r="1287" spans="2:10" x14ac:dyDescent="0.3">
      <c r="B1287" s="1" t="s">
        <v>1647</v>
      </c>
      <c r="C1287" s="1" t="s">
        <v>45</v>
      </c>
      <c r="D1287" s="2" t="s">
        <v>696</v>
      </c>
      <c r="E1287" s="2" t="s">
        <v>696</v>
      </c>
      <c r="F1287" s="2" t="s">
        <v>11</v>
      </c>
      <c r="G1287" s="3" t="s">
        <v>1649</v>
      </c>
      <c r="H1287" s="1" t="s">
        <v>12</v>
      </c>
      <c r="I1287" s="1" t="s">
        <v>48</v>
      </c>
      <c r="J1287" s="1" t="s">
        <v>14</v>
      </c>
    </row>
    <row r="1288" spans="2:10" x14ac:dyDescent="0.3">
      <c r="B1288" s="1" t="s">
        <v>1647</v>
      </c>
      <c r="C1288" s="1" t="s">
        <v>46</v>
      </c>
      <c r="D1288" s="2" t="s">
        <v>1456</v>
      </c>
      <c r="E1288" s="2" t="s">
        <v>1456</v>
      </c>
      <c r="F1288" s="2" t="s">
        <v>11</v>
      </c>
      <c r="G1288" s="3" t="s">
        <v>1650</v>
      </c>
      <c r="H1288" s="1" t="s">
        <v>12</v>
      </c>
      <c r="I1288" s="1" t="s">
        <v>58</v>
      </c>
      <c r="J1288" s="1" t="s">
        <v>14</v>
      </c>
    </row>
    <row r="1289" spans="2:10" x14ac:dyDescent="0.3">
      <c r="B1289" s="1" t="s">
        <v>1647</v>
      </c>
      <c r="C1289" s="1" t="s">
        <v>36</v>
      </c>
      <c r="D1289" s="2" t="s">
        <v>1456</v>
      </c>
      <c r="E1289" s="2" t="s">
        <v>1456</v>
      </c>
      <c r="F1289" s="2" t="s">
        <v>11</v>
      </c>
      <c r="G1289" s="3" t="s">
        <v>1651</v>
      </c>
      <c r="H1289" s="1" t="s">
        <v>12</v>
      </c>
      <c r="I1289" s="1" t="s">
        <v>74</v>
      </c>
      <c r="J1289" s="1" t="s">
        <v>14</v>
      </c>
    </row>
    <row r="1290" spans="2:10" x14ac:dyDescent="0.3">
      <c r="B1290" s="1" t="s">
        <v>1647</v>
      </c>
      <c r="C1290" s="1" t="s">
        <v>31</v>
      </c>
      <c r="D1290" s="2" t="s">
        <v>322</v>
      </c>
      <c r="E1290" s="2" t="s">
        <v>322</v>
      </c>
      <c r="F1290" s="2" t="s">
        <v>11</v>
      </c>
      <c r="G1290" s="3" t="s">
        <v>1652</v>
      </c>
      <c r="H1290" s="1" t="s">
        <v>12</v>
      </c>
      <c r="I1290" s="1" t="s">
        <v>97</v>
      </c>
      <c r="J1290" s="1" t="s">
        <v>14</v>
      </c>
    </row>
    <row r="1291" spans="2:10" x14ac:dyDescent="0.3">
      <c r="B1291" s="1" t="s">
        <v>1647</v>
      </c>
      <c r="C1291" s="1" t="s">
        <v>10</v>
      </c>
      <c r="D1291" s="2" t="s">
        <v>766</v>
      </c>
      <c r="E1291" s="2" t="s">
        <v>766</v>
      </c>
      <c r="F1291" s="2" t="s">
        <v>11</v>
      </c>
      <c r="G1291" s="3" t="s">
        <v>1653</v>
      </c>
      <c r="H1291" s="1" t="s">
        <v>12</v>
      </c>
      <c r="I1291" s="1" t="s">
        <v>51</v>
      </c>
      <c r="J1291" s="1" t="s">
        <v>14</v>
      </c>
    </row>
    <row r="1292" spans="2:10" x14ac:dyDescent="0.3">
      <c r="B1292" s="1" t="s">
        <v>1647</v>
      </c>
      <c r="C1292" s="1" t="s">
        <v>28</v>
      </c>
      <c r="D1292" s="2" t="s">
        <v>779</v>
      </c>
      <c r="E1292" s="2" t="s">
        <v>779</v>
      </c>
      <c r="F1292" s="2" t="s">
        <v>11</v>
      </c>
      <c r="G1292" s="3" t="s">
        <v>1654</v>
      </c>
      <c r="H1292" s="1" t="s">
        <v>12</v>
      </c>
      <c r="I1292" s="1" t="s">
        <v>131</v>
      </c>
      <c r="J1292" s="1" t="s">
        <v>14</v>
      </c>
    </row>
    <row r="1293" spans="2:10" x14ac:dyDescent="0.3">
      <c r="B1293" s="1" t="s">
        <v>1647</v>
      </c>
      <c r="C1293" s="1" t="s">
        <v>19</v>
      </c>
      <c r="D1293" s="2" t="s">
        <v>766</v>
      </c>
      <c r="E1293" s="2" t="s">
        <v>766</v>
      </c>
      <c r="F1293" s="2" t="s">
        <v>11</v>
      </c>
      <c r="G1293" s="3" t="s">
        <v>1655</v>
      </c>
      <c r="H1293" s="1" t="s">
        <v>12</v>
      </c>
      <c r="I1293" s="1" t="s">
        <v>13</v>
      </c>
      <c r="J1293" s="1" t="s">
        <v>14</v>
      </c>
    </row>
    <row r="1294" spans="2:10" x14ac:dyDescent="0.3">
      <c r="B1294" s="1" t="s">
        <v>1647</v>
      </c>
      <c r="C1294" s="1" t="s">
        <v>15</v>
      </c>
      <c r="D1294" s="2" t="s">
        <v>1456</v>
      </c>
      <c r="E1294" s="2" t="s">
        <v>1456</v>
      </c>
      <c r="F1294" s="2" t="s">
        <v>11</v>
      </c>
      <c r="G1294" s="3" t="s">
        <v>303</v>
      </c>
      <c r="H1294" s="1" t="s">
        <v>12</v>
      </c>
      <c r="I1294" s="1" t="s">
        <v>72</v>
      </c>
      <c r="J1294" s="1" t="s">
        <v>14</v>
      </c>
    </row>
    <row r="1295" spans="2:10" x14ac:dyDescent="0.3">
      <c r="B1295" s="1" t="s">
        <v>1647</v>
      </c>
      <c r="C1295" s="1" t="s">
        <v>39</v>
      </c>
      <c r="D1295" s="2" t="s">
        <v>700</v>
      </c>
      <c r="E1295" s="2" t="s">
        <v>700</v>
      </c>
      <c r="F1295" s="2" t="s">
        <v>11</v>
      </c>
      <c r="G1295" s="3" t="s">
        <v>1656</v>
      </c>
      <c r="H1295" s="1" t="s">
        <v>12</v>
      </c>
      <c r="I1295" s="1" t="s">
        <v>49</v>
      </c>
      <c r="J1295" s="1" t="s">
        <v>52</v>
      </c>
    </row>
    <row r="1296" spans="2:10" x14ac:dyDescent="0.3">
      <c r="B1296" s="1" t="s">
        <v>1647</v>
      </c>
      <c r="C1296" s="1" t="s">
        <v>43</v>
      </c>
      <c r="D1296" s="2" t="s">
        <v>1456</v>
      </c>
      <c r="E1296" s="2" t="s">
        <v>1456</v>
      </c>
      <c r="F1296" s="2" t="s">
        <v>11</v>
      </c>
      <c r="G1296" s="3" t="s">
        <v>1657</v>
      </c>
      <c r="H1296" s="1" t="s">
        <v>12</v>
      </c>
      <c r="I1296" s="1" t="s">
        <v>68</v>
      </c>
      <c r="J1296" s="1" t="s">
        <v>14</v>
      </c>
    </row>
    <row r="1297" spans="2:10" x14ac:dyDescent="0.3">
      <c r="B1297" s="1" t="s">
        <v>1647</v>
      </c>
      <c r="C1297" s="1" t="s">
        <v>35</v>
      </c>
      <c r="D1297" s="2" t="s">
        <v>766</v>
      </c>
      <c r="E1297" s="2" t="s">
        <v>766</v>
      </c>
      <c r="F1297" s="2" t="s">
        <v>11</v>
      </c>
      <c r="G1297" s="3" t="s">
        <v>1308</v>
      </c>
      <c r="H1297" s="1" t="s">
        <v>12</v>
      </c>
      <c r="I1297" s="1" t="s">
        <v>25</v>
      </c>
      <c r="J1297" s="1" t="s">
        <v>14</v>
      </c>
    </row>
    <row r="1298" spans="2:10" x14ac:dyDescent="0.3">
      <c r="B1298" s="1" t="s">
        <v>1647</v>
      </c>
      <c r="C1298" s="1" t="s">
        <v>33</v>
      </c>
      <c r="D1298" s="2" t="s">
        <v>1456</v>
      </c>
      <c r="E1298" s="2" t="s">
        <v>1456</v>
      </c>
      <c r="F1298" s="2" t="s">
        <v>11</v>
      </c>
      <c r="G1298" s="3" t="s">
        <v>1658</v>
      </c>
      <c r="H1298" s="1" t="s">
        <v>12</v>
      </c>
      <c r="I1298" s="1" t="s">
        <v>34</v>
      </c>
      <c r="J1298" s="1" t="s">
        <v>14</v>
      </c>
    </row>
    <row r="1299" spans="2:10" x14ac:dyDescent="0.3">
      <c r="B1299" s="1" t="s">
        <v>1647</v>
      </c>
      <c r="C1299" s="1" t="s">
        <v>23</v>
      </c>
      <c r="D1299" s="2" t="s">
        <v>1456</v>
      </c>
      <c r="E1299" s="2" t="s">
        <v>1456</v>
      </c>
      <c r="F1299" s="2" t="s">
        <v>11</v>
      </c>
      <c r="G1299" s="3" t="s">
        <v>1659</v>
      </c>
      <c r="H1299" s="1" t="s">
        <v>12</v>
      </c>
      <c r="I1299" s="1" t="s">
        <v>87</v>
      </c>
      <c r="J1299" s="1" t="s">
        <v>14</v>
      </c>
    </row>
    <row r="1300" spans="2:10" x14ac:dyDescent="0.3">
      <c r="B1300" s="1" t="s">
        <v>1647</v>
      </c>
      <c r="C1300" s="1" t="s">
        <v>29</v>
      </c>
      <c r="D1300" s="2" t="s">
        <v>779</v>
      </c>
      <c r="E1300" s="2" t="s">
        <v>779</v>
      </c>
      <c r="F1300" s="2" t="s">
        <v>11</v>
      </c>
      <c r="G1300" s="3" t="s">
        <v>1660</v>
      </c>
      <c r="H1300" s="1" t="s">
        <v>12</v>
      </c>
      <c r="I1300" s="1" t="s">
        <v>47</v>
      </c>
      <c r="J1300" s="1" t="s">
        <v>14</v>
      </c>
    </row>
    <row r="1301" spans="2:10" x14ac:dyDescent="0.3">
      <c r="B1301" s="1" t="s">
        <v>1647</v>
      </c>
      <c r="C1301" s="1" t="s">
        <v>38</v>
      </c>
      <c r="D1301" s="2" t="s">
        <v>758</v>
      </c>
      <c r="E1301" s="2" t="s">
        <v>758</v>
      </c>
      <c r="F1301" s="2" t="s">
        <v>11</v>
      </c>
      <c r="G1301" s="3" t="s">
        <v>1661</v>
      </c>
      <c r="H1301" s="1" t="s">
        <v>12</v>
      </c>
      <c r="I1301" s="1" t="s">
        <v>51</v>
      </c>
      <c r="J1301" s="1" t="s">
        <v>14</v>
      </c>
    </row>
    <row r="1302" spans="2:10" x14ac:dyDescent="0.3">
      <c r="B1302" s="1" t="s">
        <v>1647</v>
      </c>
      <c r="C1302" s="1" t="s">
        <v>41</v>
      </c>
      <c r="D1302" s="2" t="s">
        <v>766</v>
      </c>
      <c r="E1302" s="2" t="s">
        <v>766</v>
      </c>
      <c r="F1302" s="2" t="s">
        <v>11</v>
      </c>
      <c r="G1302" s="3" t="s">
        <v>166</v>
      </c>
      <c r="H1302" s="1" t="s">
        <v>12</v>
      </c>
      <c r="I1302" s="1" t="s">
        <v>49</v>
      </c>
      <c r="J1302" s="1" t="s">
        <v>14</v>
      </c>
    </row>
    <row r="1303" spans="2:10" x14ac:dyDescent="0.3">
      <c r="B1303" s="1" t="s">
        <v>1647</v>
      </c>
      <c r="C1303" s="1" t="s">
        <v>24</v>
      </c>
      <c r="D1303" s="2" t="s">
        <v>187</v>
      </c>
      <c r="E1303" s="2" t="s">
        <v>187</v>
      </c>
      <c r="F1303" s="2" t="s">
        <v>11</v>
      </c>
      <c r="G1303" s="3" t="s">
        <v>1662</v>
      </c>
      <c r="H1303" s="1" t="s">
        <v>12</v>
      </c>
      <c r="I1303" s="1" t="s">
        <v>47</v>
      </c>
      <c r="J1303" s="1" t="s">
        <v>14</v>
      </c>
    </row>
    <row r="1304" spans="2:10" x14ac:dyDescent="0.3">
      <c r="B1304" s="1" t="s">
        <v>1647</v>
      </c>
      <c r="C1304" s="1" t="s">
        <v>17</v>
      </c>
      <c r="D1304" s="2" t="s">
        <v>696</v>
      </c>
      <c r="E1304" s="2" t="s">
        <v>696</v>
      </c>
      <c r="F1304" s="2" t="s">
        <v>11</v>
      </c>
      <c r="G1304" s="3" t="s">
        <v>1663</v>
      </c>
      <c r="H1304" s="1" t="s">
        <v>12</v>
      </c>
      <c r="I1304" s="1" t="s">
        <v>49</v>
      </c>
      <c r="J1304" s="1" t="s">
        <v>14</v>
      </c>
    </row>
    <row r="1305" spans="2:10" x14ac:dyDescent="0.3">
      <c r="B1305" s="1" t="s">
        <v>1647</v>
      </c>
      <c r="C1305" s="1" t="s">
        <v>21</v>
      </c>
      <c r="D1305" s="2" t="s">
        <v>638</v>
      </c>
      <c r="E1305" s="2" t="s">
        <v>1123</v>
      </c>
      <c r="F1305" s="2" t="s">
        <v>11</v>
      </c>
      <c r="G1305" s="3" t="s">
        <v>1664</v>
      </c>
      <c r="H1305" s="1" t="s">
        <v>12</v>
      </c>
      <c r="I1305" s="1" t="s">
        <v>10</v>
      </c>
      <c r="J1305" s="1" t="s">
        <v>52</v>
      </c>
    </row>
    <row r="1306" spans="2:10" x14ac:dyDescent="0.3">
      <c r="B1306" s="1" t="s">
        <v>1665</v>
      </c>
      <c r="C1306" s="1" t="s">
        <v>17</v>
      </c>
      <c r="D1306" s="2" t="s">
        <v>696</v>
      </c>
      <c r="E1306" s="2" t="s">
        <v>696</v>
      </c>
      <c r="F1306" s="2" t="s">
        <v>11</v>
      </c>
      <c r="G1306" s="3" t="s">
        <v>1666</v>
      </c>
      <c r="H1306" s="1" t="s">
        <v>12</v>
      </c>
      <c r="I1306" s="1" t="s">
        <v>42</v>
      </c>
      <c r="J1306" s="1" t="s">
        <v>14</v>
      </c>
    </row>
    <row r="1307" spans="2:10" x14ac:dyDescent="0.3">
      <c r="B1307" s="1" t="s">
        <v>1665</v>
      </c>
      <c r="C1307" s="1" t="s">
        <v>21</v>
      </c>
      <c r="D1307" s="2" t="s">
        <v>316</v>
      </c>
      <c r="E1307" s="2" t="s">
        <v>314</v>
      </c>
      <c r="F1307" s="2" t="s">
        <v>11</v>
      </c>
      <c r="G1307" s="3" t="s">
        <v>1667</v>
      </c>
      <c r="H1307" s="1" t="s">
        <v>12</v>
      </c>
      <c r="I1307" s="1" t="s">
        <v>35</v>
      </c>
      <c r="J1307" s="1" t="s">
        <v>52</v>
      </c>
    </row>
    <row r="1308" spans="2:10" x14ac:dyDescent="0.3">
      <c r="B1308" s="1" t="s">
        <v>1665</v>
      </c>
      <c r="C1308" s="1" t="s">
        <v>35</v>
      </c>
      <c r="D1308" s="2" t="s">
        <v>875</v>
      </c>
      <c r="E1308" s="2" t="s">
        <v>875</v>
      </c>
      <c r="F1308" s="2" t="s">
        <v>11</v>
      </c>
      <c r="G1308" s="3" t="s">
        <v>1668</v>
      </c>
      <c r="H1308" s="1" t="s">
        <v>12</v>
      </c>
      <c r="I1308" s="1" t="s">
        <v>63</v>
      </c>
      <c r="J1308" s="1" t="s">
        <v>14</v>
      </c>
    </row>
    <row r="1309" spans="2:10" x14ac:dyDescent="0.3">
      <c r="B1309" s="1" t="s">
        <v>1665</v>
      </c>
      <c r="C1309" s="1" t="s">
        <v>24</v>
      </c>
      <c r="D1309" s="2" t="s">
        <v>195</v>
      </c>
      <c r="E1309" s="2" t="s">
        <v>195</v>
      </c>
      <c r="F1309" s="2" t="s">
        <v>11</v>
      </c>
      <c r="G1309" s="3" t="s">
        <v>1669</v>
      </c>
      <c r="H1309" s="1" t="s">
        <v>12</v>
      </c>
      <c r="I1309" s="1" t="s">
        <v>34</v>
      </c>
      <c r="J1309" s="1" t="s">
        <v>14</v>
      </c>
    </row>
    <row r="1310" spans="2:10" x14ac:dyDescent="0.3">
      <c r="B1310" s="1" t="s">
        <v>1665</v>
      </c>
      <c r="C1310" s="1" t="s">
        <v>38</v>
      </c>
      <c r="D1310" s="2" t="s">
        <v>747</v>
      </c>
      <c r="E1310" s="2" t="s">
        <v>747</v>
      </c>
      <c r="F1310" s="2" t="s">
        <v>11</v>
      </c>
      <c r="G1310" s="3" t="s">
        <v>1670</v>
      </c>
      <c r="H1310" s="1" t="s">
        <v>12</v>
      </c>
      <c r="I1310" s="1" t="s">
        <v>42</v>
      </c>
      <c r="J1310" s="1" t="s">
        <v>14</v>
      </c>
    </row>
    <row r="1311" spans="2:10" x14ac:dyDescent="0.3">
      <c r="B1311" s="1" t="s">
        <v>1665</v>
      </c>
      <c r="C1311" s="1" t="s">
        <v>43</v>
      </c>
      <c r="D1311" s="2" t="s">
        <v>455</v>
      </c>
      <c r="E1311" s="2" t="s">
        <v>455</v>
      </c>
      <c r="F1311" s="2" t="s">
        <v>11</v>
      </c>
      <c r="G1311" s="3" t="s">
        <v>1671</v>
      </c>
      <c r="H1311" s="1" t="s">
        <v>12</v>
      </c>
      <c r="I1311" s="1" t="s">
        <v>42</v>
      </c>
      <c r="J1311" s="1" t="s">
        <v>14</v>
      </c>
    </row>
    <row r="1312" spans="2:10" x14ac:dyDescent="0.3">
      <c r="B1312" s="1" t="s">
        <v>1665</v>
      </c>
      <c r="C1312" s="1" t="s">
        <v>41</v>
      </c>
      <c r="D1312" s="2" t="s">
        <v>747</v>
      </c>
      <c r="E1312" s="2" t="s">
        <v>747</v>
      </c>
      <c r="F1312" s="2" t="s">
        <v>11</v>
      </c>
      <c r="G1312" s="3" t="s">
        <v>1672</v>
      </c>
      <c r="H1312" s="1" t="s">
        <v>12</v>
      </c>
      <c r="I1312" s="1" t="s">
        <v>69</v>
      </c>
      <c r="J1312" s="1" t="s">
        <v>14</v>
      </c>
    </row>
    <row r="1313" spans="2:10" x14ac:dyDescent="0.3">
      <c r="B1313" s="1" t="s">
        <v>1665</v>
      </c>
      <c r="C1313" s="1" t="s">
        <v>36</v>
      </c>
      <c r="D1313" s="2" t="s">
        <v>1673</v>
      </c>
      <c r="E1313" s="2" t="s">
        <v>1674</v>
      </c>
      <c r="F1313" s="2" t="s">
        <v>11</v>
      </c>
      <c r="G1313" s="3" t="s">
        <v>533</v>
      </c>
      <c r="H1313" s="1" t="s">
        <v>12</v>
      </c>
      <c r="I1313" s="1" t="s">
        <v>15</v>
      </c>
      <c r="J1313" s="1" t="s">
        <v>52</v>
      </c>
    </row>
    <row r="1314" spans="2:10" x14ac:dyDescent="0.3">
      <c r="B1314" s="1" t="s">
        <v>1665</v>
      </c>
      <c r="C1314" s="1" t="s">
        <v>19</v>
      </c>
      <c r="D1314" s="2" t="s">
        <v>758</v>
      </c>
      <c r="E1314" s="2" t="s">
        <v>758</v>
      </c>
      <c r="F1314" s="2" t="s">
        <v>11</v>
      </c>
      <c r="G1314" s="3" t="s">
        <v>1675</v>
      </c>
      <c r="H1314" s="1" t="s">
        <v>12</v>
      </c>
      <c r="I1314" s="1" t="s">
        <v>13</v>
      </c>
      <c r="J1314" s="1" t="s">
        <v>14</v>
      </c>
    </row>
    <row r="1315" spans="2:10" x14ac:dyDescent="0.3">
      <c r="B1315" s="1" t="s">
        <v>1665</v>
      </c>
      <c r="C1315" s="1" t="s">
        <v>29</v>
      </c>
      <c r="D1315" s="2" t="s">
        <v>696</v>
      </c>
      <c r="E1315" s="2" t="s">
        <v>696</v>
      </c>
      <c r="F1315" s="2" t="s">
        <v>11</v>
      </c>
      <c r="G1315" s="3" t="s">
        <v>1676</v>
      </c>
      <c r="H1315" s="1" t="s">
        <v>12</v>
      </c>
      <c r="I1315" s="1" t="s">
        <v>83</v>
      </c>
      <c r="J1315" s="1" t="s">
        <v>14</v>
      </c>
    </row>
    <row r="1316" spans="2:10" x14ac:dyDescent="0.3">
      <c r="B1316" s="1" t="s">
        <v>1665</v>
      </c>
      <c r="C1316" s="1" t="s">
        <v>26</v>
      </c>
      <c r="D1316" s="2" t="s">
        <v>696</v>
      </c>
      <c r="E1316" s="2" t="s">
        <v>696</v>
      </c>
      <c r="F1316" s="2" t="s">
        <v>11</v>
      </c>
      <c r="G1316" s="3" t="s">
        <v>1677</v>
      </c>
      <c r="H1316" s="1" t="s">
        <v>12</v>
      </c>
      <c r="I1316" s="1" t="s">
        <v>64</v>
      </c>
      <c r="J1316" s="1" t="s">
        <v>14</v>
      </c>
    </row>
    <row r="1317" spans="2:10" x14ac:dyDescent="0.3">
      <c r="B1317" s="1" t="s">
        <v>1665</v>
      </c>
      <c r="C1317" s="1" t="s">
        <v>31</v>
      </c>
      <c r="D1317" s="2" t="s">
        <v>696</v>
      </c>
      <c r="E1317" s="2" t="s">
        <v>696</v>
      </c>
      <c r="F1317" s="2" t="s">
        <v>11</v>
      </c>
      <c r="G1317" s="3" t="s">
        <v>1678</v>
      </c>
      <c r="H1317" s="1" t="s">
        <v>12</v>
      </c>
      <c r="I1317" s="1" t="s">
        <v>37</v>
      </c>
      <c r="J1317" s="1" t="s">
        <v>14</v>
      </c>
    </row>
    <row r="1318" spans="2:10" x14ac:dyDescent="0.3">
      <c r="B1318" s="1" t="s">
        <v>1665</v>
      </c>
      <c r="C1318" s="1" t="s">
        <v>33</v>
      </c>
      <c r="D1318" s="2" t="s">
        <v>1075</v>
      </c>
      <c r="E1318" s="2" t="s">
        <v>1123</v>
      </c>
      <c r="F1318" s="2" t="s">
        <v>11</v>
      </c>
      <c r="G1318" s="3" t="s">
        <v>1679</v>
      </c>
      <c r="H1318" s="1" t="s">
        <v>12</v>
      </c>
      <c r="I1318" s="1" t="s">
        <v>10</v>
      </c>
      <c r="J1318" s="1" t="s">
        <v>52</v>
      </c>
    </row>
    <row r="1319" spans="2:10" x14ac:dyDescent="0.3">
      <c r="B1319" s="1" t="s">
        <v>1665</v>
      </c>
      <c r="C1319" s="1" t="s">
        <v>45</v>
      </c>
      <c r="D1319" s="2" t="s">
        <v>512</v>
      </c>
      <c r="E1319" s="2" t="s">
        <v>512</v>
      </c>
      <c r="F1319" s="2" t="s">
        <v>11</v>
      </c>
      <c r="G1319" s="3" t="s">
        <v>285</v>
      </c>
      <c r="H1319" s="1" t="s">
        <v>12</v>
      </c>
      <c r="I1319" s="1" t="s">
        <v>49</v>
      </c>
      <c r="J1319" s="1" t="s">
        <v>14</v>
      </c>
    </row>
    <row r="1320" spans="2:10" x14ac:dyDescent="0.3">
      <c r="B1320" s="1" t="s">
        <v>1665</v>
      </c>
      <c r="C1320" s="1" t="s">
        <v>46</v>
      </c>
      <c r="D1320" s="2" t="s">
        <v>696</v>
      </c>
      <c r="E1320" s="2" t="s">
        <v>696</v>
      </c>
      <c r="F1320" s="2" t="s">
        <v>11</v>
      </c>
      <c r="G1320" s="3" t="s">
        <v>1680</v>
      </c>
      <c r="H1320" s="1" t="s">
        <v>12</v>
      </c>
      <c r="I1320" s="1" t="s">
        <v>42</v>
      </c>
      <c r="J1320" s="1" t="s">
        <v>14</v>
      </c>
    </row>
    <row r="1321" spans="2:10" x14ac:dyDescent="0.3">
      <c r="B1321" s="1" t="s">
        <v>1665</v>
      </c>
      <c r="C1321" s="1" t="s">
        <v>23</v>
      </c>
      <c r="D1321" s="2" t="s">
        <v>182</v>
      </c>
      <c r="E1321" s="2" t="s">
        <v>182</v>
      </c>
      <c r="F1321" s="2" t="s">
        <v>11</v>
      </c>
      <c r="G1321" s="3" t="s">
        <v>468</v>
      </c>
      <c r="H1321" s="1" t="s">
        <v>12</v>
      </c>
      <c r="I1321" s="1" t="s">
        <v>63</v>
      </c>
      <c r="J1321" s="1" t="s">
        <v>14</v>
      </c>
    </row>
    <row r="1322" spans="2:10" x14ac:dyDescent="0.3">
      <c r="B1322" s="1" t="s">
        <v>1665</v>
      </c>
      <c r="C1322" s="1" t="s">
        <v>10</v>
      </c>
      <c r="D1322" s="2" t="s">
        <v>823</v>
      </c>
      <c r="E1322" s="2" t="s">
        <v>823</v>
      </c>
      <c r="F1322" s="2" t="s">
        <v>11</v>
      </c>
      <c r="G1322" s="3" t="s">
        <v>1681</v>
      </c>
      <c r="H1322" s="1" t="s">
        <v>12</v>
      </c>
      <c r="I1322" s="1" t="s">
        <v>47</v>
      </c>
      <c r="J1322" s="1" t="s">
        <v>14</v>
      </c>
    </row>
    <row r="1323" spans="2:10" x14ac:dyDescent="0.3">
      <c r="B1323" s="1" t="s">
        <v>1665</v>
      </c>
      <c r="C1323" s="1" t="s">
        <v>28</v>
      </c>
      <c r="D1323" s="2" t="s">
        <v>316</v>
      </c>
      <c r="E1323" s="2" t="s">
        <v>316</v>
      </c>
      <c r="F1323" s="2" t="s">
        <v>11</v>
      </c>
      <c r="G1323" s="3" t="s">
        <v>171</v>
      </c>
      <c r="H1323" s="1" t="s">
        <v>12</v>
      </c>
      <c r="I1323" s="1" t="s">
        <v>18</v>
      </c>
      <c r="J1323" s="1" t="s">
        <v>14</v>
      </c>
    </row>
    <row r="1324" spans="2:10" x14ac:dyDescent="0.3">
      <c r="B1324" s="1" t="s">
        <v>1665</v>
      </c>
      <c r="C1324" s="1" t="s">
        <v>39</v>
      </c>
      <c r="D1324" s="2" t="s">
        <v>455</v>
      </c>
      <c r="E1324" s="2" t="s">
        <v>455</v>
      </c>
      <c r="F1324" s="2" t="s">
        <v>11</v>
      </c>
      <c r="G1324" s="3" t="s">
        <v>1682</v>
      </c>
      <c r="H1324" s="1" t="s">
        <v>12</v>
      </c>
      <c r="I1324" s="1" t="s">
        <v>51</v>
      </c>
      <c r="J1324" s="1" t="s">
        <v>14</v>
      </c>
    </row>
    <row r="1325" spans="2:10" x14ac:dyDescent="0.3">
      <c r="B1325" s="1" t="s">
        <v>1665</v>
      </c>
      <c r="C1325" s="1" t="s">
        <v>15</v>
      </c>
      <c r="D1325" s="2" t="s">
        <v>696</v>
      </c>
      <c r="E1325" s="2" t="s">
        <v>696</v>
      </c>
      <c r="F1325" s="2" t="s">
        <v>11</v>
      </c>
      <c r="G1325" s="3" t="s">
        <v>1683</v>
      </c>
      <c r="H1325" s="1" t="s">
        <v>12</v>
      </c>
      <c r="I1325" s="1" t="s">
        <v>48</v>
      </c>
      <c r="J1325" s="1" t="s">
        <v>14</v>
      </c>
    </row>
    <row r="1326" spans="2:10" x14ac:dyDescent="0.3">
      <c r="B1326" s="1" t="s">
        <v>1684</v>
      </c>
      <c r="C1326" s="1" t="s">
        <v>33</v>
      </c>
      <c r="D1326" s="2" t="s">
        <v>1685</v>
      </c>
      <c r="E1326" s="2" t="s">
        <v>1686</v>
      </c>
      <c r="F1326" s="2" t="s">
        <v>11</v>
      </c>
      <c r="G1326" s="3" t="s">
        <v>1687</v>
      </c>
      <c r="H1326" s="1" t="s">
        <v>12</v>
      </c>
      <c r="I1326" s="1" t="s">
        <v>10</v>
      </c>
      <c r="J1326" s="1" t="s">
        <v>52</v>
      </c>
    </row>
    <row r="1327" spans="2:10" x14ac:dyDescent="0.3">
      <c r="B1327" s="1" t="s">
        <v>1684</v>
      </c>
      <c r="C1327" s="1" t="s">
        <v>38</v>
      </c>
      <c r="D1327" s="2" t="s">
        <v>1080</v>
      </c>
      <c r="E1327" s="2" t="s">
        <v>1080</v>
      </c>
      <c r="F1327" s="2" t="s">
        <v>11</v>
      </c>
      <c r="G1327" s="3" t="s">
        <v>1688</v>
      </c>
      <c r="H1327" s="1" t="s">
        <v>12</v>
      </c>
      <c r="I1327" s="1" t="s">
        <v>50</v>
      </c>
      <c r="J1327" s="1" t="s">
        <v>14</v>
      </c>
    </row>
    <row r="1328" spans="2:10" x14ac:dyDescent="0.3">
      <c r="B1328" s="1" t="s">
        <v>1684</v>
      </c>
      <c r="C1328" s="1" t="s">
        <v>24</v>
      </c>
      <c r="D1328" s="2" t="s">
        <v>1689</v>
      </c>
      <c r="E1328" s="2" t="s">
        <v>1689</v>
      </c>
      <c r="F1328" s="2" t="s">
        <v>11</v>
      </c>
      <c r="G1328" s="3" t="s">
        <v>1690</v>
      </c>
      <c r="H1328" s="1" t="s">
        <v>12</v>
      </c>
      <c r="I1328" s="1" t="s">
        <v>30</v>
      </c>
      <c r="J1328" s="1" t="s">
        <v>14</v>
      </c>
    </row>
    <row r="1329" spans="2:10" x14ac:dyDescent="0.3">
      <c r="B1329" s="1" t="s">
        <v>1684</v>
      </c>
      <c r="C1329" s="1" t="s">
        <v>23</v>
      </c>
      <c r="D1329" s="2" t="s">
        <v>1342</v>
      </c>
      <c r="E1329" s="2" t="s">
        <v>1342</v>
      </c>
      <c r="F1329" s="2" t="s">
        <v>11</v>
      </c>
      <c r="G1329" s="3" t="s">
        <v>487</v>
      </c>
      <c r="H1329" s="1" t="s">
        <v>12</v>
      </c>
      <c r="I1329" s="1" t="s">
        <v>25</v>
      </c>
      <c r="J1329" s="1" t="s">
        <v>14</v>
      </c>
    </row>
    <row r="1330" spans="2:10" x14ac:dyDescent="0.3">
      <c r="B1330" s="1" t="s">
        <v>1684</v>
      </c>
      <c r="C1330" s="1" t="s">
        <v>15</v>
      </c>
      <c r="D1330" s="2" t="s">
        <v>578</v>
      </c>
      <c r="E1330" s="2" t="s">
        <v>578</v>
      </c>
      <c r="F1330" s="2" t="s">
        <v>11</v>
      </c>
      <c r="G1330" s="3" t="s">
        <v>1691</v>
      </c>
      <c r="H1330" s="1" t="s">
        <v>12</v>
      </c>
      <c r="I1330" s="1" t="s">
        <v>104</v>
      </c>
      <c r="J1330" s="1" t="s">
        <v>14</v>
      </c>
    </row>
    <row r="1331" spans="2:10" x14ac:dyDescent="0.3">
      <c r="B1331" s="1" t="s">
        <v>1684</v>
      </c>
      <c r="C1331" s="1" t="s">
        <v>21</v>
      </c>
      <c r="D1331" s="2" t="s">
        <v>1080</v>
      </c>
      <c r="E1331" s="2" t="s">
        <v>1080</v>
      </c>
      <c r="F1331" s="2" t="s">
        <v>11</v>
      </c>
      <c r="G1331" s="3" t="s">
        <v>1692</v>
      </c>
      <c r="H1331" s="1" t="s">
        <v>12</v>
      </c>
      <c r="I1331" s="1" t="s">
        <v>42</v>
      </c>
      <c r="J1331" s="1" t="s">
        <v>14</v>
      </c>
    </row>
    <row r="1332" spans="2:10" x14ac:dyDescent="0.3">
      <c r="B1332" s="1" t="s">
        <v>1684</v>
      </c>
      <c r="C1332" s="1" t="s">
        <v>19</v>
      </c>
      <c r="D1332" s="2" t="s">
        <v>1693</v>
      </c>
      <c r="E1332" s="2" t="s">
        <v>1693</v>
      </c>
      <c r="F1332" s="2" t="s">
        <v>11</v>
      </c>
      <c r="G1332" s="3" t="s">
        <v>1406</v>
      </c>
      <c r="H1332" s="1" t="s">
        <v>12</v>
      </c>
      <c r="I1332" s="1" t="s">
        <v>50</v>
      </c>
      <c r="J1332" s="1" t="s">
        <v>14</v>
      </c>
    </row>
    <row r="1333" spans="2:10" x14ac:dyDescent="0.3">
      <c r="B1333" s="1" t="s">
        <v>1684</v>
      </c>
      <c r="C1333" s="1" t="s">
        <v>28</v>
      </c>
      <c r="D1333" s="2" t="s">
        <v>620</v>
      </c>
      <c r="E1333" s="2" t="s">
        <v>620</v>
      </c>
      <c r="F1333" s="2" t="s">
        <v>11</v>
      </c>
      <c r="G1333" s="3" t="s">
        <v>188</v>
      </c>
      <c r="H1333" s="1" t="s">
        <v>12</v>
      </c>
      <c r="I1333" s="1" t="s">
        <v>89</v>
      </c>
      <c r="J1333" s="1" t="s">
        <v>14</v>
      </c>
    </row>
    <row r="1334" spans="2:10" x14ac:dyDescent="0.3">
      <c r="B1334" s="1" t="s">
        <v>1684</v>
      </c>
      <c r="C1334" s="1" t="s">
        <v>31</v>
      </c>
      <c r="D1334" s="2" t="s">
        <v>1080</v>
      </c>
      <c r="E1334" s="2" t="s">
        <v>1080</v>
      </c>
      <c r="F1334" s="2" t="s">
        <v>11</v>
      </c>
      <c r="G1334" s="3" t="s">
        <v>1694</v>
      </c>
      <c r="H1334" s="1" t="s">
        <v>12</v>
      </c>
      <c r="I1334" s="1" t="s">
        <v>79</v>
      </c>
      <c r="J1334" s="1" t="s">
        <v>14</v>
      </c>
    </row>
    <row r="1335" spans="2:10" x14ac:dyDescent="0.3">
      <c r="B1335" s="1" t="s">
        <v>1684</v>
      </c>
      <c r="C1335" s="1" t="s">
        <v>39</v>
      </c>
      <c r="D1335" s="2" t="s">
        <v>628</v>
      </c>
      <c r="E1335" s="2" t="s">
        <v>628</v>
      </c>
      <c r="F1335" s="2" t="s">
        <v>11</v>
      </c>
      <c r="G1335" s="3" t="s">
        <v>1695</v>
      </c>
      <c r="H1335" s="1" t="s">
        <v>12</v>
      </c>
      <c r="I1335" s="1" t="s">
        <v>30</v>
      </c>
      <c r="J1335" s="1" t="s">
        <v>14</v>
      </c>
    </row>
    <row r="1336" spans="2:10" x14ac:dyDescent="0.3">
      <c r="B1336" s="1" t="s">
        <v>1684</v>
      </c>
      <c r="C1336" s="1" t="s">
        <v>36</v>
      </c>
      <c r="D1336" s="2" t="s">
        <v>620</v>
      </c>
      <c r="E1336" s="2" t="s">
        <v>620</v>
      </c>
      <c r="F1336" s="2" t="s">
        <v>11</v>
      </c>
      <c r="G1336" s="3" t="s">
        <v>1696</v>
      </c>
      <c r="H1336" s="1" t="s">
        <v>12</v>
      </c>
      <c r="I1336" s="1" t="s">
        <v>22</v>
      </c>
      <c r="J1336" s="1" t="s">
        <v>14</v>
      </c>
    </row>
    <row r="1337" spans="2:10" x14ac:dyDescent="0.3">
      <c r="B1337" s="1" t="s">
        <v>1684</v>
      </c>
      <c r="C1337" s="1" t="s">
        <v>41</v>
      </c>
      <c r="D1337" s="2" t="s">
        <v>1693</v>
      </c>
      <c r="E1337" s="2" t="s">
        <v>1693</v>
      </c>
      <c r="F1337" s="2" t="s">
        <v>11</v>
      </c>
      <c r="G1337" s="3" t="s">
        <v>1697</v>
      </c>
      <c r="H1337" s="1" t="s">
        <v>12</v>
      </c>
      <c r="I1337" s="1" t="s">
        <v>16</v>
      </c>
      <c r="J1337" s="1" t="s">
        <v>14</v>
      </c>
    </row>
    <row r="1338" spans="2:10" x14ac:dyDescent="0.3">
      <c r="B1338" s="1" t="s">
        <v>1684</v>
      </c>
      <c r="C1338" s="1" t="s">
        <v>26</v>
      </c>
      <c r="D1338" s="2" t="s">
        <v>620</v>
      </c>
      <c r="E1338" s="2" t="s">
        <v>620</v>
      </c>
      <c r="F1338" s="2" t="s">
        <v>11</v>
      </c>
      <c r="G1338" s="3" t="s">
        <v>1254</v>
      </c>
      <c r="H1338" s="1" t="s">
        <v>12</v>
      </c>
      <c r="I1338" s="1" t="s">
        <v>30</v>
      </c>
      <c r="J1338" s="1" t="s">
        <v>14</v>
      </c>
    </row>
    <row r="1339" spans="2:10" x14ac:dyDescent="0.3">
      <c r="B1339" s="1" t="s">
        <v>1684</v>
      </c>
      <c r="C1339" s="1" t="s">
        <v>43</v>
      </c>
      <c r="D1339" s="2" t="s">
        <v>620</v>
      </c>
      <c r="E1339" s="2" t="s">
        <v>620</v>
      </c>
      <c r="F1339" s="2" t="s">
        <v>11</v>
      </c>
      <c r="G1339" s="3" t="s">
        <v>1698</v>
      </c>
      <c r="H1339" s="1" t="s">
        <v>12</v>
      </c>
      <c r="I1339" s="1" t="s">
        <v>27</v>
      </c>
      <c r="J1339" s="1" t="s">
        <v>14</v>
      </c>
    </row>
    <row r="1340" spans="2:10" x14ac:dyDescent="0.3">
      <c r="B1340" s="1" t="s">
        <v>1684</v>
      </c>
      <c r="C1340" s="1" t="s">
        <v>17</v>
      </c>
      <c r="D1340" s="2" t="s">
        <v>1693</v>
      </c>
      <c r="E1340" s="2" t="s">
        <v>1693</v>
      </c>
      <c r="F1340" s="2" t="s">
        <v>11</v>
      </c>
      <c r="G1340" s="3" t="s">
        <v>1699</v>
      </c>
      <c r="H1340" s="1" t="s">
        <v>12</v>
      </c>
      <c r="I1340" s="1" t="s">
        <v>18</v>
      </c>
      <c r="J1340" s="1" t="s">
        <v>14</v>
      </c>
    </row>
    <row r="1341" spans="2:10" x14ac:dyDescent="0.3">
      <c r="B1341" s="1" t="s">
        <v>1684</v>
      </c>
      <c r="C1341" s="1" t="s">
        <v>29</v>
      </c>
      <c r="D1341" s="2" t="s">
        <v>620</v>
      </c>
      <c r="E1341" s="2" t="s">
        <v>620</v>
      </c>
      <c r="F1341" s="2" t="s">
        <v>11</v>
      </c>
      <c r="G1341" s="3" t="s">
        <v>1700</v>
      </c>
      <c r="H1341" s="1" t="s">
        <v>12</v>
      </c>
      <c r="I1341" s="1" t="s">
        <v>58</v>
      </c>
      <c r="J1341" s="1" t="s">
        <v>14</v>
      </c>
    </row>
    <row r="1342" spans="2:10" x14ac:dyDescent="0.3">
      <c r="B1342" s="1" t="s">
        <v>1684</v>
      </c>
      <c r="C1342" s="1" t="s">
        <v>45</v>
      </c>
      <c r="D1342" s="2" t="s">
        <v>753</v>
      </c>
      <c r="E1342" s="2" t="s">
        <v>753</v>
      </c>
      <c r="F1342" s="2" t="s">
        <v>11</v>
      </c>
      <c r="G1342" s="3" t="s">
        <v>1701</v>
      </c>
      <c r="H1342" s="1" t="s">
        <v>12</v>
      </c>
      <c r="I1342" s="1" t="s">
        <v>30</v>
      </c>
      <c r="J1342" s="1" t="s">
        <v>14</v>
      </c>
    </row>
    <row r="1343" spans="2:10" x14ac:dyDescent="0.3">
      <c r="B1343" s="1" t="s">
        <v>1684</v>
      </c>
      <c r="C1343" s="1" t="s">
        <v>46</v>
      </c>
      <c r="D1343" s="2" t="s">
        <v>1072</v>
      </c>
      <c r="E1343" s="2" t="s">
        <v>1072</v>
      </c>
      <c r="F1343" s="2" t="s">
        <v>11</v>
      </c>
      <c r="G1343" s="3" t="s">
        <v>1702</v>
      </c>
      <c r="H1343" s="1" t="s">
        <v>12</v>
      </c>
      <c r="I1343" s="1" t="s">
        <v>69</v>
      </c>
      <c r="J1343" s="1" t="s">
        <v>14</v>
      </c>
    </row>
    <row r="1344" spans="2:10" x14ac:dyDescent="0.3">
      <c r="B1344" s="1" t="s">
        <v>1684</v>
      </c>
      <c r="C1344" s="1" t="s">
        <v>35</v>
      </c>
      <c r="D1344" s="2" t="s">
        <v>753</v>
      </c>
      <c r="E1344" s="2" t="s">
        <v>753</v>
      </c>
      <c r="F1344" s="2" t="s">
        <v>11</v>
      </c>
      <c r="G1344" s="3" t="s">
        <v>1703</v>
      </c>
      <c r="H1344" s="1" t="s">
        <v>12</v>
      </c>
      <c r="I1344" s="1" t="s">
        <v>79</v>
      </c>
      <c r="J1344" s="1" t="s">
        <v>14</v>
      </c>
    </row>
    <row r="1345" spans="2:10" x14ac:dyDescent="0.3">
      <c r="B1345" s="1" t="s">
        <v>1684</v>
      </c>
      <c r="C1345" s="1" t="s">
        <v>10</v>
      </c>
      <c r="D1345" s="2" t="s">
        <v>753</v>
      </c>
      <c r="E1345" s="2" t="s">
        <v>753</v>
      </c>
      <c r="F1345" s="2" t="s">
        <v>11</v>
      </c>
      <c r="G1345" s="3" t="s">
        <v>1704</v>
      </c>
      <c r="H1345" s="1" t="s">
        <v>12</v>
      </c>
      <c r="I1345" s="1" t="s">
        <v>47</v>
      </c>
      <c r="J1345" s="1" t="s">
        <v>14</v>
      </c>
    </row>
    <row r="1346" spans="2:10" x14ac:dyDescent="0.3">
      <c r="B1346" s="1" t="s">
        <v>1705</v>
      </c>
      <c r="C1346" s="1" t="s">
        <v>21</v>
      </c>
      <c r="D1346" s="2" t="s">
        <v>779</v>
      </c>
      <c r="E1346" s="2" t="s">
        <v>779</v>
      </c>
      <c r="F1346" s="2" t="s">
        <v>11</v>
      </c>
      <c r="G1346" s="3" t="s">
        <v>1706</v>
      </c>
      <c r="H1346" s="1" t="s">
        <v>12</v>
      </c>
      <c r="I1346" s="1" t="s">
        <v>1309</v>
      </c>
      <c r="J1346" s="1" t="s">
        <v>14</v>
      </c>
    </row>
    <row r="1347" spans="2:10" x14ac:dyDescent="0.3">
      <c r="B1347" s="1" t="s">
        <v>1705</v>
      </c>
      <c r="C1347" s="1" t="s">
        <v>36</v>
      </c>
      <c r="D1347" s="2" t="s">
        <v>779</v>
      </c>
      <c r="E1347" s="2" t="s">
        <v>779</v>
      </c>
      <c r="F1347" s="2" t="s">
        <v>11</v>
      </c>
      <c r="G1347" s="3" t="s">
        <v>1707</v>
      </c>
      <c r="H1347" s="1" t="s">
        <v>12</v>
      </c>
      <c r="I1347" s="1" t="s">
        <v>34</v>
      </c>
      <c r="J1347" s="1" t="s">
        <v>14</v>
      </c>
    </row>
    <row r="1348" spans="2:10" x14ac:dyDescent="0.3">
      <c r="B1348" s="1" t="s">
        <v>1705</v>
      </c>
      <c r="C1348" s="1" t="s">
        <v>23</v>
      </c>
      <c r="D1348" s="2" t="s">
        <v>758</v>
      </c>
      <c r="E1348" s="2" t="s">
        <v>758</v>
      </c>
      <c r="F1348" s="2" t="s">
        <v>11</v>
      </c>
      <c r="G1348" s="3" t="s">
        <v>770</v>
      </c>
      <c r="H1348" s="1" t="s">
        <v>12</v>
      </c>
      <c r="I1348" s="1" t="s">
        <v>56</v>
      </c>
      <c r="J1348" s="1" t="s">
        <v>14</v>
      </c>
    </row>
    <row r="1349" spans="2:10" x14ac:dyDescent="0.3">
      <c r="B1349" s="1" t="s">
        <v>1705</v>
      </c>
      <c r="C1349" s="1" t="s">
        <v>26</v>
      </c>
      <c r="D1349" s="2" t="s">
        <v>779</v>
      </c>
      <c r="E1349" s="2" t="s">
        <v>779</v>
      </c>
      <c r="F1349" s="2" t="s">
        <v>11</v>
      </c>
      <c r="G1349" s="3" t="s">
        <v>1708</v>
      </c>
      <c r="H1349" s="1" t="s">
        <v>12</v>
      </c>
      <c r="I1349" s="1" t="s">
        <v>60</v>
      </c>
      <c r="J1349" s="1" t="s">
        <v>14</v>
      </c>
    </row>
    <row r="1350" spans="2:10" x14ac:dyDescent="0.3">
      <c r="B1350" s="1" t="s">
        <v>1705</v>
      </c>
      <c r="C1350" s="1" t="s">
        <v>46</v>
      </c>
      <c r="D1350" s="2" t="s">
        <v>1471</v>
      </c>
      <c r="E1350" s="2" t="s">
        <v>1471</v>
      </c>
      <c r="F1350" s="2" t="s">
        <v>11</v>
      </c>
      <c r="G1350" s="3" t="s">
        <v>1709</v>
      </c>
      <c r="H1350" s="1" t="s">
        <v>12</v>
      </c>
      <c r="I1350" s="1" t="s">
        <v>132</v>
      </c>
      <c r="J1350" s="1" t="s">
        <v>14</v>
      </c>
    </row>
    <row r="1351" spans="2:10" x14ac:dyDescent="0.3">
      <c r="B1351" s="1" t="s">
        <v>1705</v>
      </c>
      <c r="C1351" s="1" t="s">
        <v>43</v>
      </c>
      <c r="D1351" s="2" t="s">
        <v>1471</v>
      </c>
      <c r="E1351" s="2" t="s">
        <v>1471</v>
      </c>
      <c r="F1351" s="2" t="s">
        <v>11</v>
      </c>
      <c r="G1351" s="3" t="s">
        <v>1710</v>
      </c>
      <c r="H1351" s="1" t="s">
        <v>12</v>
      </c>
      <c r="I1351" s="1" t="s">
        <v>16</v>
      </c>
      <c r="J1351" s="1" t="s">
        <v>14</v>
      </c>
    </row>
    <row r="1352" spans="2:10" x14ac:dyDescent="0.3">
      <c r="B1352" s="1" t="s">
        <v>1705</v>
      </c>
      <c r="C1352" s="1" t="s">
        <v>17</v>
      </c>
      <c r="D1352" s="2" t="s">
        <v>747</v>
      </c>
      <c r="E1352" s="2" t="s">
        <v>747</v>
      </c>
      <c r="F1352" s="2" t="s">
        <v>11</v>
      </c>
      <c r="G1352" s="3" t="s">
        <v>360</v>
      </c>
      <c r="H1352" s="1" t="s">
        <v>12</v>
      </c>
      <c r="I1352" s="1" t="s">
        <v>80</v>
      </c>
      <c r="J1352" s="1" t="s">
        <v>14</v>
      </c>
    </row>
    <row r="1353" spans="2:10" x14ac:dyDescent="0.3">
      <c r="B1353" s="1" t="s">
        <v>1705</v>
      </c>
      <c r="C1353" s="1" t="s">
        <v>33</v>
      </c>
      <c r="D1353" s="2" t="s">
        <v>779</v>
      </c>
      <c r="E1353" s="2" t="s">
        <v>779</v>
      </c>
      <c r="F1353" s="2" t="s">
        <v>11</v>
      </c>
      <c r="G1353" s="3" t="s">
        <v>1711</v>
      </c>
      <c r="H1353" s="1" t="s">
        <v>12</v>
      </c>
      <c r="I1353" s="1" t="s">
        <v>79</v>
      </c>
      <c r="J1353" s="1" t="s">
        <v>14</v>
      </c>
    </row>
    <row r="1354" spans="2:10" x14ac:dyDescent="0.3">
      <c r="B1354" s="1" t="s">
        <v>1705</v>
      </c>
      <c r="C1354" s="1" t="s">
        <v>29</v>
      </c>
      <c r="D1354" s="2" t="s">
        <v>696</v>
      </c>
      <c r="E1354" s="2" t="s">
        <v>696</v>
      </c>
      <c r="F1354" s="2" t="s">
        <v>11</v>
      </c>
      <c r="G1354" s="3" t="s">
        <v>1712</v>
      </c>
      <c r="H1354" s="1" t="s">
        <v>12</v>
      </c>
      <c r="I1354" s="1" t="s">
        <v>78</v>
      </c>
      <c r="J1354" s="1" t="s">
        <v>14</v>
      </c>
    </row>
    <row r="1355" spans="2:10" x14ac:dyDescent="0.3">
      <c r="B1355" s="1" t="s">
        <v>1705</v>
      </c>
      <c r="C1355" s="1" t="s">
        <v>28</v>
      </c>
      <c r="D1355" s="2" t="s">
        <v>875</v>
      </c>
      <c r="E1355" s="2" t="s">
        <v>875</v>
      </c>
      <c r="F1355" s="2" t="s">
        <v>11</v>
      </c>
      <c r="G1355" s="3" t="s">
        <v>1713</v>
      </c>
      <c r="H1355" s="1" t="s">
        <v>12</v>
      </c>
      <c r="I1355" s="1" t="s">
        <v>76</v>
      </c>
      <c r="J1355" s="1" t="s">
        <v>14</v>
      </c>
    </row>
    <row r="1356" spans="2:10" x14ac:dyDescent="0.3">
      <c r="B1356" s="1" t="s">
        <v>1705</v>
      </c>
      <c r="C1356" s="1" t="s">
        <v>45</v>
      </c>
      <c r="D1356" s="2" t="s">
        <v>1471</v>
      </c>
      <c r="E1356" s="2" t="s">
        <v>1471</v>
      </c>
      <c r="F1356" s="2" t="s">
        <v>11</v>
      </c>
      <c r="G1356" s="3" t="s">
        <v>1714</v>
      </c>
      <c r="H1356" s="1" t="s">
        <v>12</v>
      </c>
      <c r="I1356" s="1" t="s">
        <v>51</v>
      </c>
      <c r="J1356" s="1" t="s">
        <v>14</v>
      </c>
    </row>
    <row r="1357" spans="2:10" x14ac:dyDescent="0.3">
      <c r="B1357" s="1" t="s">
        <v>1705</v>
      </c>
      <c r="C1357" s="1" t="s">
        <v>41</v>
      </c>
      <c r="D1357" s="2" t="s">
        <v>393</v>
      </c>
      <c r="E1357" s="2" t="s">
        <v>393</v>
      </c>
      <c r="F1357" s="2" t="s">
        <v>11</v>
      </c>
      <c r="G1357" s="3" t="s">
        <v>1715</v>
      </c>
      <c r="H1357" s="1" t="s">
        <v>12</v>
      </c>
      <c r="I1357" s="1" t="s">
        <v>33</v>
      </c>
      <c r="J1357" s="1" t="s">
        <v>14</v>
      </c>
    </row>
    <row r="1358" spans="2:10" x14ac:dyDescent="0.3">
      <c r="B1358" s="1" t="s">
        <v>1705</v>
      </c>
      <c r="C1358" s="1" t="s">
        <v>35</v>
      </c>
      <c r="D1358" s="2" t="s">
        <v>512</v>
      </c>
      <c r="E1358" s="2" t="s">
        <v>512</v>
      </c>
      <c r="F1358" s="2" t="s">
        <v>11</v>
      </c>
      <c r="G1358" s="3" t="s">
        <v>1129</v>
      </c>
      <c r="H1358" s="1" t="s">
        <v>12</v>
      </c>
      <c r="I1358" s="1" t="s">
        <v>13</v>
      </c>
      <c r="J1358" s="1" t="s">
        <v>14</v>
      </c>
    </row>
    <row r="1359" spans="2:10" x14ac:dyDescent="0.3">
      <c r="B1359" s="1" t="s">
        <v>1705</v>
      </c>
      <c r="C1359" s="1" t="s">
        <v>10</v>
      </c>
      <c r="D1359" s="2" t="s">
        <v>779</v>
      </c>
      <c r="E1359" s="2" t="s">
        <v>779</v>
      </c>
      <c r="F1359" s="2" t="s">
        <v>11</v>
      </c>
      <c r="G1359" s="3" t="s">
        <v>1716</v>
      </c>
      <c r="H1359" s="1" t="s">
        <v>12</v>
      </c>
      <c r="I1359" s="1" t="s">
        <v>49</v>
      </c>
      <c r="J1359" s="1" t="s">
        <v>14</v>
      </c>
    </row>
    <row r="1360" spans="2:10" x14ac:dyDescent="0.3">
      <c r="B1360" s="1" t="s">
        <v>1705</v>
      </c>
      <c r="C1360" s="1" t="s">
        <v>15</v>
      </c>
      <c r="D1360" s="2" t="s">
        <v>777</v>
      </c>
      <c r="E1360" s="2" t="s">
        <v>777</v>
      </c>
      <c r="F1360" s="2" t="s">
        <v>11</v>
      </c>
      <c r="G1360" s="3" t="s">
        <v>1613</v>
      </c>
      <c r="H1360" s="1" t="s">
        <v>12</v>
      </c>
      <c r="I1360" s="1" t="s">
        <v>133</v>
      </c>
      <c r="J1360" s="1" t="s">
        <v>14</v>
      </c>
    </row>
    <row r="1361" spans="2:10" x14ac:dyDescent="0.3">
      <c r="B1361" s="1" t="s">
        <v>1705</v>
      </c>
      <c r="C1361" s="1" t="s">
        <v>31</v>
      </c>
      <c r="D1361" s="2" t="s">
        <v>254</v>
      </c>
      <c r="E1361" s="2" t="s">
        <v>378</v>
      </c>
      <c r="F1361" s="2" t="s">
        <v>11</v>
      </c>
      <c r="G1361" s="3" t="s">
        <v>1717</v>
      </c>
      <c r="H1361" s="1" t="s">
        <v>12</v>
      </c>
      <c r="I1361" s="1" t="s">
        <v>46</v>
      </c>
      <c r="J1361" s="1" t="s">
        <v>52</v>
      </c>
    </row>
    <row r="1362" spans="2:10" x14ac:dyDescent="0.3">
      <c r="B1362" s="1" t="s">
        <v>1705</v>
      </c>
      <c r="C1362" s="1" t="s">
        <v>38</v>
      </c>
      <c r="D1362" s="2" t="s">
        <v>1718</v>
      </c>
      <c r="E1362" s="2" t="s">
        <v>1719</v>
      </c>
      <c r="F1362" s="2" t="s">
        <v>11</v>
      </c>
      <c r="G1362" s="3" t="s">
        <v>1720</v>
      </c>
      <c r="H1362" s="1" t="s">
        <v>12</v>
      </c>
      <c r="I1362" s="1" t="s">
        <v>17</v>
      </c>
      <c r="J1362" s="1" t="s">
        <v>52</v>
      </c>
    </row>
    <row r="1363" spans="2:10" x14ac:dyDescent="0.3">
      <c r="B1363" s="1" t="s">
        <v>1705</v>
      </c>
      <c r="C1363" s="1" t="s">
        <v>19</v>
      </c>
      <c r="D1363" s="2" t="s">
        <v>322</v>
      </c>
      <c r="E1363" s="2" t="s">
        <v>322</v>
      </c>
      <c r="F1363" s="2" t="s">
        <v>11</v>
      </c>
      <c r="G1363" s="3" t="s">
        <v>1275</v>
      </c>
      <c r="H1363" s="1" t="s">
        <v>12</v>
      </c>
      <c r="I1363" s="1" t="s">
        <v>42</v>
      </c>
      <c r="J1363" s="1" t="s">
        <v>14</v>
      </c>
    </row>
    <row r="1364" spans="2:10" x14ac:dyDescent="0.3">
      <c r="B1364" s="1" t="s">
        <v>1705</v>
      </c>
      <c r="C1364" s="1" t="s">
        <v>24</v>
      </c>
      <c r="D1364" s="2" t="s">
        <v>700</v>
      </c>
      <c r="E1364" s="2" t="s">
        <v>700</v>
      </c>
      <c r="F1364" s="2" t="s">
        <v>11</v>
      </c>
      <c r="G1364" s="3" t="s">
        <v>1721</v>
      </c>
      <c r="H1364" s="1" t="s">
        <v>12</v>
      </c>
      <c r="I1364" s="1" t="s">
        <v>76</v>
      </c>
      <c r="J1364" s="1" t="s">
        <v>14</v>
      </c>
    </row>
    <row r="1365" spans="2:10" x14ac:dyDescent="0.3">
      <c r="B1365" s="1" t="s">
        <v>1705</v>
      </c>
      <c r="C1365" s="1" t="s">
        <v>39</v>
      </c>
      <c r="D1365" s="2" t="s">
        <v>512</v>
      </c>
      <c r="E1365" s="2" t="s">
        <v>512</v>
      </c>
      <c r="F1365" s="2" t="s">
        <v>11</v>
      </c>
      <c r="G1365" s="3" t="s">
        <v>1722</v>
      </c>
      <c r="H1365" s="1" t="s">
        <v>12</v>
      </c>
      <c r="I1365" s="1" t="s">
        <v>65</v>
      </c>
      <c r="J1365" s="1" t="s">
        <v>14</v>
      </c>
    </row>
    <row r="1366" spans="2:10" x14ac:dyDescent="0.3">
      <c r="B1366" s="1" t="s">
        <v>1723</v>
      </c>
      <c r="C1366" s="1" t="s">
        <v>35</v>
      </c>
      <c r="D1366" s="2" t="s">
        <v>751</v>
      </c>
      <c r="E1366" s="2" t="s">
        <v>751</v>
      </c>
      <c r="F1366" s="2" t="s">
        <v>11</v>
      </c>
      <c r="G1366" s="3" t="s">
        <v>1724</v>
      </c>
      <c r="H1366" s="1" t="s">
        <v>12</v>
      </c>
      <c r="I1366" s="1" t="s">
        <v>30</v>
      </c>
      <c r="J1366" s="1" t="s">
        <v>14</v>
      </c>
    </row>
    <row r="1367" spans="2:10" x14ac:dyDescent="0.3">
      <c r="B1367" s="1" t="s">
        <v>1723</v>
      </c>
      <c r="C1367" s="1" t="s">
        <v>28</v>
      </c>
      <c r="D1367" s="2" t="s">
        <v>495</v>
      </c>
      <c r="E1367" s="2" t="s">
        <v>495</v>
      </c>
      <c r="F1367" s="2" t="s">
        <v>11</v>
      </c>
      <c r="G1367" s="3" t="s">
        <v>1725</v>
      </c>
      <c r="H1367" s="1" t="s">
        <v>12</v>
      </c>
      <c r="I1367" s="1" t="s">
        <v>69</v>
      </c>
      <c r="J1367" s="1" t="s">
        <v>14</v>
      </c>
    </row>
    <row r="1368" spans="2:10" x14ac:dyDescent="0.3">
      <c r="B1368" s="1" t="s">
        <v>1723</v>
      </c>
      <c r="C1368" s="1" t="s">
        <v>26</v>
      </c>
      <c r="D1368" s="2" t="s">
        <v>1726</v>
      </c>
      <c r="E1368" s="2" t="s">
        <v>1726</v>
      </c>
      <c r="F1368" s="2" t="s">
        <v>11</v>
      </c>
      <c r="G1368" s="3" t="s">
        <v>1727</v>
      </c>
      <c r="H1368" s="1" t="s">
        <v>12</v>
      </c>
      <c r="I1368" s="1" t="s">
        <v>66</v>
      </c>
      <c r="J1368" s="1" t="s">
        <v>14</v>
      </c>
    </row>
    <row r="1369" spans="2:10" x14ac:dyDescent="0.3">
      <c r="B1369" s="1" t="s">
        <v>1723</v>
      </c>
      <c r="C1369" s="1" t="s">
        <v>21</v>
      </c>
      <c r="D1369" s="2" t="s">
        <v>584</v>
      </c>
      <c r="E1369" s="2" t="s">
        <v>584</v>
      </c>
      <c r="F1369" s="2" t="s">
        <v>11</v>
      </c>
      <c r="G1369" s="3" t="s">
        <v>1728</v>
      </c>
      <c r="H1369" s="1" t="s">
        <v>12</v>
      </c>
      <c r="I1369" s="1" t="s">
        <v>41</v>
      </c>
      <c r="J1369" s="1" t="s">
        <v>14</v>
      </c>
    </row>
    <row r="1370" spans="2:10" x14ac:dyDescent="0.3">
      <c r="B1370" s="1" t="s">
        <v>1723</v>
      </c>
      <c r="C1370" s="1" t="s">
        <v>38</v>
      </c>
      <c r="D1370" s="2" t="s">
        <v>200</v>
      </c>
      <c r="E1370" s="2" t="s">
        <v>200</v>
      </c>
      <c r="F1370" s="2" t="s">
        <v>11</v>
      </c>
      <c r="G1370" s="3" t="s">
        <v>1729</v>
      </c>
      <c r="H1370" s="1" t="s">
        <v>12</v>
      </c>
      <c r="I1370" s="1" t="s">
        <v>18</v>
      </c>
      <c r="J1370" s="1" t="s">
        <v>14</v>
      </c>
    </row>
    <row r="1371" spans="2:10" x14ac:dyDescent="0.3">
      <c r="B1371" s="1" t="s">
        <v>1723</v>
      </c>
      <c r="C1371" s="1" t="s">
        <v>29</v>
      </c>
      <c r="D1371" s="2" t="s">
        <v>187</v>
      </c>
      <c r="E1371" s="2" t="s">
        <v>187</v>
      </c>
      <c r="F1371" s="2" t="s">
        <v>11</v>
      </c>
      <c r="G1371" s="3" t="s">
        <v>1195</v>
      </c>
      <c r="H1371" s="1" t="s">
        <v>12</v>
      </c>
      <c r="I1371" s="1" t="s">
        <v>13</v>
      </c>
      <c r="J1371" s="1" t="s">
        <v>14</v>
      </c>
    </row>
    <row r="1372" spans="2:10" x14ac:dyDescent="0.3">
      <c r="B1372" s="1" t="s">
        <v>1723</v>
      </c>
      <c r="C1372" s="1" t="s">
        <v>10</v>
      </c>
      <c r="D1372" s="2" t="s">
        <v>1730</v>
      </c>
      <c r="E1372" s="2" t="s">
        <v>1730</v>
      </c>
      <c r="F1372" s="2" t="s">
        <v>11</v>
      </c>
      <c r="G1372" s="3" t="s">
        <v>1731</v>
      </c>
      <c r="H1372" s="1" t="s">
        <v>12</v>
      </c>
      <c r="I1372" s="1" t="s">
        <v>55</v>
      </c>
      <c r="J1372" s="1" t="s">
        <v>14</v>
      </c>
    </row>
    <row r="1373" spans="2:10" x14ac:dyDescent="0.3">
      <c r="B1373" s="1" t="s">
        <v>1723</v>
      </c>
      <c r="C1373" s="1" t="s">
        <v>17</v>
      </c>
      <c r="D1373" s="2" t="s">
        <v>1726</v>
      </c>
      <c r="E1373" s="2" t="s">
        <v>1726</v>
      </c>
      <c r="F1373" s="2" t="s">
        <v>11</v>
      </c>
      <c r="G1373" s="3" t="s">
        <v>1732</v>
      </c>
      <c r="H1373" s="1" t="s">
        <v>12</v>
      </c>
      <c r="I1373" s="1" t="s">
        <v>48</v>
      </c>
      <c r="J1373" s="1" t="s">
        <v>14</v>
      </c>
    </row>
    <row r="1374" spans="2:10" x14ac:dyDescent="0.3">
      <c r="B1374" s="1" t="s">
        <v>1723</v>
      </c>
      <c r="C1374" s="1" t="s">
        <v>33</v>
      </c>
      <c r="D1374" s="2" t="s">
        <v>823</v>
      </c>
      <c r="E1374" s="2" t="s">
        <v>823</v>
      </c>
      <c r="F1374" s="2" t="s">
        <v>11</v>
      </c>
      <c r="G1374" s="3" t="s">
        <v>1733</v>
      </c>
      <c r="H1374" s="1" t="s">
        <v>12</v>
      </c>
      <c r="I1374" s="1" t="s">
        <v>104</v>
      </c>
      <c r="J1374" s="1" t="s">
        <v>14</v>
      </c>
    </row>
    <row r="1375" spans="2:10" x14ac:dyDescent="0.3">
      <c r="B1375" s="1" t="s">
        <v>1723</v>
      </c>
      <c r="C1375" s="1" t="s">
        <v>15</v>
      </c>
      <c r="D1375" s="2" t="s">
        <v>322</v>
      </c>
      <c r="E1375" s="2" t="s">
        <v>322</v>
      </c>
      <c r="F1375" s="2" t="s">
        <v>11</v>
      </c>
      <c r="G1375" s="3" t="s">
        <v>1734</v>
      </c>
      <c r="H1375" s="1" t="s">
        <v>12</v>
      </c>
      <c r="I1375" s="1" t="s">
        <v>30</v>
      </c>
      <c r="J1375" s="1" t="s">
        <v>14</v>
      </c>
    </row>
    <row r="1376" spans="2:10" x14ac:dyDescent="0.3">
      <c r="B1376" s="1" t="s">
        <v>1723</v>
      </c>
      <c r="C1376" s="1" t="s">
        <v>31</v>
      </c>
      <c r="D1376" s="2" t="s">
        <v>751</v>
      </c>
      <c r="E1376" s="2" t="s">
        <v>751</v>
      </c>
      <c r="F1376" s="2" t="s">
        <v>11</v>
      </c>
      <c r="G1376" s="3" t="s">
        <v>1735</v>
      </c>
      <c r="H1376" s="1" t="s">
        <v>12</v>
      </c>
      <c r="I1376" s="1" t="s">
        <v>32</v>
      </c>
      <c r="J1376" s="1" t="s">
        <v>14</v>
      </c>
    </row>
    <row r="1377" spans="2:10" x14ac:dyDescent="0.3">
      <c r="B1377" s="1" t="s">
        <v>1723</v>
      </c>
      <c r="C1377" s="1" t="s">
        <v>39</v>
      </c>
      <c r="D1377" s="2" t="s">
        <v>200</v>
      </c>
      <c r="E1377" s="2" t="s">
        <v>200</v>
      </c>
      <c r="F1377" s="2" t="s">
        <v>11</v>
      </c>
      <c r="G1377" s="3" t="s">
        <v>1736</v>
      </c>
      <c r="H1377" s="1" t="s">
        <v>12</v>
      </c>
      <c r="I1377" s="1" t="s">
        <v>20</v>
      </c>
      <c r="J1377" s="1" t="s">
        <v>14</v>
      </c>
    </row>
    <row r="1378" spans="2:10" x14ac:dyDescent="0.3">
      <c r="B1378" s="1" t="s">
        <v>1723</v>
      </c>
      <c r="C1378" s="1" t="s">
        <v>43</v>
      </c>
      <c r="D1378" s="2" t="s">
        <v>322</v>
      </c>
      <c r="E1378" s="2" t="s">
        <v>322</v>
      </c>
      <c r="F1378" s="2" t="s">
        <v>11</v>
      </c>
      <c r="G1378" s="3" t="s">
        <v>1217</v>
      </c>
      <c r="H1378" s="1" t="s">
        <v>12</v>
      </c>
      <c r="I1378" s="1" t="s">
        <v>50</v>
      </c>
      <c r="J1378" s="1" t="s">
        <v>14</v>
      </c>
    </row>
    <row r="1379" spans="2:10" x14ac:dyDescent="0.3">
      <c r="B1379" s="1" t="s">
        <v>1723</v>
      </c>
      <c r="C1379" s="1" t="s">
        <v>41</v>
      </c>
      <c r="D1379" s="2" t="s">
        <v>751</v>
      </c>
      <c r="E1379" s="2" t="s">
        <v>751</v>
      </c>
      <c r="F1379" s="2" t="s">
        <v>11</v>
      </c>
      <c r="G1379" s="3" t="s">
        <v>1737</v>
      </c>
      <c r="H1379" s="1" t="s">
        <v>12</v>
      </c>
      <c r="I1379" s="1" t="s">
        <v>16</v>
      </c>
      <c r="J1379" s="1" t="s">
        <v>14</v>
      </c>
    </row>
    <row r="1380" spans="2:10" x14ac:dyDescent="0.3">
      <c r="B1380" s="1" t="s">
        <v>1723</v>
      </c>
      <c r="C1380" s="1" t="s">
        <v>23</v>
      </c>
      <c r="D1380" s="2" t="s">
        <v>823</v>
      </c>
      <c r="E1380" s="2" t="s">
        <v>823</v>
      </c>
      <c r="F1380" s="2" t="s">
        <v>11</v>
      </c>
      <c r="G1380" s="3" t="s">
        <v>1738</v>
      </c>
      <c r="H1380" s="1" t="s">
        <v>12</v>
      </c>
      <c r="I1380" s="1" t="s">
        <v>80</v>
      </c>
      <c r="J1380" s="1" t="s">
        <v>14</v>
      </c>
    </row>
    <row r="1381" spans="2:10" x14ac:dyDescent="0.3">
      <c r="B1381" s="1" t="s">
        <v>1723</v>
      </c>
      <c r="C1381" s="1" t="s">
        <v>36</v>
      </c>
      <c r="D1381" s="2" t="s">
        <v>200</v>
      </c>
      <c r="E1381" s="2" t="s">
        <v>200</v>
      </c>
      <c r="F1381" s="2" t="s">
        <v>11</v>
      </c>
      <c r="G1381" s="3" t="s">
        <v>1739</v>
      </c>
      <c r="H1381" s="1" t="s">
        <v>12</v>
      </c>
      <c r="I1381" s="1" t="s">
        <v>134</v>
      </c>
      <c r="J1381" s="1" t="s">
        <v>14</v>
      </c>
    </row>
    <row r="1382" spans="2:10" x14ac:dyDescent="0.3">
      <c r="B1382" s="1" t="s">
        <v>1723</v>
      </c>
      <c r="C1382" s="1" t="s">
        <v>45</v>
      </c>
      <c r="D1382" s="2" t="s">
        <v>200</v>
      </c>
      <c r="E1382" s="2" t="s">
        <v>200</v>
      </c>
      <c r="F1382" s="2" t="s">
        <v>11</v>
      </c>
      <c r="G1382" s="3" t="s">
        <v>1740</v>
      </c>
      <c r="H1382" s="1" t="s">
        <v>12</v>
      </c>
      <c r="I1382" s="1" t="s">
        <v>20</v>
      </c>
      <c r="J1382" s="1" t="s">
        <v>14</v>
      </c>
    </row>
    <row r="1383" spans="2:10" x14ac:dyDescent="0.3">
      <c r="B1383" s="1" t="s">
        <v>1723</v>
      </c>
      <c r="C1383" s="1" t="s">
        <v>19</v>
      </c>
      <c r="D1383" s="2" t="s">
        <v>200</v>
      </c>
      <c r="E1383" s="2" t="s">
        <v>200</v>
      </c>
      <c r="F1383" s="2" t="s">
        <v>11</v>
      </c>
      <c r="G1383" s="3" t="s">
        <v>1741</v>
      </c>
      <c r="H1383" s="1" t="s">
        <v>12</v>
      </c>
      <c r="I1383" s="1" t="s">
        <v>42</v>
      </c>
      <c r="J1383" s="1" t="s">
        <v>14</v>
      </c>
    </row>
    <row r="1384" spans="2:10" x14ac:dyDescent="0.3">
      <c r="B1384" s="1" t="s">
        <v>1723</v>
      </c>
      <c r="C1384" s="1" t="s">
        <v>46</v>
      </c>
      <c r="D1384" s="2" t="s">
        <v>322</v>
      </c>
      <c r="E1384" s="2" t="s">
        <v>322</v>
      </c>
      <c r="F1384" s="2" t="s">
        <v>11</v>
      </c>
      <c r="G1384" s="3" t="s">
        <v>1742</v>
      </c>
      <c r="H1384" s="1" t="s">
        <v>12</v>
      </c>
      <c r="I1384" s="1" t="s">
        <v>51</v>
      </c>
      <c r="J1384" s="1" t="s">
        <v>14</v>
      </c>
    </row>
    <row r="1385" spans="2:10" x14ac:dyDescent="0.3">
      <c r="B1385" s="1" t="s">
        <v>1723</v>
      </c>
      <c r="C1385" s="1" t="s">
        <v>24</v>
      </c>
      <c r="D1385" s="2" t="s">
        <v>584</v>
      </c>
      <c r="E1385" s="2" t="s">
        <v>584</v>
      </c>
      <c r="F1385" s="2" t="s">
        <v>11</v>
      </c>
      <c r="G1385" s="3" t="s">
        <v>1541</v>
      </c>
      <c r="H1385" s="1" t="s">
        <v>12</v>
      </c>
      <c r="I1385" s="1" t="s">
        <v>63</v>
      </c>
      <c r="J1385" s="1" t="s">
        <v>14</v>
      </c>
    </row>
    <row r="1386" spans="2:10" x14ac:dyDescent="0.3">
      <c r="B1386" s="1" t="s">
        <v>1743</v>
      </c>
      <c r="C1386" s="1" t="s">
        <v>45</v>
      </c>
      <c r="D1386" s="2" t="s">
        <v>240</v>
      </c>
      <c r="E1386" s="2" t="s">
        <v>240</v>
      </c>
      <c r="F1386" s="2" t="s">
        <v>11</v>
      </c>
      <c r="G1386" s="3" t="s">
        <v>477</v>
      </c>
      <c r="H1386" s="1" t="s">
        <v>12</v>
      </c>
      <c r="I1386" s="1" t="s">
        <v>20</v>
      </c>
      <c r="J1386" s="1" t="s">
        <v>14</v>
      </c>
    </row>
    <row r="1387" spans="2:10" x14ac:dyDescent="0.3">
      <c r="B1387" s="1" t="s">
        <v>1743</v>
      </c>
      <c r="C1387" s="1" t="s">
        <v>17</v>
      </c>
      <c r="D1387" s="2" t="s">
        <v>240</v>
      </c>
      <c r="E1387" s="2" t="s">
        <v>240</v>
      </c>
      <c r="F1387" s="2" t="s">
        <v>11</v>
      </c>
      <c r="G1387" s="3" t="s">
        <v>1744</v>
      </c>
      <c r="H1387" s="1" t="s">
        <v>12</v>
      </c>
      <c r="I1387" s="1" t="s">
        <v>27</v>
      </c>
      <c r="J1387" s="1" t="s">
        <v>14</v>
      </c>
    </row>
    <row r="1388" spans="2:10" x14ac:dyDescent="0.3">
      <c r="B1388" s="1" t="s">
        <v>1743</v>
      </c>
      <c r="C1388" s="1" t="s">
        <v>28</v>
      </c>
      <c r="D1388" s="2" t="s">
        <v>240</v>
      </c>
      <c r="E1388" s="2" t="s">
        <v>240</v>
      </c>
      <c r="F1388" s="2" t="s">
        <v>11</v>
      </c>
      <c r="G1388" s="3" t="s">
        <v>1241</v>
      </c>
      <c r="H1388" s="1" t="s">
        <v>12</v>
      </c>
      <c r="I1388" s="1" t="s">
        <v>42</v>
      </c>
      <c r="J1388" s="1" t="s">
        <v>14</v>
      </c>
    </row>
    <row r="1389" spans="2:10" x14ac:dyDescent="0.3">
      <c r="B1389" s="1" t="s">
        <v>1743</v>
      </c>
      <c r="C1389" s="1" t="s">
        <v>19</v>
      </c>
      <c r="D1389" s="2" t="s">
        <v>700</v>
      </c>
      <c r="E1389" s="2" t="s">
        <v>700</v>
      </c>
      <c r="F1389" s="2" t="s">
        <v>11</v>
      </c>
      <c r="G1389" s="3" t="s">
        <v>814</v>
      </c>
      <c r="H1389" s="1" t="s">
        <v>12</v>
      </c>
      <c r="I1389" s="1" t="s">
        <v>25</v>
      </c>
      <c r="J1389" s="1" t="s">
        <v>14</v>
      </c>
    </row>
    <row r="1390" spans="2:10" x14ac:dyDescent="0.3">
      <c r="B1390" s="1" t="s">
        <v>1743</v>
      </c>
      <c r="C1390" s="1" t="s">
        <v>35</v>
      </c>
      <c r="D1390" s="2" t="s">
        <v>393</v>
      </c>
      <c r="E1390" s="2" t="s">
        <v>393</v>
      </c>
      <c r="F1390" s="2" t="s">
        <v>11</v>
      </c>
      <c r="G1390" s="3" t="s">
        <v>1745</v>
      </c>
      <c r="H1390" s="1" t="s">
        <v>12</v>
      </c>
      <c r="I1390" s="1" t="s">
        <v>22</v>
      </c>
      <c r="J1390" s="1" t="s">
        <v>14</v>
      </c>
    </row>
    <row r="1391" spans="2:10" x14ac:dyDescent="0.3">
      <c r="B1391" s="1" t="s">
        <v>1743</v>
      </c>
      <c r="C1391" s="1" t="s">
        <v>33</v>
      </c>
      <c r="D1391" s="2" t="s">
        <v>438</v>
      </c>
      <c r="E1391" s="2" t="s">
        <v>438</v>
      </c>
      <c r="F1391" s="2" t="s">
        <v>11</v>
      </c>
      <c r="G1391" s="3" t="s">
        <v>1746</v>
      </c>
      <c r="H1391" s="1" t="s">
        <v>12</v>
      </c>
      <c r="I1391" s="1" t="s">
        <v>30</v>
      </c>
      <c r="J1391" s="1" t="s">
        <v>14</v>
      </c>
    </row>
    <row r="1392" spans="2:10" x14ac:dyDescent="0.3">
      <c r="B1392" s="1" t="s">
        <v>1743</v>
      </c>
      <c r="C1392" s="1" t="s">
        <v>15</v>
      </c>
      <c r="D1392" s="2" t="s">
        <v>439</v>
      </c>
      <c r="E1392" s="2" t="s">
        <v>439</v>
      </c>
      <c r="F1392" s="2" t="s">
        <v>11</v>
      </c>
      <c r="G1392" s="3" t="s">
        <v>1747</v>
      </c>
      <c r="H1392" s="1" t="s">
        <v>12</v>
      </c>
      <c r="I1392" s="1" t="s">
        <v>49</v>
      </c>
      <c r="J1392" s="1" t="s">
        <v>14</v>
      </c>
    </row>
    <row r="1393" spans="2:10" x14ac:dyDescent="0.3">
      <c r="B1393" s="1" t="s">
        <v>1743</v>
      </c>
      <c r="C1393" s="1" t="s">
        <v>41</v>
      </c>
      <c r="D1393" s="2" t="s">
        <v>700</v>
      </c>
      <c r="E1393" s="2" t="s">
        <v>700</v>
      </c>
      <c r="F1393" s="2" t="s">
        <v>11</v>
      </c>
      <c r="G1393" s="3" t="s">
        <v>1748</v>
      </c>
      <c r="H1393" s="1" t="s">
        <v>12</v>
      </c>
      <c r="I1393" s="1" t="s">
        <v>66</v>
      </c>
      <c r="J1393" s="1" t="s">
        <v>14</v>
      </c>
    </row>
    <row r="1394" spans="2:10" x14ac:dyDescent="0.3">
      <c r="B1394" s="1" t="s">
        <v>1743</v>
      </c>
      <c r="C1394" s="1" t="s">
        <v>29</v>
      </c>
      <c r="D1394" s="2" t="s">
        <v>1730</v>
      </c>
      <c r="E1394" s="2" t="s">
        <v>1730</v>
      </c>
      <c r="F1394" s="2" t="s">
        <v>11</v>
      </c>
      <c r="G1394" s="3" t="s">
        <v>1749</v>
      </c>
      <c r="H1394" s="1" t="s">
        <v>12</v>
      </c>
      <c r="I1394" s="1" t="s">
        <v>69</v>
      </c>
      <c r="J1394" s="1" t="s">
        <v>14</v>
      </c>
    </row>
    <row r="1395" spans="2:10" x14ac:dyDescent="0.3">
      <c r="B1395" s="1" t="s">
        <v>1743</v>
      </c>
      <c r="C1395" s="1" t="s">
        <v>21</v>
      </c>
      <c r="D1395" s="2" t="s">
        <v>700</v>
      </c>
      <c r="E1395" s="2" t="s">
        <v>700</v>
      </c>
      <c r="F1395" s="2" t="s">
        <v>11</v>
      </c>
      <c r="G1395" s="3" t="s">
        <v>1750</v>
      </c>
      <c r="H1395" s="1" t="s">
        <v>12</v>
      </c>
      <c r="I1395" s="1" t="s">
        <v>78</v>
      </c>
      <c r="J1395" s="1" t="s">
        <v>14</v>
      </c>
    </row>
    <row r="1396" spans="2:10" x14ac:dyDescent="0.3">
      <c r="B1396" s="1" t="s">
        <v>1743</v>
      </c>
      <c r="C1396" s="1" t="s">
        <v>31</v>
      </c>
      <c r="D1396" s="2" t="s">
        <v>512</v>
      </c>
      <c r="E1396" s="2" t="s">
        <v>512</v>
      </c>
      <c r="F1396" s="2" t="s">
        <v>11</v>
      </c>
      <c r="G1396" s="3" t="s">
        <v>1751</v>
      </c>
      <c r="H1396" s="1" t="s">
        <v>12</v>
      </c>
      <c r="I1396" s="1" t="s">
        <v>58</v>
      </c>
      <c r="J1396" s="1" t="s">
        <v>14</v>
      </c>
    </row>
    <row r="1397" spans="2:10" x14ac:dyDescent="0.3">
      <c r="B1397" s="1" t="s">
        <v>1743</v>
      </c>
      <c r="C1397" s="1" t="s">
        <v>38</v>
      </c>
      <c r="D1397" s="2" t="s">
        <v>512</v>
      </c>
      <c r="E1397" s="2" t="s">
        <v>512</v>
      </c>
      <c r="F1397" s="2" t="s">
        <v>11</v>
      </c>
      <c r="G1397" s="3" t="s">
        <v>1752</v>
      </c>
      <c r="H1397" s="1" t="s">
        <v>12</v>
      </c>
      <c r="I1397" s="1" t="s">
        <v>27</v>
      </c>
      <c r="J1397" s="1" t="s">
        <v>14</v>
      </c>
    </row>
    <row r="1398" spans="2:10" x14ac:dyDescent="0.3">
      <c r="B1398" s="1" t="s">
        <v>1743</v>
      </c>
      <c r="C1398" s="1" t="s">
        <v>43</v>
      </c>
      <c r="D1398" s="2" t="s">
        <v>1471</v>
      </c>
      <c r="E1398" s="2" t="s">
        <v>1471</v>
      </c>
      <c r="F1398" s="2" t="s">
        <v>11</v>
      </c>
      <c r="G1398" s="3" t="s">
        <v>1753</v>
      </c>
      <c r="H1398" s="1" t="s">
        <v>12</v>
      </c>
      <c r="I1398" s="1" t="s">
        <v>25</v>
      </c>
      <c r="J1398" s="1" t="s">
        <v>14</v>
      </c>
    </row>
    <row r="1399" spans="2:10" x14ac:dyDescent="0.3">
      <c r="B1399" s="1" t="s">
        <v>1743</v>
      </c>
      <c r="C1399" s="1" t="s">
        <v>39</v>
      </c>
      <c r="D1399" s="2" t="s">
        <v>207</v>
      </c>
      <c r="E1399" s="2" t="s">
        <v>207</v>
      </c>
      <c r="F1399" s="2" t="s">
        <v>11</v>
      </c>
      <c r="G1399" s="3" t="s">
        <v>1754</v>
      </c>
      <c r="H1399" s="1" t="s">
        <v>12</v>
      </c>
      <c r="I1399" s="1" t="s">
        <v>64</v>
      </c>
      <c r="J1399" s="1" t="s">
        <v>14</v>
      </c>
    </row>
    <row r="1400" spans="2:10" x14ac:dyDescent="0.3">
      <c r="B1400" s="1" t="s">
        <v>1743</v>
      </c>
      <c r="C1400" s="1" t="s">
        <v>23</v>
      </c>
      <c r="D1400" s="2" t="s">
        <v>1471</v>
      </c>
      <c r="E1400" s="2" t="s">
        <v>1471</v>
      </c>
      <c r="F1400" s="2" t="s">
        <v>11</v>
      </c>
      <c r="G1400" s="3" t="s">
        <v>1755</v>
      </c>
      <c r="H1400" s="1" t="s">
        <v>12</v>
      </c>
      <c r="I1400" s="1" t="s">
        <v>101</v>
      </c>
      <c r="J1400" s="1" t="s">
        <v>14</v>
      </c>
    </row>
    <row r="1401" spans="2:10" x14ac:dyDescent="0.3">
      <c r="B1401" s="1" t="s">
        <v>1743</v>
      </c>
      <c r="C1401" s="1" t="s">
        <v>46</v>
      </c>
      <c r="D1401" s="2" t="s">
        <v>1471</v>
      </c>
      <c r="E1401" s="2" t="s">
        <v>1471</v>
      </c>
      <c r="F1401" s="2" t="s">
        <v>11</v>
      </c>
      <c r="G1401" s="3" t="s">
        <v>1756</v>
      </c>
      <c r="H1401" s="1" t="s">
        <v>12</v>
      </c>
      <c r="I1401" s="1" t="s">
        <v>30</v>
      </c>
      <c r="J1401" s="1" t="s">
        <v>14</v>
      </c>
    </row>
    <row r="1402" spans="2:10" x14ac:dyDescent="0.3">
      <c r="B1402" s="1" t="s">
        <v>1743</v>
      </c>
      <c r="C1402" s="1" t="s">
        <v>24</v>
      </c>
      <c r="D1402" s="2" t="s">
        <v>512</v>
      </c>
      <c r="E1402" s="2" t="s">
        <v>512</v>
      </c>
      <c r="F1402" s="2" t="s">
        <v>11</v>
      </c>
      <c r="G1402" s="3" t="s">
        <v>1757</v>
      </c>
      <c r="H1402" s="1" t="s">
        <v>12</v>
      </c>
      <c r="I1402" s="1" t="s">
        <v>50</v>
      </c>
      <c r="J1402" s="1" t="s">
        <v>14</v>
      </c>
    </row>
    <row r="1403" spans="2:10" x14ac:dyDescent="0.3">
      <c r="B1403" s="1" t="s">
        <v>1743</v>
      </c>
      <c r="C1403" s="1" t="s">
        <v>36</v>
      </c>
      <c r="D1403" s="2" t="s">
        <v>393</v>
      </c>
      <c r="E1403" s="2" t="s">
        <v>393</v>
      </c>
      <c r="F1403" s="2" t="s">
        <v>11</v>
      </c>
      <c r="G1403" s="3" t="s">
        <v>1758</v>
      </c>
      <c r="H1403" s="1" t="s">
        <v>12</v>
      </c>
      <c r="I1403" s="1" t="s">
        <v>67</v>
      </c>
      <c r="J1403" s="1" t="s">
        <v>14</v>
      </c>
    </row>
    <row r="1404" spans="2:10" x14ac:dyDescent="0.3">
      <c r="B1404" s="1" t="s">
        <v>1743</v>
      </c>
      <c r="C1404" s="1" t="s">
        <v>26</v>
      </c>
      <c r="D1404" s="2" t="s">
        <v>393</v>
      </c>
      <c r="E1404" s="2" t="s">
        <v>393</v>
      </c>
      <c r="F1404" s="2" t="s">
        <v>11</v>
      </c>
      <c r="G1404" s="3" t="s">
        <v>1759</v>
      </c>
      <c r="H1404" s="1" t="s">
        <v>12</v>
      </c>
      <c r="I1404" s="1" t="s">
        <v>50</v>
      </c>
      <c r="J1404" s="1" t="s">
        <v>14</v>
      </c>
    </row>
    <row r="1405" spans="2:10" x14ac:dyDescent="0.3">
      <c r="B1405" s="1" t="s">
        <v>1743</v>
      </c>
      <c r="C1405" s="1" t="s">
        <v>10</v>
      </c>
      <c r="D1405" s="2" t="s">
        <v>512</v>
      </c>
      <c r="E1405" s="2" t="s">
        <v>512</v>
      </c>
      <c r="F1405" s="2" t="s">
        <v>11</v>
      </c>
      <c r="G1405" s="3" t="s">
        <v>1760</v>
      </c>
      <c r="H1405" s="1" t="s">
        <v>12</v>
      </c>
      <c r="I1405" s="1" t="s">
        <v>16</v>
      </c>
      <c r="J1405" s="1" t="s">
        <v>14</v>
      </c>
    </row>
    <row r="1406" spans="2:10" x14ac:dyDescent="0.3">
      <c r="B1406" s="1" t="s">
        <v>1761</v>
      </c>
      <c r="C1406" s="1" t="s">
        <v>15</v>
      </c>
      <c r="D1406" s="2" t="s">
        <v>224</v>
      </c>
      <c r="E1406" s="2" t="s">
        <v>224</v>
      </c>
      <c r="F1406" s="2" t="s">
        <v>11</v>
      </c>
      <c r="G1406" s="3" t="s">
        <v>1762</v>
      </c>
      <c r="H1406" s="1" t="s">
        <v>12</v>
      </c>
      <c r="I1406" s="1" t="s">
        <v>62</v>
      </c>
      <c r="J1406" s="1" t="s">
        <v>14</v>
      </c>
    </row>
    <row r="1407" spans="2:10" x14ac:dyDescent="0.3">
      <c r="B1407" s="1" t="s">
        <v>1761</v>
      </c>
      <c r="C1407" s="1" t="s">
        <v>19</v>
      </c>
      <c r="D1407" s="2" t="s">
        <v>224</v>
      </c>
      <c r="E1407" s="2" t="s">
        <v>224</v>
      </c>
      <c r="F1407" s="2" t="s">
        <v>11</v>
      </c>
      <c r="G1407" s="3" t="s">
        <v>1332</v>
      </c>
      <c r="H1407" s="1" t="s">
        <v>12</v>
      </c>
      <c r="I1407" s="1" t="s">
        <v>78</v>
      </c>
      <c r="J1407" s="1" t="s">
        <v>14</v>
      </c>
    </row>
    <row r="1408" spans="2:10" x14ac:dyDescent="0.3">
      <c r="B1408" s="1" t="s">
        <v>1761</v>
      </c>
      <c r="C1408" s="1" t="s">
        <v>24</v>
      </c>
      <c r="D1408" s="2" t="s">
        <v>506</v>
      </c>
      <c r="E1408" s="2" t="s">
        <v>506</v>
      </c>
      <c r="F1408" s="2" t="s">
        <v>11</v>
      </c>
      <c r="G1408" s="3" t="s">
        <v>334</v>
      </c>
      <c r="H1408" s="1" t="s">
        <v>12</v>
      </c>
      <c r="I1408" s="1" t="s">
        <v>49</v>
      </c>
      <c r="J1408" s="1" t="s">
        <v>14</v>
      </c>
    </row>
    <row r="1409" spans="2:10" x14ac:dyDescent="0.3">
      <c r="B1409" s="1" t="s">
        <v>1761</v>
      </c>
      <c r="C1409" s="1" t="s">
        <v>33</v>
      </c>
      <c r="D1409" s="2" t="s">
        <v>390</v>
      </c>
      <c r="E1409" s="2" t="s">
        <v>390</v>
      </c>
      <c r="F1409" s="2" t="s">
        <v>11</v>
      </c>
      <c r="G1409" s="3" t="s">
        <v>1102</v>
      </c>
      <c r="H1409" s="1" t="s">
        <v>12</v>
      </c>
      <c r="I1409" s="1" t="s">
        <v>30</v>
      </c>
      <c r="J1409" s="1" t="s">
        <v>14</v>
      </c>
    </row>
    <row r="1410" spans="2:10" x14ac:dyDescent="0.3">
      <c r="B1410" s="1" t="s">
        <v>1761</v>
      </c>
      <c r="C1410" s="1" t="s">
        <v>31</v>
      </c>
      <c r="D1410" s="2" t="s">
        <v>433</v>
      </c>
      <c r="E1410" s="2" t="s">
        <v>433</v>
      </c>
      <c r="F1410" s="2" t="s">
        <v>11</v>
      </c>
      <c r="G1410" s="3" t="s">
        <v>1763</v>
      </c>
      <c r="H1410" s="1" t="s">
        <v>12</v>
      </c>
      <c r="I1410" s="1" t="s">
        <v>18</v>
      </c>
      <c r="J1410" s="1" t="s">
        <v>14</v>
      </c>
    </row>
    <row r="1411" spans="2:10" x14ac:dyDescent="0.3">
      <c r="B1411" s="1" t="s">
        <v>1761</v>
      </c>
      <c r="C1411" s="1" t="s">
        <v>46</v>
      </c>
      <c r="D1411" s="2" t="s">
        <v>376</v>
      </c>
      <c r="E1411" s="2" t="s">
        <v>376</v>
      </c>
      <c r="F1411" s="2" t="s">
        <v>11</v>
      </c>
      <c r="G1411" s="3" t="s">
        <v>1764</v>
      </c>
      <c r="H1411" s="1" t="s">
        <v>12</v>
      </c>
      <c r="I1411" s="1" t="s">
        <v>49</v>
      </c>
      <c r="J1411" s="1" t="s">
        <v>14</v>
      </c>
    </row>
    <row r="1412" spans="2:10" x14ac:dyDescent="0.3">
      <c r="B1412" s="1" t="s">
        <v>1761</v>
      </c>
      <c r="C1412" s="1" t="s">
        <v>45</v>
      </c>
      <c r="D1412" s="2" t="s">
        <v>224</v>
      </c>
      <c r="E1412" s="2" t="s">
        <v>224</v>
      </c>
      <c r="F1412" s="2" t="s">
        <v>11</v>
      </c>
      <c r="G1412" s="3" t="s">
        <v>1145</v>
      </c>
      <c r="H1412" s="1" t="s">
        <v>12</v>
      </c>
      <c r="I1412" s="1" t="s">
        <v>25</v>
      </c>
      <c r="J1412" s="1" t="s">
        <v>14</v>
      </c>
    </row>
    <row r="1413" spans="2:10" x14ac:dyDescent="0.3">
      <c r="B1413" s="1" t="s">
        <v>1761</v>
      </c>
      <c r="C1413" s="1" t="s">
        <v>26</v>
      </c>
      <c r="D1413" s="2" t="s">
        <v>467</v>
      </c>
      <c r="E1413" s="2" t="s">
        <v>467</v>
      </c>
      <c r="F1413" s="2" t="s">
        <v>11</v>
      </c>
      <c r="G1413" s="3" t="s">
        <v>1093</v>
      </c>
      <c r="H1413" s="1" t="s">
        <v>12</v>
      </c>
      <c r="I1413" s="1" t="s">
        <v>44</v>
      </c>
      <c r="J1413" s="1" t="s">
        <v>14</v>
      </c>
    </row>
    <row r="1414" spans="2:10" x14ac:dyDescent="0.3">
      <c r="B1414" s="1" t="s">
        <v>1761</v>
      </c>
      <c r="C1414" s="1" t="s">
        <v>38</v>
      </c>
      <c r="D1414" s="2" t="s">
        <v>224</v>
      </c>
      <c r="E1414" s="2" t="s">
        <v>224</v>
      </c>
      <c r="F1414" s="2" t="s">
        <v>11</v>
      </c>
      <c r="G1414" s="3" t="s">
        <v>1765</v>
      </c>
      <c r="H1414" s="1" t="s">
        <v>12</v>
      </c>
      <c r="I1414" s="1" t="s">
        <v>34</v>
      </c>
      <c r="J1414" s="1" t="s">
        <v>14</v>
      </c>
    </row>
    <row r="1415" spans="2:10" x14ac:dyDescent="0.3">
      <c r="B1415" s="1" t="s">
        <v>1761</v>
      </c>
      <c r="C1415" s="1" t="s">
        <v>35</v>
      </c>
      <c r="D1415" s="2" t="s">
        <v>376</v>
      </c>
      <c r="E1415" s="2" t="s">
        <v>376</v>
      </c>
      <c r="F1415" s="2" t="s">
        <v>11</v>
      </c>
      <c r="G1415" s="3" t="s">
        <v>1766</v>
      </c>
      <c r="H1415" s="1" t="s">
        <v>12</v>
      </c>
      <c r="I1415" s="1" t="s">
        <v>16</v>
      </c>
      <c r="J1415" s="1" t="s">
        <v>14</v>
      </c>
    </row>
    <row r="1416" spans="2:10" x14ac:dyDescent="0.3">
      <c r="B1416" s="1" t="s">
        <v>1761</v>
      </c>
      <c r="C1416" s="1" t="s">
        <v>39</v>
      </c>
      <c r="D1416" s="2" t="s">
        <v>491</v>
      </c>
      <c r="E1416" s="2" t="s">
        <v>491</v>
      </c>
      <c r="F1416" s="2" t="s">
        <v>11</v>
      </c>
      <c r="G1416" s="3" t="s">
        <v>1767</v>
      </c>
      <c r="H1416" s="1" t="s">
        <v>12</v>
      </c>
      <c r="I1416" s="1" t="s">
        <v>78</v>
      </c>
      <c r="J1416" s="1" t="s">
        <v>14</v>
      </c>
    </row>
    <row r="1417" spans="2:10" x14ac:dyDescent="0.3">
      <c r="B1417" s="1" t="s">
        <v>1761</v>
      </c>
      <c r="C1417" s="1" t="s">
        <v>17</v>
      </c>
      <c r="D1417" s="2" t="s">
        <v>390</v>
      </c>
      <c r="E1417" s="2" t="s">
        <v>390</v>
      </c>
      <c r="F1417" s="2" t="s">
        <v>11</v>
      </c>
      <c r="G1417" s="3" t="s">
        <v>1768</v>
      </c>
      <c r="H1417" s="1" t="s">
        <v>12</v>
      </c>
      <c r="I1417" s="1" t="s">
        <v>69</v>
      </c>
      <c r="J1417" s="1" t="s">
        <v>14</v>
      </c>
    </row>
    <row r="1418" spans="2:10" x14ac:dyDescent="0.3">
      <c r="B1418" s="1" t="s">
        <v>1761</v>
      </c>
      <c r="C1418" s="1" t="s">
        <v>36</v>
      </c>
      <c r="D1418" s="2" t="s">
        <v>467</v>
      </c>
      <c r="E1418" s="2" t="s">
        <v>467</v>
      </c>
      <c r="F1418" s="2" t="s">
        <v>11</v>
      </c>
      <c r="G1418" s="3" t="s">
        <v>1142</v>
      </c>
      <c r="H1418" s="1" t="s">
        <v>12</v>
      </c>
      <c r="I1418" s="1" t="s">
        <v>13</v>
      </c>
      <c r="J1418" s="1" t="s">
        <v>14</v>
      </c>
    </row>
    <row r="1419" spans="2:10" x14ac:dyDescent="0.3">
      <c r="B1419" s="1" t="s">
        <v>1761</v>
      </c>
      <c r="C1419" s="1" t="s">
        <v>10</v>
      </c>
      <c r="D1419" s="2" t="s">
        <v>502</v>
      </c>
      <c r="E1419" s="2" t="s">
        <v>502</v>
      </c>
      <c r="F1419" s="2" t="s">
        <v>11</v>
      </c>
      <c r="G1419" s="3" t="s">
        <v>1769</v>
      </c>
      <c r="H1419" s="1" t="s">
        <v>12</v>
      </c>
      <c r="I1419" s="1" t="s">
        <v>18</v>
      </c>
      <c r="J1419" s="1" t="s">
        <v>14</v>
      </c>
    </row>
    <row r="1420" spans="2:10" x14ac:dyDescent="0.3">
      <c r="B1420" s="1" t="s">
        <v>1761</v>
      </c>
      <c r="C1420" s="1" t="s">
        <v>41</v>
      </c>
      <c r="D1420" s="2" t="s">
        <v>376</v>
      </c>
      <c r="E1420" s="2" t="s">
        <v>376</v>
      </c>
      <c r="F1420" s="2" t="s">
        <v>11</v>
      </c>
      <c r="G1420" s="3" t="s">
        <v>1770</v>
      </c>
      <c r="H1420" s="1" t="s">
        <v>12</v>
      </c>
      <c r="I1420" s="1" t="s">
        <v>30</v>
      </c>
      <c r="J1420" s="1" t="s">
        <v>14</v>
      </c>
    </row>
    <row r="1421" spans="2:10" x14ac:dyDescent="0.3">
      <c r="B1421" s="1" t="s">
        <v>1761</v>
      </c>
      <c r="C1421" s="1" t="s">
        <v>29</v>
      </c>
      <c r="D1421" s="2" t="s">
        <v>242</v>
      </c>
      <c r="E1421" s="2" t="s">
        <v>242</v>
      </c>
      <c r="F1421" s="2" t="s">
        <v>11</v>
      </c>
      <c r="G1421" s="3" t="s">
        <v>1771</v>
      </c>
      <c r="H1421" s="1" t="s">
        <v>12</v>
      </c>
      <c r="I1421" s="1" t="s">
        <v>22</v>
      </c>
      <c r="J1421" s="1" t="s">
        <v>14</v>
      </c>
    </row>
    <row r="1422" spans="2:10" x14ac:dyDescent="0.3">
      <c r="B1422" s="1" t="s">
        <v>1761</v>
      </c>
      <c r="C1422" s="1" t="s">
        <v>28</v>
      </c>
      <c r="D1422" s="2" t="s">
        <v>224</v>
      </c>
      <c r="E1422" s="2" t="s">
        <v>224</v>
      </c>
      <c r="F1422" s="2" t="s">
        <v>11</v>
      </c>
      <c r="G1422" s="3" t="s">
        <v>1772</v>
      </c>
      <c r="H1422" s="1" t="s">
        <v>12</v>
      </c>
      <c r="I1422" s="1" t="s">
        <v>66</v>
      </c>
      <c r="J1422" s="1" t="s">
        <v>14</v>
      </c>
    </row>
    <row r="1423" spans="2:10" x14ac:dyDescent="0.3">
      <c r="B1423" s="1" t="s">
        <v>1761</v>
      </c>
      <c r="C1423" s="1" t="s">
        <v>23</v>
      </c>
      <c r="D1423" s="2" t="s">
        <v>390</v>
      </c>
      <c r="E1423" s="2" t="s">
        <v>390</v>
      </c>
      <c r="F1423" s="2" t="s">
        <v>11</v>
      </c>
      <c r="G1423" s="3" t="s">
        <v>1568</v>
      </c>
      <c r="H1423" s="1" t="s">
        <v>12</v>
      </c>
      <c r="I1423" s="1" t="s">
        <v>50</v>
      </c>
      <c r="J1423" s="1" t="s">
        <v>14</v>
      </c>
    </row>
    <row r="1424" spans="2:10" x14ac:dyDescent="0.3">
      <c r="B1424" s="1" t="s">
        <v>1761</v>
      </c>
      <c r="C1424" s="1" t="s">
        <v>21</v>
      </c>
      <c r="D1424" s="2" t="s">
        <v>502</v>
      </c>
      <c r="E1424" s="2" t="s">
        <v>502</v>
      </c>
      <c r="F1424" s="2" t="s">
        <v>11</v>
      </c>
      <c r="G1424" s="3" t="s">
        <v>262</v>
      </c>
      <c r="H1424" s="1" t="s">
        <v>12</v>
      </c>
      <c r="I1424" s="1" t="s">
        <v>30</v>
      </c>
      <c r="J1424" s="1" t="s">
        <v>14</v>
      </c>
    </row>
    <row r="1425" spans="2:10" x14ac:dyDescent="0.3">
      <c r="B1425" s="1" t="s">
        <v>1761</v>
      </c>
      <c r="C1425" s="1" t="s">
        <v>43</v>
      </c>
      <c r="D1425" s="2" t="s">
        <v>467</v>
      </c>
      <c r="E1425" s="2" t="s">
        <v>467</v>
      </c>
      <c r="F1425" s="2" t="s">
        <v>11</v>
      </c>
      <c r="G1425" s="3" t="s">
        <v>1773</v>
      </c>
      <c r="H1425" s="1" t="s">
        <v>12</v>
      </c>
      <c r="I1425" s="1" t="s">
        <v>16</v>
      </c>
      <c r="J1425" s="1" t="s">
        <v>14</v>
      </c>
    </row>
    <row r="1426" spans="2:10" x14ac:dyDescent="0.3">
      <c r="B1426" s="1" t="s">
        <v>1774</v>
      </c>
      <c r="C1426" s="1" t="s">
        <v>19</v>
      </c>
      <c r="D1426" s="2" t="s">
        <v>758</v>
      </c>
      <c r="E1426" s="2" t="s">
        <v>758</v>
      </c>
      <c r="F1426" s="2" t="s">
        <v>11</v>
      </c>
      <c r="G1426" s="3" t="s">
        <v>1775</v>
      </c>
      <c r="H1426" s="1" t="s">
        <v>12</v>
      </c>
      <c r="I1426" s="1" t="s">
        <v>56</v>
      </c>
      <c r="J1426" s="1" t="s">
        <v>14</v>
      </c>
    </row>
    <row r="1427" spans="2:10" x14ac:dyDescent="0.3">
      <c r="B1427" s="1" t="s">
        <v>1774</v>
      </c>
      <c r="C1427" s="1" t="s">
        <v>43</v>
      </c>
      <c r="D1427" s="2" t="s">
        <v>190</v>
      </c>
      <c r="E1427" s="2" t="s">
        <v>204</v>
      </c>
      <c r="F1427" s="2" t="s">
        <v>11</v>
      </c>
      <c r="G1427" s="3" t="s">
        <v>1776</v>
      </c>
      <c r="H1427" s="1" t="s">
        <v>12</v>
      </c>
      <c r="I1427" s="1" t="s">
        <v>46</v>
      </c>
      <c r="J1427" s="1" t="s">
        <v>52</v>
      </c>
    </row>
    <row r="1428" spans="2:10" x14ac:dyDescent="0.3">
      <c r="B1428" s="1" t="s">
        <v>1774</v>
      </c>
      <c r="C1428" s="1" t="s">
        <v>24</v>
      </c>
      <c r="D1428" s="2" t="s">
        <v>747</v>
      </c>
      <c r="E1428" s="2" t="s">
        <v>747</v>
      </c>
      <c r="F1428" s="2" t="s">
        <v>11</v>
      </c>
      <c r="G1428" s="3" t="s">
        <v>1777</v>
      </c>
      <c r="H1428" s="1" t="s">
        <v>12</v>
      </c>
      <c r="I1428" s="1" t="s">
        <v>48</v>
      </c>
      <c r="J1428" s="1" t="s">
        <v>14</v>
      </c>
    </row>
    <row r="1429" spans="2:10" x14ac:dyDescent="0.3">
      <c r="B1429" s="1" t="s">
        <v>1774</v>
      </c>
      <c r="C1429" s="1" t="s">
        <v>38</v>
      </c>
      <c r="D1429" s="2" t="s">
        <v>185</v>
      </c>
      <c r="E1429" s="2" t="s">
        <v>185</v>
      </c>
      <c r="F1429" s="2" t="s">
        <v>11</v>
      </c>
      <c r="G1429" s="3" t="s">
        <v>1346</v>
      </c>
      <c r="H1429" s="1" t="s">
        <v>12</v>
      </c>
      <c r="I1429" s="1" t="s">
        <v>56</v>
      </c>
      <c r="J1429" s="1" t="s">
        <v>14</v>
      </c>
    </row>
    <row r="1430" spans="2:10" x14ac:dyDescent="0.3">
      <c r="B1430" s="1" t="s">
        <v>1774</v>
      </c>
      <c r="C1430" s="1" t="s">
        <v>29</v>
      </c>
      <c r="D1430" s="2" t="s">
        <v>1778</v>
      </c>
      <c r="E1430" s="2" t="s">
        <v>1123</v>
      </c>
      <c r="F1430" s="2" t="s">
        <v>11</v>
      </c>
      <c r="G1430" s="3" t="s">
        <v>1779</v>
      </c>
      <c r="H1430" s="1" t="s">
        <v>12</v>
      </c>
      <c r="I1430" s="1" t="s">
        <v>46</v>
      </c>
      <c r="J1430" s="1" t="s">
        <v>52</v>
      </c>
    </row>
    <row r="1431" spans="2:10" x14ac:dyDescent="0.3">
      <c r="B1431" s="1" t="s">
        <v>1774</v>
      </c>
      <c r="C1431" s="1" t="s">
        <v>31</v>
      </c>
      <c r="D1431" s="2" t="s">
        <v>747</v>
      </c>
      <c r="E1431" s="2" t="s">
        <v>747</v>
      </c>
      <c r="F1431" s="2" t="s">
        <v>11</v>
      </c>
      <c r="G1431" s="3" t="s">
        <v>1780</v>
      </c>
      <c r="H1431" s="1" t="s">
        <v>12</v>
      </c>
      <c r="I1431" s="1" t="s">
        <v>49</v>
      </c>
      <c r="J1431" s="1" t="s">
        <v>14</v>
      </c>
    </row>
    <row r="1432" spans="2:10" x14ac:dyDescent="0.3">
      <c r="B1432" s="1" t="s">
        <v>1774</v>
      </c>
      <c r="C1432" s="1" t="s">
        <v>21</v>
      </c>
      <c r="D1432" s="2" t="s">
        <v>747</v>
      </c>
      <c r="E1432" s="2" t="s">
        <v>747</v>
      </c>
      <c r="F1432" s="2" t="s">
        <v>11</v>
      </c>
      <c r="G1432" s="3" t="s">
        <v>1781</v>
      </c>
      <c r="H1432" s="1" t="s">
        <v>12</v>
      </c>
      <c r="I1432" s="1" t="s">
        <v>69</v>
      </c>
      <c r="J1432" s="1" t="s">
        <v>14</v>
      </c>
    </row>
    <row r="1433" spans="2:10" x14ac:dyDescent="0.3">
      <c r="B1433" s="1" t="s">
        <v>1774</v>
      </c>
      <c r="C1433" s="1" t="s">
        <v>36</v>
      </c>
      <c r="D1433" s="2" t="s">
        <v>875</v>
      </c>
      <c r="E1433" s="2" t="s">
        <v>875</v>
      </c>
      <c r="F1433" s="2" t="s">
        <v>11</v>
      </c>
      <c r="G1433" s="3" t="s">
        <v>1782</v>
      </c>
      <c r="H1433" s="1" t="s">
        <v>12</v>
      </c>
      <c r="I1433" s="1" t="s">
        <v>89</v>
      </c>
      <c r="J1433" s="1" t="s">
        <v>14</v>
      </c>
    </row>
    <row r="1434" spans="2:10" x14ac:dyDescent="0.3">
      <c r="B1434" s="1" t="s">
        <v>1774</v>
      </c>
      <c r="C1434" s="1" t="s">
        <v>26</v>
      </c>
      <c r="D1434" s="2" t="s">
        <v>337</v>
      </c>
      <c r="E1434" s="2" t="s">
        <v>337</v>
      </c>
      <c r="F1434" s="2" t="s">
        <v>11</v>
      </c>
      <c r="G1434" s="3" t="s">
        <v>1783</v>
      </c>
      <c r="H1434" s="1" t="s">
        <v>12</v>
      </c>
      <c r="I1434" s="1" t="s">
        <v>44</v>
      </c>
      <c r="J1434" s="1" t="s">
        <v>14</v>
      </c>
    </row>
    <row r="1435" spans="2:10" x14ac:dyDescent="0.3">
      <c r="B1435" s="1" t="s">
        <v>1774</v>
      </c>
      <c r="C1435" s="1" t="s">
        <v>10</v>
      </c>
      <c r="D1435" s="2" t="s">
        <v>202</v>
      </c>
      <c r="E1435" s="2" t="s">
        <v>202</v>
      </c>
      <c r="F1435" s="2" t="s">
        <v>11</v>
      </c>
      <c r="G1435" s="3" t="s">
        <v>1784</v>
      </c>
      <c r="H1435" s="1" t="s">
        <v>12</v>
      </c>
      <c r="I1435" s="1" t="s">
        <v>55</v>
      </c>
      <c r="J1435" s="1" t="s">
        <v>14</v>
      </c>
    </row>
    <row r="1436" spans="2:10" x14ac:dyDescent="0.3">
      <c r="B1436" s="1" t="s">
        <v>1774</v>
      </c>
      <c r="C1436" s="1" t="s">
        <v>33</v>
      </c>
      <c r="D1436" s="2" t="s">
        <v>696</v>
      </c>
      <c r="E1436" s="2" t="s">
        <v>696</v>
      </c>
      <c r="F1436" s="2" t="s">
        <v>11</v>
      </c>
      <c r="G1436" s="3" t="s">
        <v>1229</v>
      </c>
      <c r="H1436" s="1" t="s">
        <v>12</v>
      </c>
      <c r="I1436" s="1" t="s">
        <v>91</v>
      </c>
      <c r="J1436" s="1" t="s">
        <v>14</v>
      </c>
    </row>
    <row r="1437" spans="2:10" x14ac:dyDescent="0.3">
      <c r="B1437" s="1" t="s">
        <v>1774</v>
      </c>
      <c r="C1437" s="1" t="s">
        <v>46</v>
      </c>
      <c r="D1437" s="2" t="s">
        <v>747</v>
      </c>
      <c r="E1437" s="2" t="s">
        <v>747</v>
      </c>
      <c r="F1437" s="2" t="s">
        <v>11</v>
      </c>
      <c r="G1437" s="3" t="s">
        <v>1785</v>
      </c>
      <c r="H1437" s="1" t="s">
        <v>12</v>
      </c>
      <c r="I1437" s="1" t="s">
        <v>63</v>
      </c>
      <c r="J1437" s="1" t="s">
        <v>14</v>
      </c>
    </row>
    <row r="1438" spans="2:10" x14ac:dyDescent="0.3">
      <c r="B1438" s="1" t="s">
        <v>1774</v>
      </c>
      <c r="C1438" s="1" t="s">
        <v>45</v>
      </c>
      <c r="D1438" s="2" t="s">
        <v>202</v>
      </c>
      <c r="E1438" s="2" t="s">
        <v>202</v>
      </c>
      <c r="F1438" s="2" t="s">
        <v>11</v>
      </c>
      <c r="G1438" s="3" t="s">
        <v>1786</v>
      </c>
      <c r="H1438" s="1" t="s">
        <v>12</v>
      </c>
      <c r="I1438" s="1" t="s">
        <v>30</v>
      </c>
      <c r="J1438" s="1" t="s">
        <v>14</v>
      </c>
    </row>
    <row r="1439" spans="2:10" x14ac:dyDescent="0.3">
      <c r="B1439" s="1" t="s">
        <v>1774</v>
      </c>
      <c r="C1439" s="1" t="s">
        <v>41</v>
      </c>
      <c r="D1439" s="2" t="s">
        <v>204</v>
      </c>
      <c r="E1439" s="2" t="s">
        <v>204</v>
      </c>
      <c r="F1439" s="2" t="s">
        <v>11</v>
      </c>
      <c r="G1439" s="3" t="s">
        <v>1787</v>
      </c>
      <c r="H1439" s="1" t="s">
        <v>12</v>
      </c>
      <c r="I1439" s="1" t="s">
        <v>41</v>
      </c>
      <c r="J1439" s="1" t="s">
        <v>14</v>
      </c>
    </row>
    <row r="1440" spans="2:10" x14ac:dyDescent="0.3">
      <c r="B1440" s="1" t="s">
        <v>1774</v>
      </c>
      <c r="C1440" s="1" t="s">
        <v>15</v>
      </c>
      <c r="D1440" s="2" t="s">
        <v>696</v>
      </c>
      <c r="E1440" s="2" t="s">
        <v>696</v>
      </c>
      <c r="F1440" s="2" t="s">
        <v>11</v>
      </c>
      <c r="G1440" s="3" t="s">
        <v>1788</v>
      </c>
      <c r="H1440" s="1" t="s">
        <v>12</v>
      </c>
      <c r="I1440" s="1" t="s">
        <v>67</v>
      </c>
      <c r="J1440" s="1" t="s">
        <v>14</v>
      </c>
    </row>
    <row r="1441" spans="2:10" x14ac:dyDescent="0.3">
      <c r="B1441" s="1" t="s">
        <v>1774</v>
      </c>
      <c r="C1441" s="1" t="s">
        <v>28</v>
      </c>
      <c r="D1441" s="2" t="s">
        <v>875</v>
      </c>
      <c r="E1441" s="2" t="s">
        <v>875</v>
      </c>
      <c r="F1441" s="2" t="s">
        <v>11</v>
      </c>
      <c r="G1441" s="3" t="s">
        <v>1662</v>
      </c>
      <c r="H1441" s="1" t="s">
        <v>12</v>
      </c>
      <c r="I1441" s="1" t="s">
        <v>48</v>
      </c>
      <c r="J1441" s="1" t="s">
        <v>14</v>
      </c>
    </row>
    <row r="1442" spans="2:10" x14ac:dyDescent="0.3">
      <c r="B1442" s="1" t="s">
        <v>1774</v>
      </c>
      <c r="C1442" s="1" t="s">
        <v>17</v>
      </c>
      <c r="D1442" s="2" t="s">
        <v>185</v>
      </c>
      <c r="E1442" s="2" t="s">
        <v>185</v>
      </c>
      <c r="F1442" s="2" t="s">
        <v>11</v>
      </c>
      <c r="G1442" s="3" t="s">
        <v>1789</v>
      </c>
      <c r="H1442" s="1" t="s">
        <v>12</v>
      </c>
      <c r="I1442" s="1" t="s">
        <v>13</v>
      </c>
      <c r="J1442" s="1" t="s">
        <v>14</v>
      </c>
    </row>
    <row r="1443" spans="2:10" x14ac:dyDescent="0.3">
      <c r="B1443" s="1" t="s">
        <v>1774</v>
      </c>
      <c r="C1443" s="1" t="s">
        <v>35</v>
      </c>
      <c r="D1443" s="2" t="s">
        <v>1778</v>
      </c>
      <c r="E1443" s="2" t="s">
        <v>1778</v>
      </c>
      <c r="F1443" s="2" t="s">
        <v>11</v>
      </c>
      <c r="G1443" s="3" t="s">
        <v>1790</v>
      </c>
      <c r="H1443" s="1" t="s">
        <v>12</v>
      </c>
      <c r="I1443" s="1" t="s">
        <v>18</v>
      </c>
      <c r="J1443" s="1" t="s">
        <v>14</v>
      </c>
    </row>
    <row r="1444" spans="2:10" x14ac:dyDescent="0.3">
      <c r="B1444" s="1" t="s">
        <v>1774</v>
      </c>
      <c r="C1444" s="1" t="s">
        <v>23</v>
      </c>
      <c r="D1444" s="2" t="s">
        <v>696</v>
      </c>
      <c r="E1444" s="2" t="s">
        <v>696</v>
      </c>
      <c r="F1444" s="2" t="s">
        <v>11</v>
      </c>
      <c r="G1444" s="3" t="s">
        <v>1791</v>
      </c>
      <c r="H1444" s="1" t="s">
        <v>12</v>
      </c>
      <c r="I1444" s="1" t="s">
        <v>74</v>
      </c>
      <c r="J1444" s="1" t="s">
        <v>14</v>
      </c>
    </row>
    <row r="1445" spans="2:10" x14ac:dyDescent="0.3">
      <c r="B1445" s="1" t="s">
        <v>1774</v>
      </c>
      <c r="C1445" s="1" t="s">
        <v>39</v>
      </c>
      <c r="D1445" s="2" t="s">
        <v>512</v>
      </c>
      <c r="E1445" s="2" t="s">
        <v>512</v>
      </c>
      <c r="F1445" s="2" t="s">
        <v>11</v>
      </c>
      <c r="G1445" s="3" t="s">
        <v>1142</v>
      </c>
      <c r="H1445" s="1" t="s">
        <v>12</v>
      </c>
      <c r="I1445" s="1" t="s">
        <v>13</v>
      </c>
      <c r="J1445" s="1" t="s">
        <v>14</v>
      </c>
    </row>
    <row r="1446" spans="2:10" x14ac:dyDescent="0.3">
      <c r="B1446" s="1" t="s">
        <v>1792</v>
      </c>
      <c r="C1446" s="1" t="s">
        <v>19</v>
      </c>
      <c r="D1446" s="2" t="s">
        <v>1072</v>
      </c>
      <c r="E1446" s="2" t="s">
        <v>1072</v>
      </c>
      <c r="F1446" s="2" t="s">
        <v>11</v>
      </c>
      <c r="G1446" s="3" t="s">
        <v>1793</v>
      </c>
      <c r="H1446" s="1" t="s">
        <v>12</v>
      </c>
      <c r="I1446" s="1" t="s">
        <v>27</v>
      </c>
      <c r="J1446" s="1" t="s">
        <v>14</v>
      </c>
    </row>
    <row r="1447" spans="2:10" x14ac:dyDescent="0.3">
      <c r="B1447" s="1" t="s">
        <v>1792</v>
      </c>
      <c r="C1447" s="1" t="s">
        <v>39</v>
      </c>
      <c r="D1447" s="2" t="s">
        <v>1080</v>
      </c>
      <c r="E1447" s="2" t="s">
        <v>1080</v>
      </c>
      <c r="F1447" s="2" t="s">
        <v>11</v>
      </c>
      <c r="G1447" s="3" t="s">
        <v>1639</v>
      </c>
      <c r="H1447" s="1" t="s">
        <v>12</v>
      </c>
      <c r="I1447" s="1" t="s">
        <v>66</v>
      </c>
      <c r="J1447" s="1" t="s">
        <v>52</v>
      </c>
    </row>
    <row r="1448" spans="2:10" x14ac:dyDescent="0.3">
      <c r="B1448" s="1" t="s">
        <v>1792</v>
      </c>
      <c r="C1448" s="1" t="s">
        <v>41</v>
      </c>
      <c r="D1448" s="2" t="s">
        <v>1689</v>
      </c>
      <c r="E1448" s="2" t="s">
        <v>1689</v>
      </c>
      <c r="F1448" s="2" t="s">
        <v>11</v>
      </c>
      <c r="G1448" s="3" t="s">
        <v>1794</v>
      </c>
      <c r="H1448" s="1" t="s">
        <v>12</v>
      </c>
      <c r="I1448" s="1" t="s">
        <v>77</v>
      </c>
      <c r="J1448" s="1" t="s">
        <v>14</v>
      </c>
    </row>
    <row r="1449" spans="2:10" x14ac:dyDescent="0.3">
      <c r="B1449" s="1" t="s">
        <v>1792</v>
      </c>
      <c r="C1449" s="1" t="s">
        <v>26</v>
      </c>
      <c r="D1449" s="2" t="s">
        <v>1689</v>
      </c>
      <c r="E1449" s="2" t="s">
        <v>1689</v>
      </c>
      <c r="F1449" s="2" t="s">
        <v>11</v>
      </c>
      <c r="G1449" s="3" t="s">
        <v>1795</v>
      </c>
      <c r="H1449" s="1" t="s">
        <v>12</v>
      </c>
      <c r="I1449" s="1" t="s">
        <v>39</v>
      </c>
      <c r="J1449" s="1" t="s">
        <v>14</v>
      </c>
    </row>
    <row r="1450" spans="2:10" x14ac:dyDescent="0.3">
      <c r="B1450" s="1" t="s">
        <v>1792</v>
      </c>
      <c r="C1450" s="1" t="s">
        <v>28</v>
      </c>
      <c r="D1450" s="2" t="s">
        <v>1796</v>
      </c>
      <c r="E1450" s="2" t="s">
        <v>1796</v>
      </c>
      <c r="F1450" s="2" t="s">
        <v>11</v>
      </c>
      <c r="G1450" s="3" t="s">
        <v>1797</v>
      </c>
      <c r="H1450" s="1" t="s">
        <v>12</v>
      </c>
      <c r="I1450" s="1" t="s">
        <v>30</v>
      </c>
      <c r="J1450" s="1" t="s">
        <v>14</v>
      </c>
    </row>
    <row r="1451" spans="2:10" x14ac:dyDescent="0.3">
      <c r="B1451" s="1" t="s">
        <v>1792</v>
      </c>
      <c r="C1451" s="1" t="s">
        <v>21</v>
      </c>
      <c r="D1451" s="2" t="s">
        <v>1080</v>
      </c>
      <c r="E1451" s="2" t="s">
        <v>1080</v>
      </c>
      <c r="F1451" s="2" t="s">
        <v>11</v>
      </c>
      <c r="G1451" s="3" t="s">
        <v>484</v>
      </c>
      <c r="H1451" s="1" t="s">
        <v>12</v>
      </c>
      <c r="I1451" s="1" t="s">
        <v>44</v>
      </c>
      <c r="J1451" s="1" t="s">
        <v>14</v>
      </c>
    </row>
    <row r="1452" spans="2:10" x14ac:dyDescent="0.3">
      <c r="B1452" s="1" t="s">
        <v>1792</v>
      </c>
      <c r="C1452" s="1" t="s">
        <v>15</v>
      </c>
      <c r="D1452" s="2" t="s">
        <v>1072</v>
      </c>
      <c r="E1452" s="2" t="s">
        <v>1072</v>
      </c>
      <c r="F1452" s="2" t="s">
        <v>11</v>
      </c>
      <c r="G1452" s="3" t="s">
        <v>1798</v>
      </c>
      <c r="H1452" s="1" t="s">
        <v>12</v>
      </c>
      <c r="I1452" s="1" t="s">
        <v>50</v>
      </c>
      <c r="J1452" s="1" t="s">
        <v>14</v>
      </c>
    </row>
    <row r="1453" spans="2:10" x14ac:dyDescent="0.3">
      <c r="B1453" s="1" t="s">
        <v>1792</v>
      </c>
      <c r="C1453" s="1" t="s">
        <v>38</v>
      </c>
      <c r="D1453" s="2" t="s">
        <v>1080</v>
      </c>
      <c r="E1453" s="2" t="s">
        <v>1080</v>
      </c>
      <c r="F1453" s="2" t="s">
        <v>11</v>
      </c>
      <c r="G1453" s="3" t="s">
        <v>1799</v>
      </c>
      <c r="H1453" s="1" t="s">
        <v>12</v>
      </c>
      <c r="I1453" s="1" t="s">
        <v>25</v>
      </c>
      <c r="J1453" s="1" t="s">
        <v>14</v>
      </c>
    </row>
    <row r="1454" spans="2:10" x14ac:dyDescent="0.3">
      <c r="B1454" s="1" t="s">
        <v>1792</v>
      </c>
      <c r="C1454" s="1" t="s">
        <v>29</v>
      </c>
      <c r="D1454" s="2" t="s">
        <v>568</v>
      </c>
      <c r="E1454" s="2" t="s">
        <v>1800</v>
      </c>
      <c r="F1454" s="2" t="s">
        <v>11</v>
      </c>
      <c r="G1454" s="3" t="s">
        <v>1801</v>
      </c>
      <c r="H1454" s="1" t="s">
        <v>12</v>
      </c>
      <c r="I1454" s="1" t="s">
        <v>35</v>
      </c>
      <c r="J1454" s="1" t="s">
        <v>52</v>
      </c>
    </row>
    <row r="1455" spans="2:10" x14ac:dyDescent="0.3">
      <c r="B1455" s="1" t="s">
        <v>1792</v>
      </c>
      <c r="C1455" s="1" t="s">
        <v>24</v>
      </c>
      <c r="D1455" s="2" t="s">
        <v>1072</v>
      </c>
      <c r="E1455" s="2" t="s">
        <v>1072</v>
      </c>
      <c r="F1455" s="2" t="s">
        <v>11</v>
      </c>
      <c r="G1455" s="3" t="s">
        <v>1802</v>
      </c>
      <c r="H1455" s="1" t="s">
        <v>12</v>
      </c>
      <c r="I1455" s="1" t="s">
        <v>42</v>
      </c>
      <c r="J1455" s="1" t="s">
        <v>14</v>
      </c>
    </row>
    <row r="1456" spans="2:10" x14ac:dyDescent="0.3">
      <c r="B1456" s="1" t="s">
        <v>1792</v>
      </c>
      <c r="C1456" s="1" t="s">
        <v>31</v>
      </c>
      <c r="D1456" s="2" t="s">
        <v>1080</v>
      </c>
      <c r="E1456" s="2" t="s">
        <v>1080</v>
      </c>
      <c r="F1456" s="2" t="s">
        <v>11</v>
      </c>
      <c r="G1456" s="3" t="s">
        <v>1803</v>
      </c>
      <c r="H1456" s="1" t="s">
        <v>12</v>
      </c>
      <c r="I1456" s="1" t="s">
        <v>71</v>
      </c>
      <c r="J1456" s="1" t="s">
        <v>14</v>
      </c>
    </row>
    <row r="1457" spans="2:10" x14ac:dyDescent="0.3">
      <c r="B1457" s="1" t="s">
        <v>1792</v>
      </c>
      <c r="C1457" s="1" t="s">
        <v>33</v>
      </c>
      <c r="D1457" s="2" t="s">
        <v>1796</v>
      </c>
      <c r="E1457" s="2" t="s">
        <v>1796</v>
      </c>
      <c r="F1457" s="2" t="s">
        <v>11</v>
      </c>
      <c r="G1457" s="3" t="s">
        <v>1804</v>
      </c>
      <c r="H1457" s="1" t="s">
        <v>12</v>
      </c>
      <c r="I1457" s="1" t="s">
        <v>40</v>
      </c>
      <c r="J1457" s="1" t="s">
        <v>14</v>
      </c>
    </row>
    <row r="1458" spans="2:10" x14ac:dyDescent="0.3">
      <c r="B1458" s="1" t="s">
        <v>1792</v>
      </c>
      <c r="C1458" s="1" t="s">
        <v>36</v>
      </c>
      <c r="D1458" s="2" t="s">
        <v>1796</v>
      </c>
      <c r="E1458" s="2" t="s">
        <v>1796</v>
      </c>
      <c r="F1458" s="2" t="s">
        <v>11</v>
      </c>
      <c r="G1458" s="3" t="s">
        <v>1805</v>
      </c>
      <c r="H1458" s="1" t="s">
        <v>12</v>
      </c>
      <c r="I1458" s="1" t="s">
        <v>42</v>
      </c>
      <c r="J1458" s="1" t="s">
        <v>14</v>
      </c>
    </row>
    <row r="1459" spans="2:10" x14ac:dyDescent="0.3">
      <c r="B1459" s="1" t="s">
        <v>1792</v>
      </c>
      <c r="C1459" s="1" t="s">
        <v>46</v>
      </c>
      <c r="D1459" s="2" t="s">
        <v>1080</v>
      </c>
      <c r="E1459" s="2" t="s">
        <v>1080</v>
      </c>
      <c r="F1459" s="2" t="s">
        <v>11</v>
      </c>
      <c r="G1459" s="3" t="s">
        <v>1806</v>
      </c>
      <c r="H1459" s="1" t="s">
        <v>12</v>
      </c>
      <c r="I1459" s="1" t="s">
        <v>69</v>
      </c>
      <c r="J1459" s="1" t="s">
        <v>14</v>
      </c>
    </row>
    <row r="1460" spans="2:10" x14ac:dyDescent="0.3">
      <c r="B1460" s="1" t="s">
        <v>1792</v>
      </c>
      <c r="C1460" s="1" t="s">
        <v>35</v>
      </c>
      <c r="D1460" s="2" t="s">
        <v>1689</v>
      </c>
      <c r="E1460" s="2" t="s">
        <v>1689</v>
      </c>
      <c r="F1460" s="2" t="s">
        <v>11</v>
      </c>
      <c r="G1460" s="3" t="s">
        <v>1807</v>
      </c>
      <c r="H1460" s="1" t="s">
        <v>12</v>
      </c>
      <c r="I1460" s="1" t="s">
        <v>77</v>
      </c>
      <c r="J1460" s="1" t="s">
        <v>14</v>
      </c>
    </row>
    <row r="1461" spans="2:10" x14ac:dyDescent="0.3">
      <c r="B1461" s="1" t="s">
        <v>1792</v>
      </c>
      <c r="C1461" s="1" t="s">
        <v>10</v>
      </c>
      <c r="D1461" s="2" t="s">
        <v>1080</v>
      </c>
      <c r="E1461" s="2" t="s">
        <v>1080</v>
      </c>
      <c r="F1461" s="2" t="s">
        <v>11</v>
      </c>
      <c r="G1461" s="3" t="s">
        <v>1808</v>
      </c>
      <c r="H1461" s="1" t="s">
        <v>12</v>
      </c>
      <c r="I1461" s="1" t="s">
        <v>71</v>
      </c>
      <c r="J1461" s="1" t="s">
        <v>14</v>
      </c>
    </row>
    <row r="1462" spans="2:10" x14ac:dyDescent="0.3">
      <c r="B1462" s="1" t="s">
        <v>1792</v>
      </c>
      <c r="C1462" s="1" t="s">
        <v>43</v>
      </c>
      <c r="D1462" s="2" t="s">
        <v>1796</v>
      </c>
      <c r="E1462" s="2" t="s">
        <v>1796</v>
      </c>
      <c r="F1462" s="2" t="s">
        <v>11</v>
      </c>
      <c r="G1462" s="3" t="s">
        <v>1809</v>
      </c>
      <c r="H1462" s="1" t="s">
        <v>12</v>
      </c>
      <c r="I1462" s="1" t="s">
        <v>22</v>
      </c>
      <c r="J1462" s="1" t="s">
        <v>14</v>
      </c>
    </row>
    <row r="1463" spans="2:10" x14ac:dyDescent="0.3">
      <c r="B1463" s="1" t="s">
        <v>1792</v>
      </c>
      <c r="C1463" s="1" t="s">
        <v>23</v>
      </c>
      <c r="D1463" s="2" t="s">
        <v>1591</v>
      </c>
      <c r="E1463" s="2" t="s">
        <v>1591</v>
      </c>
      <c r="F1463" s="2" t="s">
        <v>11</v>
      </c>
      <c r="G1463" s="3" t="s">
        <v>1810</v>
      </c>
      <c r="H1463" s="1" t="s">
        <v>12</v>
      </c>
      <c r="I1463" s="1" t="s">
        <v>10</v>
      </c>
      <c r="J1463" s="1" t="s">
        <v>52</v>
      </c>
    </row>
    <row r="1464" spans="2:10" x14ac:dyDescent="0.3">
      <c r="B1464" s="1" t="s">
        <v>1792</v>
      </c>
      <c r="C1464" s="1" t="s">
        <v>45</v>
      </c>
      <c r="D1464" s="2" t="s">
        <v>1080</v>
      </c>
      <c r="E1464" s="2" t="s">
        <v>1080</v>
      </c>
      <c r="F1464" s="2" t="s">
        <v>11</v>
      </c>
      <c r="G1464" s="3" t="s">
        <v>1557</v>
      </c>
      <c r="H1464" s="1" t="s">
        <v>12</v>
      </c>
      <c r="I1464" s="1" t="s">
        <v>18</v>
      </c>
      <c r="J1464" s="1" t="s">
        <v>14</v>
      </c>
    </row>
    <row r="1465" spans="2:10" x14ac:dyDescent="0.3">
      <c r="B1465" s="1" t="s">
        <v>1792</v>
      </c>
      <c r="C1465" s="1" t="s">
        <v>17</v>
      </c>
      <c r="D1465" s="2" t="s">
        <v>1072</v>
      </c>
      <c r="E1465" s="2" t="s">
        <v>1072</v>
      </c>
      <c r="F1465" s="2" t="s">
        <v>11</v>
      </c>
      <c r="G1465" s="3" t="s">
        <v>1396</v>
      </c>
      <c r="H1465" s="1" t="s">
        <v>12</v>
      </c>
      <c r="I1465" s="1" t="s">
        <v>42</v>
      </c>
      <c r="J1465" s="1" t="s">
        <v>14</v>
      </c>
    </row>
    <row r="1466" spans="2:10" x14ac:dyDescent="0.3">
      <c r="B1466" s="1" t="s">
        <v>1811</v>
      </c>
      <c r="C1466" s="1" t="s">
        <v>17</v>
      </c>
      <c r="D1466" s="2" t="s">
        <v>200</v>
      </c>
      <c r="E1466" s="2" t="s">
        <v>200</v>
      </c>
      <c r="F1466" s="2" t="s">
        <v>11</v>
      </c>
      <c r="G1466" s="3" t="s">
        <v>1812</v>
      </c>
      <c r="H1466" s="1" t="s">
        <v>12</v>
      </c>
      <c r="I1466" s="1" t="s">
        <v>58</v>
      </c>
      <c r="J1466" s="1" t="s">
        <v>14</v>
      </c>
    </row>
    <row r="1467" spans="2:10" x14ac:dyDescent="0.3">
      <c r="B1467" s="1" t="s">
        <v>1811</v>
      </c>
      <c r="C1467" s="1" t="s">
        <v>35</v>
      </c>
      <c r="D1467" s="2" t="s">
        <v>439</v>
      </c>
      <c r="E1467" s="2" t="s">
        <v>439</v>
      </c>
      <c r="F1467" s="2" t="s">
        <v>11</v>
      </c>
      <c r="G1467" s="3" t="s">
        <v>1813</v>
      </c>
      <c r="H1467" s="1" t="s">
        <v>12</v>
      </c>
      <c r="I1467" s="1" t="s">
        <v>62</v>
      </c>
      <c r="J1467" s="1" t="s">
        <v>14</v>
      </c>
    </row>
    <row r="1468" spans="2:10" x14ac:dyDescent="0.3">
      <c r="B1468" s="1" t="s">
        <v>1811</v>
      </c>
      <c r="C1468" s="1" t="s">
        <v>46</v>
      </c>
      <c r="D1468" s="2" t="s">
        <v>777</v>
      </c>
      <c r="E1468" s="2" t="s">
        <v>777</v>
      </c>
      <c r="F1468" s="2" t="s">
        <v>11</v>
      </c>
      <c r="G1468" s="3" t="s">
        <v>1814</v>
      </c>
      <c r="H1468" s="1" t="s">
        <v>12</v>
      </c>
      <c r="I1468" s="1" t="s">
        <v>62</v>
      </c>
      <c r="J1468" s="1" t="s">
        <v>14</v>
      </c>
    </row>
    <row r="1469" spans="2:10" x14ac:dyDescent="0.3">
      <c r="B1469" s="1" t="s">
        <v>1811</v>
      </c>
      <c r="C1469" s="1" t="s">
        <v>33</v>
      </c>
      <c r="D1469" s="2" t="s">
        <v>777</v>
      </c>
      <c r="E1469" s="2" t="s">
        <v>777</v>
      </c>
      <c r="F1469" s="2" t="s">
        <v>11</v>
      </c>
      <c r="G1469" s="3" t="s">
        <v>1815</v>
      </c>
      <c r="H1469" s="1" t="s">
        <v>12</v>
      </c>
      <c r="I1469" s="1" t="s">
        <v>13</v>
      </c>
      <c r="J1469" s="1" t="s">
        <v>14</v>
      </c>
    </row>
    <row r="1470" spans="2:10" x14ac:dyDescent="0.3">
      <c r="B1470" s="1" t="s">
        <v>1811</v>
      </c>
      <c r="C1470" s="1" t="s">
        <v>29</v>
      </c>
      <c r="D1470" s="2" t="s">
        <v>777</v>
      </c>
      <c r="E1470" s="2" t="s">
        <v>777</v>
      </c>
      <c r="F1470" s="2" t="s">
        <v>11</v>
      </c>
      <c r="G1470" s="3" t="s">
        <v>1767</v>
      </c>
      <c r="H1470" s="1" t="s">
        <v>12</v>
      </c>
      <c r="I1470" s="1" t="s">
        <v>25</v>
      </c>
      <c r="J1470" s="1" t="s">
        <v>14</v>
      </c>
    </row>
    <row r="1471" spans="2:10" x14ac:dyDescent="0.3">
      <c r="B1471" s="1" t="s">
        <v>1811</v>
      </c>
      <c r="C1471" s="1" t="s">
        <v>38</v>
      </c>
      <c r="D1471" s="2" t="s">
        <v>1816</v>
      </c>
      <c r="E1471" s="2" t="s">
        <v>1817</v>
      </c>
      <c r="F1471" s="2" t="s">
        <v>11</v>
      </c>
      <c r="G1471" s="3" t="s">
        <v>1818</v>
      </c>
      <c r="H1471" s="1" t="s">
        <v>12</v>
      </c>
      <c r="I1471" s="1" t="s">
        <v>38</v>
      </c>
      <c r="J1471" s="1" t="s">
        <v>52</v>
      </c>
    </row>
    <row r="1472" spans="2:10" x14ac:dyDescent="0.3">
      <c r="B1472" s="1" t="s">
        <v>1811</v>
      </c>
      <c r="C1472" s="1" t="s">
        <v>26</v>
      </c>
      <c r="D1472" s="2" t="s">
        <v>455</v>
      </c>
      <c r="E1472" s="2" t="s">
        <v>455</v>
      </c>
      <c r="F1472" s="2" t="s">
        <v>11</v>
      </c>
      <c r="G1472" s="3" t="s">
        <v>1819</v>
      </c>
      <c r="H1472" s="1" t="s">
        <v>12</v>
      </c>
      <c r="I1472" s="1" t="s">
        <v>77</v>
      </c>
      <c r="J1472" s="1" t="s">
        <v>14</v>
      </c>
    </row>
    <row r="1473" spans="2:10" x14ac:dyDescent="0.3">
      <c r="B1473" s="1" t="s">
        <v>1811</v>
      </c>
      <c r="C1473" s="1" t="s">
        <v>45</v>
      </c>
      <c r="D1473" s="2" t="s">
        <v>859</v>
      </c>
      <c r="E1473" s="2" t="s">
        <v>859</v>
      </c>
      <c r="F1473" s="2" t="s">
        <v>11</v>
      </c>
      <c r="G1473" s="3" t="s">
        <v>1820</v>
      </c>
      <c r="H1473" s="1" t="s">
        <v>12</v>
      </c>
      <c r="I1473" s="1" t="s">
        <v>66</v>
      </c>
      <c r="J1473" s="1" t="s">
        <v>14</v>
      </c>
    </row>
    <row r="1474" spans="2:10" x14ac:dyDescent="0.3">
      <c r="B1474" s="1" t="s">
        <v>1811</v>
      </c>
      <c r="C1474" s="1" t="s">
        <v>43</v>
      </c>
      <c r="D1474" s="2" t="s">
        <v>1821</v>
      </c>
      <c r="E1474" s="2" t="s">
        <v>1822</v>
      </c>
      <c r="F1474" s="2" t="s">
        <v>11</v>
      </c>
      <c r="G1474" s="3" t="s">
        <v>135</v>
      </c>
      <c r="H1474" s="1" t="s">
        <v>12</v>
      </c>
      <c r="I1474" s="1" t="s">
        <v>55</v>
      </c>
      <c r="J1474" s="1" t="s">
        <v>52</v>
      </c>
    </row>
    <row r="1475" spans="2:10" x14ac:dyDescent="0.3">
      <c r="B1475" s="1" t="s">
        <v>1811</v>
      </c>
      <c r="C1475" s="1" t="s">
        <v>23</v>
      </c>
      <c r="D1475" s="2" t="s">
        <v>439</v>
      </c>
      <c r="E1475" s="2" t="s">
        <v>439</v>
      </c>
      <c r="F1475" s="2" t="s">
        <v>11</v>
      </c>
      <c r="G1475" s="3" t="s">
        <v>1823</v>
      </c>
      <c r="H1475" s="1" t="s">
        <v>12</v>
      </c>
      <c r="I1475" s="1" t="s">
        <v>49</v>
      </c>
      <c r="J1475" s="1" t="s">
        <v>14</v>
      </c>
    </row>
    <row r="1476" spans="2:10" x14ac:dyDescent="0.3">
      <c r="B1476" s="1" t="s">
        <v>1811</v>
      </c>
      <c r="C1476" s="1" t="s">
        <v>31</v>
      </c>
      <c r="D1476" s="2" t="s">
        <v>251</v>
      </c>
      <c r="E1476" s="2" t="s">
        <v>251</v>
      </c>
      <c r="F1476" s="2" t="s">
        <v>11</v>
      </c>
      <c r="G1476" s="3" t="s">
        <v>1824</v>
      </c>
      <c r="H1476" s="1" t="s">
        <v>12</v>
      </c>
      <c r="I1476" s="1" t="s">
        <v>104</v>
      </c>
      <c r="J1476" s="1" t="s">
        <v>14</v>
      </c>
    </row>
    <row r="1477" spans="2:10" x14ac:dyDescent="0.3">
      <c r="B1477" s="1" t="s">
        <v>1811</v>
      </c>
      <c r="C1477" s="1" t="s">
        <v>36</v>
      </c>
      <c r="D1477" s="2" t="s">
        <v>192</v>
      </c>
      <c r="E1477" s="2" t="s">
        <v>192</v>
      </c>
      <c r="F1477" s="2" t="s">
        <v>11</v>
      </c>
      <c r="G1477" s="3" t="s">
        <v>1825</v>
      </c>
      <c r="H1477" s="1" t="s">
        <v>12</v>
      </c>
      <c r="I1477" s="1" t="s">
        <v>106</v>
      </c>
      <c r="J1477" s="1" t="s">
        <v>14</v>
      </c>
    </row>
    <row r="1478" spans="2:10" x14ac:dyDescent="0.3">
      <c r="B1478" s="1" t="s">
        <v>1811</v>
      </c>
      <c r="C1478" s="1" t="s">
        <v>24</v>
      </c>
      <c r="D1478" s="2" t="s">
        <v>1826</v>
      </c>
      <c r="E1478" s="2" t="s">
        <v>1826</v>
      </c>
      <c r="F1478" s="2" t="s">
        <v>11</v>
      </c>
      <c r="G1478" s="3" t="s">
        <v>1827</v>
      </c>
      <c r="H1478" s="1" t="s">
        <v>12</v>
      </c>
      <c r="I1478" s="1" t="s">
        <v>15</v>
      </c>
      <c r="J1478" s="1" t="s">
        <v>52</v>
      </c>
    </row>
    <row r="1479" spans="2:10" x14ac:dyDescent="0.3">
      <c r="B1479" s="1" t="s">
        <v>1811</v>
      </c>
      <c r="C1479" s="1" t="s">
        <v>15</v>
      </c>
      <c r="D1479" s="2" t="s">
        <v>439</v>
      </c>
      <c r="E1479" s="2" t="s">
        <v>439</v>
      </c>
      <c r="F1479" s="2" t="s">
        <v>11</v>
      </c>
      <c r="G1479" s="3" t="s">
        <v>1349</v>
      </c>
      <c r="H1479" s="1" t="s">
        <v>12</v>
      </c>
      <c r="I1479" s="1" t="s">
        <v>13</v>
      </c>
      <c r="J1479" s="1" t="s">
        <v>14</v>
      </c>
    </row>
    <row r="1480" spans="2:10" x14ac:dyDescent="0.3">
      <c r="B1480" s="1" t="s">
        <v>1811</v>
      </c>
      <c r="C1480" s="1" t="s">
        <v>10</v>
      </c>
      <c r="D1480" s="2" t="s">
        <v>584</v>
      </c>
      <c r="E1480" s="2" t="s">
        <v>584</v>
      </c>
      <c r="F1480" s="2" t="s">
        <v>11</v>
      </c>
      <c r="G1480" s="3" t="s">
        <v>1828</v>
      </c>
      <c r="H1480" s="1" t="s">
        <v>12</v>
      </c>
      <c r="I1480" s="1" t="s">
        <v>62</v>
      </c>
      <c r="J1480" s="1" t="s">
        <v>14</v>
      </c>
    </row>
    <row r="1481" spans="2:10" x14ac:dyDescent="0.3">
      <c r="B1481" s="1" t="s">
        <v>1811</v>
      </c>
      <c r="C1481" s="1" t="s">
        <v>28</v>
      </c>
      <c r="D1481" s="2" t="s">
        <v>190</v>
      </c>
      <c r="E1481" s="2" t="s">
        <v>190</v>
      </c>
      <c r="F1481" s="2" t="s">
        <v>11</v>
      </c>
      <c r="G1481" s="3" t="s">
        <v>1829</v>
      </c>
      <c r="H1481" s="1" t="s">
        <v>12</v>
      </c>
      <c r="I1481" s="1" t="s">
        <v>13</v>
      </c>
      <c r="J1481" s="1" t="s">
        <v>14</v>
      </c>
    </row>
    <row r="1482" spans="2:10" x14ac:dyDescent="0.3">
      <c r="B1482" s="1" t="s">
        <v>1811</v>
      </c>
      <c r="C1482" s="1" t="s">
        <v>41</v>
      </c>
      <c r="D1482" s="2" t="s">
        <v>190</v>
      </c>
      <c r="E1482" s="2" t="s">
        <v>190</v>
      </c>
      <c r="F1482" s="2" t="s">
        <v>11</v>
      </c>
      <c r="G1482" s="3" t="s">
        <v>1830</v>
      </c>
      <c r="H1482" s="1" t="s">
        <v>12</v>
      </c>
      <c r="I1482" s="1" t="s">
        <v>66</v>
      </c>
      <c r="J1482" s="1" t="s">
        <v>14</v>
      </c>
    </row>
    <row r="1483" spans="2:10" x14ac:dyDescent="0.3">
      <c r="B1483" s="1" t="s">
        <v>1811</v>
      </c>
      <c r="C1483" s="1" t="s">
        <v>21</v>
      </c>
      <c r="D1483" s="2" t="s">
        <v>1437</v>
      </c>
      <c r="E1483" s="2" t="s">
        <v>1437</v>
      </c>
      <c r="F1483" s="2" t="s">
        <v>11</v>
      </c>
      <c r="G1483" s="3" t="s">
        <v>136</v>
      </c>
      <c r="H1483" s="1" t="s">
        <v>12</v>
      </c>
      <c r="I1483" s="1" t="s">
        <v>67</v>
      </c>
      <c r="J1483" s="1" t="s">
        <v>14</v>
      </c>
    </row>
    <row r="1484" spans="2:10" x14ac:dyDescent="0.3">
      <c r="B1484" s="1" t="s">
        <v>1811</v>
      </c>
      <c r="C1484" s="1" t="s">
        <v>39</v>
      </c>
      <c r="D1484" s="2" t="s">
        <v>638</v>
      </c>
      <c r="E1484" s="2" t="s">
        <v>638</v>
      </c>
      <c r="F1484" s="2" t="s">
        <v>11</v>
      </c>
      <c r="G1484" s="3" t="s">
        <v>1831</v>
      </c>
      <c r="H1484" s="1" t="s">
        <v>12</v>
      </c>
      <c r="I1484" s="1" t="s">
        <v>62</v>
      </c>
      <c r="J1484" s="1" t="s">
        <v>14</v>
      </c>
    </row>
    <row r="1485" spans="2:10" x14ac:dyDescent="0.3">
      <c r="B1485" s="1" t="s">
        <v>1811</v>
      </c>
      <c r="C1485" s="1" t="s">
        <v>19</v>
      </c>
      <c r="D1485" s="2" t="s">
        <v>777</v>
      </c>
      <c r="E1485" s="2" t="s">
        <v>777</v>
      </c>
      <c r="F1485" s="2" t="s">
        <v>11</v>
      </c>
      <c r="G1485" s="3" t="s">
        <v>1832</v>
      </c>
      <c r="H1485" s="1" t="s">
        <v>12</v>
      </c>
      <c r="I1485" s="1" t="s">
        <v>47</v>
      </c>
      <c r="J1485" s="1" t="s">
        <v>14</v>
      </c>
    </row>
    <row r="1486" spans="2:10" x14ac:dyDescent="0.3">
      <c r="B1486" s="1" t="s">
        <v>1833</v>
      </c>
      <c r="C1486" s="1" t="s">
        <v>41</v>
      </c>
      <c r="D1486" s="2" t="s">
        <v>483</v>
      </c>
      <c r="E1486" s="2" t="s">
        <v>483</v>
      </c>
      <c r="F1486" s="2" t="s">
        <v>11</v>
      </c>
      <c r="G1486" s="3" t="s">
        <v>775</v>
      </c>
      <c r="H1486" s="1" t="s">
        <v>12</v>
      </c>
      <c r="I1486" s="1" t="s">
        <v>60</v>
      </c>
      <c r="J1486" s="1" t="s">
        <v>14</v>
      </c>
    </row>
    <row r="1487" spans="2:10" x14ac:dyDescent="0.3">
      <c r="B1487" s="1" t="s">
        <v>1833</v>
      </c>
      <c r="C1487" s="1" t="s">
        <v>28</v>
      </c>
      <c r="D1487" s="2" t="s">
        <v>244</v>
      </c>
      <c r="E1487" s="2" t="s">
        <v>244</v>
      </c>
      <c r="F1487" s="2" t="s">
        <v>11</v>
      </c>
      <c r="G1487" s="3" t="s">
        <v>1834</v>
      </c>
      <c r="H1487" s="1" t="s">
        <v>12</v>
      </c>
      <c r="I1487" s="1" t="s">
        <v>39</v>
      </c>
      <c r="J1487" s="1" t="s">
        <v>14</v>
      </c>
    </row>
    <row r="1488" spans="2:10" x14ac:dyDescent="0.3">
      <c r="B1488" s="1" t="s">
        <v>1833</v>
      </c>
      <c r="C1488" s="1" t="s">
        <v>19</v>
      </c>
      <c r="D1488" s="2" t="s">
        <v>499</v>
      </c>
      <c r="E1488" s="2" t="s">
        <v>499</v>
      </c>
      <c r="F1488" s="2" t="s">
        <v>11</v>
      </c>
      <c r="G1488" s="3" t="s">
        <v>1835</v>
      </c>
      <c r="H1488" s="1" t="s">
        <v>12</v>
      </c>
      <c r="I1488" s="1" t="s">
        <v>50</v>
      </c>
      <c r="J1488" s="1" t="s">
        <v>14</v>
      </c>
    </row>
    <row r="1489" spans="2:10" x14ac:dyDescent="0.3">
      <c r="B1489" s="1" t="s">
        <v>1833</v>
      </c>
      <c r="C1489" s="1" t="s">
        <v>24</v>
      </c>
      <c r="D1489" s="2" t="s">
        <v>838</v>
      </c>
      <c r="E1489" s="2" t="s">
        <v>838</v>
      </c>
      <c r="F1489" s="2" t="s">
        <v>11</v>
      </c>
      <c r="G1489" s="3" t="s">
        <v>1836</v>
      </c>
      <c r="H1489" s="1" t="s">
        <v>12</v>
      </c>
      <c r="I1489" s="1" t="s">
        <v>62</v>
      </c>
      <c r="J1489" s="1" t="s">
        <v>14</v>
      </c>
    </row>
    <row r="1490" spans="2:10" x14ac:dyDescent="0.3">
      <c r="B1490" s="1" t="s">
        <v>1833</v>
      </c>
      <c r="C1490" s="1" t="s">
        <v>38</v>
      </c>
      <c r="D1490" s="2" t="s">
        <v>777</v>
      </c>
      <c r="E1490" s="2" t="s">
        <v>777</v>
      </c>
      <c r="F1490" s="2" t="s">
        <v>11</v>
      </c>
      <c r="G1490" s="3" t="s">
        <v>1837</v>
      </c>
      <c r="H1490" s="1" t="s">
        <v>12</v>
      </c>
      <c r="I1490" s="1" t="s">
        <v>40</v>
      </c>
      <c r="J1490" s="1" t="s">
        <v>14</v>
      </c>
    </row>
    <row r="1491" spans="2:10" x14ac:dyDescent="0.3">
      <c r="B1491" s="1" t="s">
        <v>1833</v>
      </c>
      <c r="C1491" s="1" t="s">
        <v>17</v>
      </c>
      <c r="D1491" s="2" t="s">
        <v>248</v>
      </c>
      <c r="E1491" s="2" t="s">
        <v>248</v>
      </c>
      <c r="F1491" s="2" t="s">
        <v>11</v>
      </c>
      <c r="G1491" s="3" t="s">
        <v>1838</v>
      </c>
      <c r="H1491" s="1" t="s">
        <v>12</v>
      </c>
      <c r="I1491" s="1" t="s">
        <v>22</v>
      </c>
      <c r="J1491" s="1" t="s">
        <v>14</v>
      </c>
    </row>
    <row r="1492" spans="2:10" x14ac:dyDescent="0.3">
      <c r="B1492" s="1" t="s">
        <v>1833</v>
      </c>
      <c r="C1492" s="1" t="s">
        <v>26</v>
      </c>
      <c r="D1492" s="2" t="s">
        <v>499</v>
      </c>
      <c r="E1492" s="2" t="s">
        <v>499</v>
      </c>
      <c r="F1492" s="2" t="s">
        <v>11</v>
      </c>
      <c r="G1492" s="3" t="s">
        <v>1839</v>
      </c>
      <c r="H1492" s="1" t="s">
        <v>12</v>
      </c>
      <c r="I1492" s="1" t="s">
        <v>76</v>
      </c>
      <c r="J1492" s="1" t="s">
        <v>14</v>
      </c>
    </row>
    <row r="1493" spans="2:10" x14ac:dyDescent="0.3">
      <c r="B1493" s="1" t="s">
        <v>1833</v>
      </c>
      <c r="C1493" s="1" t="s">
        <v>43</v>
      </c>
      <c r="D1493" s="2" t="s">
        <v>547</v>
      </c>
      <c r="E1493" s="2" t="s">
        <v>1840</v>
      </c>
      <c r="F1493" s="2" t="s">
        <v>11</v>
      </c>
      <c r="G1493" s="3" t="s">
        <v>1841</v>
      </c>
      <c r="H1493" s="1" t="s">
        <v>12</v>
      </c>
      <c r="I1493" s="1" t="s">
        <v>15</v>
      </c>
      <c r="J1493" s="1" t="s">
        <v>52</v>
      </c>
    </row>
    <row r="1494" spans="2:10" x14ac:dyDescent="0.3">
      <c r="B1494" s="1" t="s">
        <v>1833</v>
      </c>
      <c r="C1494" s="1" t="s">
        <v>10</v>
      </c>
      <c r="D1494" s="2" t="s">
        <v>692</v>
      </c>
      <c r="E1494" s="2" t="s">
        <v>692</v>
      </c>
      <c r="F1494" s="2" t="s">
        <v>11</v>
      </c>
      <c r="G1494" s="3" t="s">
        <v>1842</v>
      </c>
      <c r="H1494" s="1" t="s">
        <v>12</v>
      </c>
      <c r="I1494" s="1" t="s">
        <v>68</v>
      </c>
      <c r="J1494" s="1" t="s">
        <v>14</v>
      </c>
    </row>
    <row r="1495" spans="2:10" x14ac:dyDescent="0.3">
      <c r="B1495" s="1" t="s">
        <v>1833</v>
      </c>
      <c r="C1495" s="1" t="s">
        <v>29</v>
      </c>
      <c r="D1495" s="2" t="s">
        <v>499</v>
      </c>
      <c r="E1495" s="2" t="s">
        <v>499</v>
      </c>
      <c r="F1495" s="2" t="s">
        <v>11</v>
      </c>
      <c r="G1495" s="3" t="s">
        <v>1843</v>
      </c>
      <c r="H1495" s="1" t="s">
        <v>12</v>
      </c>
      <c r="I1495" s="1" t="s">
        <v>64</v>
      </c>
      <c r="J1495" s="1" t="s">
        <v>14</v>
      </c>
    </row>
    <row r="1496" spans="2:10" x14ac:dyDescent="0.3">
      <c r="B1496" s="1" t="s">
        <v>1833</v>
      </c>
      <c r="C1496" s="1" t="s">
        <v>35</v>
      </c>
      <c r="D1496" s="2" t="s">
        <v>483</v>
      </c>
      <c r="E1496" s="2" t="s">
        <v>483</v>
      </c>
      <c r="F1496" s="2" t="s">
        <v>11</v>
      </c>
      <c r="G1496" s="3" t="s">
        <v>481</v>
      </c>
      <c r="H1496" s="1" t="s">
        <v>12</v>
      </c>
      <c r="I1496" s="1" t="s">
        <v>64</v>
      </c>
      <c r="J1496" s="1" t="s">
        <v>14</v>
      </c>
    </row>
    <row r="1497" spans="2:10" x14ac:dyDescent="0.3">
      <c r="B1497" s="1" t="s">
        <v>1833</v>
      </c>
      <c r="C1497" s="1" t="s">
        <v>39</v>
      </c>
      <c r="D1497" s="2" t="s">
        <v>464</v>
      </c>
      <c r="E1497" s="2" t="s">
        <v>464</v>
      </c>
      <c r="F1497" s="2" t="s">
        <v>11</v>
      </c>
      <c r="G1497" s="3" t="s">
        <v>1696</v>
      </c>
      <c r="H1497" s="1" t="s">
        <v>12</v>
      </c>
      <c r="I1497" s="1" t="s">
        <v>64</v>
      </c>
      <c r="J1497" s="1" t="s">
        <v>14</v>
      </c>
    </row>
    <row r="1498" spans="2:10" x14ac:dyDescent="0.3">
      <c r="B1498" s="1" t="s">
        <v>1833</v>
      </c>
      <c r="C1498" s="1" t="s">
        <v>21</v>
      </c>
      <c r="D1498" s="2" t="s">
        <v>499</v>
      </c>
      <c r="E1498" s="2" t="s">
        <v>499</v>
      </c>
      <c r="F1498" s="2" t="s">
        <v>11</v>
      </c>
      <c r="G1498" s="3" t="s">
        <v>1844</v>
      </c>
      <c r="H1498" s="1" t="s">
        <v>12</v>
      </c>
      <c r="I1498" s="1" t="s">
        <v>79</v>
      </c>
      <c r="J1498" s="1" t="s">
        <v>14</v>
      </c>
    </row>
    <row r="1499" spans="2:10" x14ac:dyDescent="0.3">
      <c r="B1499" s="1" t="s">
        <v>1833</v>
      </c>
      <c r="C1499" s="1" t="s">
        <v>45</v>
      </c>
      <c r="D1499" s="2" t="s">
        <v>248</v>
      </c>
      <c r="E1499" s="2" t="s">
        <v>248</v>
      </c>
      <c r="F1499" s="2" t="s">
        <v>11</v>
      </c>
      <c r="G1499" s="3" t="s">
        <v>1845</v>
      </c>
      <c r="H1499" s="1" t="s">
        <v>12</v>
      </c>
      <c r="I1499" s="1" t="s">
        <v>50</v>
      </c>
      <c r="J1499" s="1" t="s">
        <v>14</v>
      </c>
    </row>
    <row r="1500" spans="2:10" x14ac:dyDescent="0.3">
      <c r="B1500" s="1" t="s">
        <v>1833</v>
      </c>
      <c r="C1500" s="1" t="s">
        <v>23</v>
      </c>
      <c r="D1500" s="2" t="s">
        <v>499</v>
      </c>
      <c r="E1500" s="2" t="s">
        <v>499</v>
      </c>
      <c r="F1500" s="2" t="s">
        <v>11</v>
      </c>
      <c r="G1500" s="3" t="s">
        <v>1846</v>
      </c>
      <c r="H1500" s="1" t="s">
        <v>12</v>
      </c>
      <c r="I1500" s="1" t="s">
        <v>13</v>
      </c>
      <c r="J1500" s="1" t="s">
        <v>14</v>
      </c>
    </row>
    <row r="1501" spans="2:10" x14ac:dyDescent="0.3">
      <c r="B1501" s="1" t="s">
        <v>1833</v>
      </c>
      <c r="C1501" s="1" t="s">
        <v>46</v>
      </c>
      <c r="D1501" s="2" t="s">
        <v>526</v>
      </c>
      <c r="E1501" s="2" t="s">
        <v>526</v>
      </c>
      <c r="F1501" s="2" t="s">
        <v>11</v>
      </c>
      <c r="G1501" s="3" t="s">
        <v>1847</v>
      </c>
      <c r="H1501" s="1" t="s">
        <v>12</v>
      </c>
      <c r="I1501" s="1" t="s">
        <v>18</v>
      </c>
      <c r="J1501" s="1" t="s">
        <v>14</v>
      </c>
    </row>
    <row r="1502" spans="2:10" x14ac:dyDescent="0.3">
      <c r="B1502" s="1" t="s">
        <v>1833</v>
      </c>
      <c r="C1502" s="1" t="s">
        <v>36</v>
      </c>
      <c r="D1502" s="2" t="s">
        <v>526</v>
      </c>
      <c r="E1502" s="2" t="s">
        <v>526</v>
      </c>
      <c r="F1502" s="2" t="s">
        <v>11</v>
      </c>
      <c r="G1502" s="3" t="s">
        <v>1848</v>
      </c>
      <c r="H1502" s="1" t="s">
        <v>12</v>
      </c>
      <c r="I1502" s="1" t="s">
        <v>34</v>
      </c>
      <c r="J1502" s="1" t="s">
        <v>14</v>
      </c>
    </row>
    <row r="1503" spans="2:10" x14ac:dyDescent="0.3">
      <c r="B1503" s="1" t="s">
        <v>1833</v>
      </c>
      <c r="C1503" s="1" t="s">
        <v>33</v>
      </c>
      <c r="D1503" s="2" t="s">
        <v>526</v>
      </c>
      <c r="E1503" s="2" t="s">
        <v>526</v>
      </c>
      <c r="F1503" s="2" t="s">
        <v>11</v>
      </c>
      <c r="G1503" s="3" t="s">
        <v>1849</v>
      </c>
      <c r="H1503" s="1" t="s">
        <v>12</v>
      </c>
      <c r="I1503" s="1" t="s">
        <v>69</v>
      </c>
      <c r="J1503" s="1" t="s">
        <v>14</v>
      </c>
    </row>
    <row r="1504" spans="2:10" x14ac:dyDescent="0.3">
      <c r="B1504" s="1" t="s">
        <v>1833</v>
      </c>
      <c r="C1504" s="1" t="s">
        <v>15</v>
      </c>
      <c r="D1504" s="2" t="s">
        <v>499</v>
      </c>
      <c r="E1504" s="2" t="s">
        <v>499</v>
      </c>
      <c r="F1504" s="2" t="s">
        <v>11</v>
      </c>
      <c r="G1504" s="3" t="s">
        <v>1187</v>
      </c>
      <c r="H1504" s="1" t="s">
        <v>12</v>
      </c>
      <c r="I1504" s="1" t="s">
        <v>13</v>
      </c>
      <c r="J1504" s="1" t="s">
        <v>14</v>
      </c>
    </row>
    <row r="1505" spans="2:10" x14ac:dyDescent="0.3">
      <c r="B1505" s="1" t="s">
        <v>1833</v>
      </c>
      <c r="C1505" s="1" t="s">
        <v>31</v>
      </c>
      <c r="D1505" s="2" t="s">
        <v>397</v>
      </c>
      <c r="E1505" s="2" t="s">
        <v>397</v>
      </c>
      <c r="F1505" s="2" t="s">
        <v>11</v>
      </c>
      <c r="G1505" s="3" t="s">
        <v>1659</v>
      </c>
      <c r="H1505" s="1" t="s">
        <v>12</v>
      </c>
      <c r="I1505" s="1" t="s">
        <v>44</v>
      </c>
      <c r="J1505" s="1" t="s">
        <v>14</v>
      </c>
    </row>
    <row r="1506" spans="2:10" x14ac:dyDescent="0.3">
      <c r="B1506" s="1" t="s">
        <v>1850</v>
      </c>
      <c r="C1506" s="1" t="s">
        <v>31</v>
      </c>
      <c r="D1506" s="2" t="s">
        <v>512</v>
      </c>
      <c r="E1506" s="2" t="s">
        <v>448</v>
      </c>
      <c r="F1506" s="2" t="s">
        <v>11</v>
      </c>
      <c r="G1506" s="3" t="s">
        <v>1851</v>
      </c>
      <c r="H1506" s="1" t="s">
        <v>12</v>
      </c>
      <c r="I1506" s="1" t="s">
        <v>10</v>
      </c>
      <c r="J1506" s="1" t="s">
        <v>52</v>
      </c>
    </row>
    <row r="1507" spans="2:10" x14ac:dyDescent="0.3">
      <c r="B1507" s="1" t="s">
        <v>1850</v>
      </c>
      <c r="C1507" s="1" t="s">
        <v>28</v>
      </c>
      <c r="D1507" s="2" t="s">
        <v>696</v>
      </c>
      <c r="E1507" s="2" t="s">
        <v>696</v>
      </c>
      <c r="F1507" s="2" t="s">
        <v>11</v>
      </c>
      <c r="G1507" s="3" t="s">
        <v>1852</v>
      </c>
      <c r="H1507" s="1" t="s">
        <v>12</v>
      </c>
      <c r="I1507" s="1" t="s">
        <v>18</v>
      </c>
      <c r="J1507" s="1" t="s">
        <v>14</v>
      </c>
    </row>
    <row r="1508" spans="2:10" x14ac:dyDescent="0.3">
      <c r="B1508" s="1" t="s">
        <v>1850</v>
      </c>
      <c r="C1508" s="1" t="s">
        <v>36</v>
      </c>
      <c r="D1508" s="2" t="s">
        <v>842</v>
      </c>
      <c r="E1508" s="2" t="s">
        <v>842</v>
      </c>
      <c r="F1508" s="2" t="s">
        <v>11</v>
      </c>
      <c r="G1508" s="3" t="s">
        <v>1853</v>
      </c>
      <c r="H1508" s="1" t="s">
        <v>12</v>
      </c>
      <c r="I1508" s="1" t="s">
        <v>93</v>
      </c>
      <c r="J1508" s="1" t="s">
        <v>14</v>
      </c>
    </row>
    <row r="1509" spans="2:10" x14ac:dyDescent="0.3">
      <c r="B1509" s="1" t="s">
        <v>1850</v>
      </c>
      <c r="C1509" s="1" t="s">
        <v>19</v>
      </c>
      <c r="D1509" s="2" t="s">
        <v>256</v>
      </c>
      <c r="E1509" s="2" t="s">
        <v>256</v>
      </c>
      <c r="F1509" s="2" t="s">
        <v>11</v>
      </c>
      <c r="G1509" s="3" t="s">
        <v>1854</v>
      </c>
      <c r="H1509" s="1" t="s">
        <v>12</v>
      </c>
      <c r="I1509" s="1" t="s">
        <v>93</v>
      </c>
      <c r="J1509" s="1" t="s">
        <v>14</v>
      </c>
    </row>
    <row r="1510" spans="2:10" x14ac:dyDescent="0.3">
      <c r="B1510" s="1" t="s">
        <v>1850</v>
      </c>
      <c r="C1510" s="1" t="s">
        <v>24</v>
      </c>
      <c r="D1510" s="2" t="s">
        <v>192</v>
      </c>
      <c r="E1510" s="2" t="s">
        <v>192</v>
      </c>
      <c r="F1510" s="2" t="s">
        <v>11</v>
      </c>
      <c r="G1510" s="3" t="s">
        <v>1855</v>
      </c>
      <c r="H1510" s="1" t="s">
        <v>12</v>
      </c>
      <c r="I1510" s="1" t="s">
        <v>27</v>
      </c>
      <c r="J1510" s="1" t="s">
        <v>14</v>
      </c>
    </row>
    <row r="1511" spans="2:10" x14ac:dyDescent="0.3">
      <c r="B1511" s="1" t="s">
        <v>1850</v>
      </c>
      <c r="C1511" s="1" t="s">
        <v>38</v>
      </c>
      <c r="D1511" s="2" t="s">
        <v>192</v>
      </c>
      <c r="E1511" s="2" t="s">
        <v>192</v>
      </c>
      <c r="F1511" s="2" t="s">
        <v>11</v>
      </c>
      <c r="G1511" s="3" t="s">
        <v>1856</v>
      </c>
      <c r="H1511" s="1" t="s">
        <v>12</v>
      </c>
      <c r="I1511" s="1" t="s">
        <v>64</v>
      </c>
      <c r="J1511" s="1" t="s">
        <v>14</v>
      </c>
    </row>
    <row r="1512" spans="2:10" x14ac:dyDescent="0.3">
      <c r="B1512" s="1" t="s">
        <v>1850</v>
      </c>
      <c r="C1512" s="1" t="s">
        <v>39</v>
      </c>
      <c r="D1512" s="2" t="s">
        <v>256</v>
      </c>
      <c r="E1512" s="2" t="s">
        <v>256</v>
      </c>
      <c r="F1512" s="2" t="s">
        <v>11</v>
      </c>
      <c r="G1512" s="3" t="s">
        <v>1196</v>
      </c>
      <c r="H1512" s="1" t="s">
        <v>12</v>
      </c>
      <c r="I1512" s="1" t="s">
        <v>66</v>
      </c>
      <c r="J1512" s="1" t="s">
        <v>52</v>
      </c>
    </row>
    <row r="1513" spans="2:10" x14ac:dyDescent="0.3">
      <c r="B1513" s="1" t="s">
        <v>1850</v>
      </c>
      <c r="C1513" s="1" t="s">
        <v>17</v>
      </c>
      <c r="D1513" s="2" t="s">
        <v>696</v>
      </c>
      <c r="E1513" s="2" t="s">
        <v>696</v>
      </c>
      <c r="F1513" s="2" t="s">
        <v>11</v>
      </c>
      <c r="G1513" s="3" t="s">
        <v>1857</v>
      </c>
      <c r="H1513" s="1" t="s">
        <v>12</v>
      </c>
      <c r="I1513" s="1" t="s">
        <v>47</v>
      </c>
      <c r="J1513" s="1" t="s">
        <v>14</v>
      </c>
    </row>
    <row r="1514" spans="2:10" x14ac:dyDescent="0.3">
      <c r="B1514" s="1" t="s">
        <v>1850</v>
      </c>
      <c r="C1514" s="1" t="s">
        <v>45</v>
      </c>
      <c r="D1514" s="2" t="s">
        <v>240</v>
      </c>
      <c r="E1514" s="2" t="s">
        <v>240</v>
      </c>
      <c r="F1514" s="2" t="s">
        <v>11</v>
      </c>
      <c r="G1514" s="3" t="s">
        <v>1858</v>
      </c>
      <c r="H1514" s="1" t="s">
        <v>12</v>
      </c>
      <c r="I1514" s="1" t="s">
        <v>27</v>
      </c>
      <c r="J1514" s="1" t="s">
        <v>14</v>
      </c>
    </row>
    <row r="1515" spans="2:10" x14ac:dyDescent="0.3">
      <c r="B1515" s="1" t="s">
        <v>1850</v>
      </c>
      <c r="C1515" s="1" t="s">
        <v>10</v>
      </c>
      <c r="D1515" s="2" t="s">
        <v>751</v>
      </c>
      <c r="E1515" s="2" t="s">
        <v>751</v>
      </c>
      <c r="F1515" s="2" t="s">
        <v>11</v>
      </c>
      <c r="G1515" s="3" t="s">
        <v>1859</v>
      </c>
      <c r="H1515" s="1" t="s">
        <v>12</v>
      </c>
      <c r="I1515" s="1" t="s">
        <v>72</v>
      </c>
      <c r="J1515" s="1" t="s">
        <v>14</v>
      </c>
    </row>
    <row r="1516" spans="2:10" x14ac:dyDescent="0.3">
      <c r="B1516" s="1" t="s">
        <v>1850</v>
      </c>
      <c r="C1516" s="1" t="s">
        <v>23</v>
      </c>
      <c r="D1516" s="2" t="s">
        <v>779</v>
      </c>
      <c r="E1516" s="2" t="s">
        <v>779</v>
      </c>
      <c r="F1516" s="2" t="s">
        <v>11</v>
      </c>
      <c r="G1516" s="3" t="s">
        <v>1860</v>
      </c>
      <c r="H1516" s="1" t="s">
        <v>12</v>
      </c>
      <c r="I1516" s="1" t="s">
        <v>13</v>
      </c>
      <c r="J1516" s="1" t="s">
        <v>14</v>
      </c>
    </row>
    <row r="1517" spans="2:10" x14ac:dyDescent="0.3">
      <c r="B1517" s="1" t="s">
        <v>1850</v>
      </c>
      <c r="C1517" s="1" t="s">
        <v>43</v>
      </c>
      <c r="D1517" s="2" t="s">
        <v>842</v>
      </c>
      <c r="E1517" s="2" t="s">
        <v>842</v>
      </c>
      <c r="F1517" s="2" t="s">
        <v>11</v>
      </c>
      <c r="G1517" s="3" t="s">
        <v>1861</v>
      </c>
      <c r="H1517" s="1" t="s">
        <v>12</v>
      </c>
      <c r="I1517" s="1" t="s">
        <v>56</v>
      </c>
      <c r="J1517" s="1" t="s">
        <v>14</v>
      </c>
    </row>
    <row r="1518" spans="2:10" x14ac:dyDescent="0.3">
      <c r="B1518" s="1" t="s">
        <v>1850</v>
      </c>
      <c r="C1518" s="1" t="s">
        <v>33</v>
      </c>
      <c r="D1518" s="2" t="s">
        <v>240</v>
      </c>
      <c r="E1518" s="2" t="s">
        <v>240</v>
      </c>
      <c r="F1518" s="2" t="s">
        <v>11</v>
      </c>
      <c r="G1518" s="3" t="s">
        <v>1862</v>
      </c>
      <c r="H1518" s="1" t="s">
        <v>12</v>
      </c>
      <c r="I1518" s="1" t="s">
        <v>80</v>
      </c>
      <c r="J1518" s="1" t="s">
        <v>14</v>
      </c>
    </row>
    <row r="1519" spans="2:10" x14ac:dyDescent="0.3">
      <c r="B1519" s="1" t="s">
        <v>1850</v>
      </c>
      <c r="C1519" s="1" t="s">
        <v>21</v>
      </c>
      <c r="D1519" s="2" t="s">
        <v>1075</v>
      </c>
      <c r="E1519" s="2" t="s">
        <v>1425</v>
      </c>
      <c r="F1519" s="2" t="s">
        <v>11</v>
      </c>
      <c r="G1519" s="3" t="s">
        <v>1863</v>
      </c>
      <c r="H1519" s="1" t="s">
        <v>12</v>
      </c>
      <c r="I1519" s="1" t="s">
        <v>15</v>
      </c>
      <c r="J1519" s="1" t="s">
        <v>52</v>
      </c>
    </row>
    <row r="1520" spans="2:10" x14ac:dyDescent="0.3">
      <c r="B1520" s="1" t="s">
        <v>1850</v>
      </c>
      <c r="C1520" s="1" t="s">
        <v>15</v>
      </c>
      <c r="D1520" s="2" t="s">
        <v>842</v>
      </c>
      <c r="E1520" s="2" t="s">
        <v>842</v>
      </c>
      <c r="F1520" s="2" t="s">
        <v>11</v>
      </c>
      <c r="G1520" s="3" t="s">
        <v>1864</v>
      </c>
      <c r="H1520" s="1" t="s">
        <v>12</v>
      </c>
      <c r="I1520" s="1" t="s">
        <v>32</v>
      </c>
      <c r="J1520" s="1" t="s">
        <v>14</v>
      </c>
    </row>
    <row r="1521" spans="2:10" x14ac:dyDescent="0.3">
      <c r="B1521" s="1" t="s">
        <v>1850</v>
      </c>
      <c r="C1521" s="1" t="s">
        <v>29</v>
      </c>
      <c r="D1521" s="2" t="s">
        <v>779</v>
      </c>
      <c r="E1521" s="2" t="s">
        <v>779</v>
      </c>
      <c r="F1521" s="2" t="s">
        <v>11</v>
      </c>
      <c r="G1521" s="3" t="s">
        <v>1865</v>
      </c>
      <c r="H1521" s="1" t="s">
        <v>12</v>
      </c>
      <c r="I1521" s="1" t="s">
        <v>18</v>
      </c>
      <c r="J1521" s="1" t="s">
        <v>14</v>
      </c>
    </row>
    <row r="1522" spans="2:10" x14ac:dyDescent="0.3">
      <c r="B1522" s="1" t="s">
        <v>1850</v>
      </c>
      <c r="C1522" s="1" t="s">
        <v>35</v>
      </c>
      <c r="D1522" s="2" t="s">
        <v>1471</v>
      </c>
      <c r="E1522" s="2" t="s">
        <v>256</v>
      </c>
      <c r="F1522" s="2" t="s">
        <v>11</v>
      </c>
      <c r="G1522" s="3" t="s">
        <v>1866</v>
      </c>
      <c r="H1522" s="1" t="s">
        <v>12</v>
      </c>
      <c r="I1522" s="1" t="s">
        <v>35</v>
      </c>
      <c r="J1522" s="1" t="s">
        <v>52</v>
      </c>
    </row>
    <row r="1523" spans="2:10" x14ac:dyDescent="0.3">
      <c r="B1523" s="1" t="s">
        <v>1850</v>
      </c>
      <c r="C1523" s="1" t="s">
        <v>46</v>
      </c>
      <c r="D1523" s="2" t="s">
        <v>842</v>
      </c>
      <c r="E1523" s="2" t="s">
        <v>842</v>
      </c>
      <c r="F1523" s="2" t="s">
        <v>11</v>
      </c>
      <c r="G1523" s="3" t="s">
        <v>1867</v>
      </c>
      <c r="H1523" s="1" t="s">
        <v>12</v>
      </c>
      <c r="I1523" s="1" t="s">
        <v>40</v>
      </c>
      <c r="J1523" s="1" t="s">
        <v>14</v>
      </c>
    </row>
    <row r="1524" spans="2:10" x14ac:dyDescent="0.3">
      <c r="B1524" s="1" t="s">
        <v>1850</v>
      </c>
      <c r="C1524" s="1" t="s">
        <v>26</v>
      </c>
      <c r="D1524" s="2" t="s">
        <v>256</v>
      </c>
      <c r="E1524" s="2" t="s">
        <v>256</v>
      </c>
      <c r="F1524" s="2" t="s">
        <v>11</v>
      </c>
      <c r="G1524" s="3" t="s">
        <v>1868</v>
      </c>
      <c r="H1524" s="1" t="s">
        <v>12</v>
      </c>
      <c r="I1524" s="1" t="s">
        <v>18</v>
      </c>
      <c r="J1524" s="1" t="s">
        <v>14</v>
      </c>
    </row>
    <row r="1525" spans="2:10" x14ac:dyDescent="0.3">
      <c r="B1525" s="1" t="s">
        <v>1850</v>
      </c>
      <c r="C1525" s="1" t="s">
        <v>41</v>
      </c>
      <c r="D1525" s="2" t="s">
        <v>700</v>
      </c>
      <c r="E1525" s="2" t="s">
        <v>700</v>
      </c>
      <c r="F1525" s="2" t="s">
        <v>11</v>
      </c>
      <c r="G1525" s="3" t="s">
        <v>1869</v>
      </c>
      <c r="H1525" s="1" t="s">
        <v>12</v>
      </c>
      <c r="I1525" s="1" t="s">
        <v>76</v>
      </c>
      <c r="J1525" s="1" t="s">
        <v>14</v>
      </c>
    </row>
    <row r="1526" spans="2:10" x14ac:dyDescent="0.3">
      <c r="B1526" s="1" t="s">
        <v>1870</v>
      </c>
      <c r="C1526" s="1" t="s">
        <v>46</v>
      </c>
      <c r="D1526" s="2" t="s">
        <v>526</v>
      </c>
      <c r="E1526" s="2" t="s">
        <v>526</v>
      </c>
      <c r="F1526" s="2" t="s">
        <v>11</v>
      </c>
      <c r="G1526" s="3" t="s">
        <v>1871</v>
      </c>
      <c r="H1526" s="1" t="s">
        <v>12</v>
      </c>
      <c r="I1526" s="1" t="s">
        <v>55</v>
      </c>
      <c r="J1526" s="1" t="s">
        <v>14</v>
      </c>
    </row>
    <row r="1527" spans="2:10" x14ac:dyDescent="0.3">
      <c r="B1527" s="1" t="s">
        <v>1870</v>
      </c>
      <c r="C1527" s="1" t="s">
        <v>15</v>
      </c>
      <c r="D1527" s="2" t="s">
        <v>526</v>
      </c>
      <c r="E1527" s="2" t="s">
        <v>526</v>
      </c>
      <c r="F1527" s="2" t="s">
        <v>11</v>
      </c>
      <c r="G1527" s="3" t="s">
        <v>1872</v>
      </c>
      <c r="H1527" s="1" t="s">
        <v>12</v>
      </c>
      <c r="I1527" s="1" t="s">
        <v>74</v>
      </c>
      <c r="J1527" s="1" t="s">
        <v>14</v>
      </c>
    </row>
    <row r="1528" spans="2:10" x14ac:dyDescent="0.3">
      <c r="B1528" s="1" t="s">
        <v>1870</v>
      </c>
      <c r="C1528" s="1" t="s">
        <v>39</v>
      </c>
      <c r="D1528" s="2" t="s">
        <v>483</v>
      </c>
      <c r="E1528" s="2" t="s">
        <v>483</v>
      </c>
      <c r="F1528" s="2" t="s">
        <v>11</v>
      </c>
      <c r="G1528" s="3" t="s">
        <v>1873</v>
      </c>
      <c r="H1528" s="1" t="s">
        <v>12</v>
      </c>
      <c r="I1528" s="1" t="s">
        <v>18</v>
      </c>
      <c r="J1528" s="1" t="s">
        <v>52</v>
      </c>
    </row>
    <row r="1529" spans="2:10" x14ac:dyDescent="0.3">
      <c r="B1529" s="1" t="s">
        <v>1870</v>
      </c>
      <c r="C1529" s="1" t="s">
        <v>41</v>
      </c>
      <c r="D1529" s="2" t="s">
        <v>692</v>
      </c>
      <c r="E1529" s="2" t="s">
        <v>692</v>
      </c>
      <c r="F1529" s="2" t="s">
        <v>11</v>
      </c>
      <c r="G1529" s="3" t="s">
        <v>1874</v>
      </c>
      <c r="H1529" s="1" t="s">
        <v>12</v>
      </c>
      <c r="I1529" s="1" t="s">
        <v>49</v>
      </c>
      <c r="J1529" s="1" t="s">
        <v>14</v>
      </c>
    </row>
    <row r="1530" spans="2:10" x14ac:dyDescent="0.3">
      <c r="B1530" s="1" t="s">
        <v>1870</v>
      </c>
      <c r="C1530" s="1" t="s">
        <v>17</v>
      </c>
      <c r="D1530" s="2" t="s">
        <v>526</v>
      </c>
      <c r="E1530" s="2" t="s">
        <v>526</v>
      </c>
      <c r="F1530" s="2" t="s">
        <v>11</v>
      </c>
      <c r="G1530" s="3" t="s">
        <v>1304</v>
      </c>
      <c r="H1530" s="1" t="s">
        <v>12</v>
      </c>
      <c r="I1530" s="1" t="s">
        <v>66</v>
      </c>
      <c r="J1530" s="1" t="s">
        <v>14</v>
      </c>
    </row>
    <row r="1531" spans="2:10" x14ac:dyDescent="0.3">
      <c r="B1531" s="1" t="s">
        <v>1870</v>
      </c>
      <c r="C1531" s="1" t="s">
        <v>45</v>
      </c>
      <c r="D1531" s="2" t="s">
        <v>483</v>
      </c>
      <c r="E1531" s="2" t="s">
        <v>483</v>
      </c>
      <c r="F1531" s="2" t="s">
        <v>11</v>
      </c>
      <c r="G1531" s="3" t="s">
        <v>647</v>
      </c>
      <c r="H1531" s="1" t="s">
        <v>12</v>
      </c>
      <c r="I1531" s="1" t="s">
        <v>87</v>
      </c>
      <c r="J1531" s="1" t="s">
        <v>14</v>
      </c>
    </row>
    <row r="1532" spans="2:10" x14ac:dyDescent="0.3">
      <c r="B1532" s="1" t="s">
        <v>1870</v>
      </c>
      <c r="C1532" s="1" t="s">
        <v>35</v>
      </c>
      <c r="D1532" s="2" t="s">
        <v>498</v>
      </c>
      <c r="E1532" s="2" t="s">
        <v>498</v>
      </c>
      <c r="F1532" s="2" t="s">
        <v>11</v>
      </c>
      <c r="G1532" s="3" t="s">
        <v>325</v>
      </c>
      <c r="H1532" s="1" t="s">
        <v>12</v>
      </c>
      <c r="I1532" s="1" t="s">
        <v>49</v>
      </c>
      <c r="J1532" s="1" t="s">
        <v>14</v>
      </c>
    </row>
    <row r="1533" spans="2:10" x14ac:dyDescent="0.3">
      <c r="B1533" s="1" t="s">
        <v>1870</v>
      </c>
      <c r="C1533" s="1" t="s">
        <v>31</v>
      </c>
      <c r="D1533" s="2" t="s">
        <v>483</v>
      </c>
      <c r="E1533" s="2" t="s">
        <v>483</v>
      </c>
      <c r="F1533" s="2" t="s">
        <v>11</v>
      </c>
      <c r="G1533" s="3" t="s">
        <v>1457</v>
      </c>
      <c r="H1533" s="1" t="s">
        <v>12</v>
      </c>
      <c r="I1533" s="1" t="s">
        <v>66</v>
      </c>
      <c r="J1533" s="1" t="s">
        <v>14</v>
      </c>
    </row>
    <row r="1534" spans="2:10" x14ac:dyDescent="0.3">
      <c r="B1534" s="1" t="s">
        <v>1870</v>
      </c>
      <c r="C1534" s="1" t="s">
        <v>23</v>
      </c>
      <c r="D1534" s="2" t="s">
        <v>526</v>
      </c>
      <c r="E1534" s="2" t="s">
        <v>526</v>
      </c>
      <c r="F1534" s="2" t="s">
        <v>11</v>
      </c>
      <c r="G1534" s="3" t="s">
        <v>1875</v>
      </c>
      <c r="H1534" s="1" t="s">
        <v>12</v>
      </c>
      <c r="I1534" s="1" t="s">
        <v>32</v>
      </c>
      <c r="J1534" s="1" t="s">
        <v>14</v>
      </c>
    </row>
    <row r="1535" spans="2:10" x14ac:dyDescent="0.3">
      <c r="B1535" s="1" t="s">
        <v>1870</v>
      </c>
      <c r="C1535" s="1" t="s">
        <v>10</v>
      </c>
      <c r="D1535" s="2" t="s">
        <v>216</v>
      </c>
      <c r="E1535" s="2" t="s">
        <v>216</v>
      </c>
      <c r="F1535" s="2" t="s">
        <v>11</v>
      </c>
      <c r="G1535" s="3" t="s">
        <v>1239</v>
      </c>
      <c r="H1535" s="1" t="s">
        <v>12</v>
      </c>
      <c r="I1535" s="1" t="s">
        <v>74</v>
      </c>
      <c r="J1535" s="1" t="s">
        <v>14</v>
      </c>
    </row>
    <row r="1536" spans="2:10" x14ac:dyDescent="0.3">
      <c r="B1536" s="1" t="s">
        <v>1870</v>
      </c>
      <c r="C1536" s="1" t="s">
        <v>28</v>
      </c>
      <c r="D1536" s="2" t="s">
        <v>244</v>
      </c>
      <c r="E1536" s="2" t="s">
        <v>398</v>
      </c>
      <c r="F1536" s="2" t="s">
        <v>11</v>
      </c>
      <c r="G1536" s="3" t="s">
        <v>1876</v>
      </c>
      <c r="H1536" s="1" t="s">
        <v>12</v>
      </c>
      <c r="I1536" s="1" t="s">
        <v>35</v>
      </c>
      <c r="J1536" s="1" t="s">
        <v>52</v>
      </c>
    </row>
    <row r="1537" spans="2:10" x14ac:dyDescent="0.3">
      <c r="B1537" s="1" t="s">
        <v>1870</v>
      </c>
      <c r="C1537" s="1" t="s">
        <v>19</v>
      </c>
      <c r="D1537" s="2" t="s">
        <v>216</v>
      </c>
      <c r="E1537" s="2" t="s">
        <v>216</v>
      </c>
      <c r="F1537" s="2" t="s">
        <v>11</v>
      </c>
      <c r="G1537" s="3" t="s">
        <v>1543</v>
      </c>
      <c r="H1537" s="1" t="s">
        <v>12</v>
      </c>
      <c r="I1537" s="1" t="s">
        <v>25</v>
      </c>
      <c r="J1537" s="1" t="s">
        <v>14</v>
      </c>
    </row>
    <row r="1538" spans="2:10" x14ac:dyDescent="0.3">
      <c r="B1538" s="1" t="s">
        <v>1870</v>
      </c>
      <c r="C1538" s="1" t="s">
        <v>43</v>
      </c>
      <c r="D1538" s="2" t="s">
        <v>526</v>
      </c>
      <c r="E1538" s="2" t="s">
        <v>526</v>
      </c>
      <c r="F1538" s="2" t="s">
        <v>11</v>
      </c>
      <c r="G1538" s="3" t="s">
        <v>1877</v>
      </c>
      <c r="H1538" s="1" t="s">
        <v>12</v>
      </c>
      <c r="I1538" s="1" t="s">
        <v>20</v>
      </c>
      <c r="J1538" s="1" t="s">
        <v>14</v>
      </c>
    </row>
    <row r="1539" spans="2:10" x14ac:dyDescent="0.3">
      <c r="B1539" s="1" t="s">
        <v>1870</v>
      </c>
      <c r="C1539" s="1" t="s">
        <v>26</v>
      </c>
      <c r="D1539" s="2" t="s">
        <v>483</v>
      </c>
      <c r="E1539" s="2" t="s">
        <v>483</v>
      </c>
      <c r="F1539" s="2" t="s">
        <v>11</v>
      </c>
      <c r="G1539" s="3" t="s">
        <v>1878</v>
      </c>
      <c r="H1539" s="1" t="s">
        <v>12</v>
      </c>
      <c r="I1539" s="1" t="s">
        <v>51</v>
      </c>
      <c r="J1539" s="1" t="s">
        <v>14</v>
      </c>
    </row>
    <row r="1540" spans="2:10" x14ac:dyDescent="0.3">
      <c r="B1540" s="1" t="s">
        <v>1870</v>
      </c>
      <c r="C1540" s="1" t="s">
        <v>24</v>
      </c>
      <c r="D1540" s="2" t="s">
        <v>1879</v>
      </c>
      <c r="E1540" s="2" t="s">
        <v>1880</v>
      </c>
      <c r="F1540" s="2" t="s">
        <v>11</v>
      </c>
      <c r="G1540" s="3" t="s">
        <v>1838</v>
      </c>
      <c r="H1540" s="1" t="s">
        <v>12</v>
      </c>
      <c r="I1540" s="1" t="s">
        <v>35</v>
      </c>
      <c r="J1540" s="1" t="s">
        <v>52</v>
      </c>
    </row>
    <row r="1541" spans="2:10" x14ac:dyDescent="0.3">
      <c r="B1541" s="1" t="s">
        <v>1870</v>
      </c>
      <c r="C1541" s="1" t="s">
        <v>33</v>
      </c>
      <c r="D1541" s="2" t="s">
        <v>397</v>
      </c>
      <c r="E1541" s="2" t="s">
        <v>397</v>
      </c>
      <c r="F1541" s="2" t="s">
        <v>11</v>
      </c>
      <c r="G1541" s="3" t="s">
        <v>1881</v>
      </c>
      <c r="H1541" s="1" t="s">
        <v>12</v>
      </c>
      <c r="I1541" s="1" t="s">
        <v>76</v>
      </c>
      <c r="J1541" s="1" t="s">
        <v>14</v>
      </c>
    </row>
    <row r="1542" spans="2:10" x14ac:dyDescent="0.3">
      <c r="B1542" s="1" t="s">
        <v>1870</v>
      </c>
      <c r="C1542" s="1" t="s">
        <v>36</v>
      </c>
      <c r="D1542" s="2" t="s">
        <v>526</v>
      </c>
      <c r="E1542" s="2" t="s">
        <v>526</v>
      </c>
      <c r="F1542" s="2" t="s">
        <v>11</v>
      </c>
      <c r="G1542" s="3" t="s">
        <v>1882</v>
      </c>
      <c r="H1542" s="1" t="s">
        <v>12</v>
      </c>
      <c r="I1542" s="1" t="s">
        <v>64</v>
      </c>
      <c r="J1542" s="1" t="s">
        <v>14</v>
      </c>
    </row>
    <row r="1543" spans="2:10" x14ac:dyDescent="0.3">
      <c r="B1543" s="1" t="s">
        <v>1870</v>
      </c>
      <c r="C1543" s="1" t="s">
        <v>38</v>
      </c>
      <c r="D1543" s="2" t="s">
        <v>483</v>
      </c>
      <c r="E1543" s="2" t="s">
        <v>483</v>
      </c>
      <c r="F1543" s="2" t="s">
        <v>11</v>
      </c>
      <c r="G1543" s="3" t="s">
        <v>1883</v>
      </c>
      <c r="H1543" s="1" t="s">
        <v>12</v>
      </c>
      <c r="I1543" s="1" t="s">
        <v>18</v>
      </c>
      <c r="J1543" s="1" t="s">
        <v>14</v>
      </c>
    </row>
    <row r="1544" spans="2:10" x14ac:dyDescent="0.3">
      <c r="B1544" s="1" t="s">
        <v>1870</v>
      </c>
      <c r="C1544" s="1" t="s">
        <v>29</v>
      </c>
      <c r="D1544" s="2" t="s">
        <v>322</v>
      </c>
      <c r="E1544" s="2" t="s">
        <v>322</v>
      </c>
      <c r="F1544" s="2" t="s">
        <v>11</v>
      </c>
      <c r="G1544" s="3" t="s">
        <v>1884</v>
      </c>
      <c r="H1544" s="1" t="s">
        <v>12</v>
      </c>
      <c r="I1544" s="1" t="s">
        <v>67</v>
      </c>
      <c r="J1544" s="1" t="s">
        <v>14</v>
      </c>
    </row>
    <row r="1545" spans="2:10" x14ac:dyDescent="0.3">
      <c r="B1545" s="1" t="s">
        <v>1870</v>
      </c>
      <c r="C1545" s="1" t="s">
        <v>21</v>
      </c>
      <c r="D1545" s="2" t="s">
        <v>702</v>
      </c>
      <c r="E1545" s="2" t="s">
        <v>702</v>
      </c>
      <c r="F1545" s="2" t="s">
        <v>11</v>
      </c>
      <c r="G1545" s="3" t="s">
        <v>1519</v>
      </c>
      <c r="H1545" s="1" t="s">
        <v>12</v>
      </c>
      <c r="I1545" s="1" t="s">
        <v>32</v>
      </c>
      <c r="J1545" s="1" t="s">
        <v>14</v>
      </c>
    </row>
    <row r="1546" spans="2:10" x14ac:dyDescent="0.3">
      <c r="B1546" s="1" t="s">
        <v>1885</v>
      </c>
      <c r="C1546" s="1" t="s">
        <v>28</v>
      </c>
      <c r="D1546" s="2" t="s">
        <v>1886</v>
      </c>
      <c r="E1546" s="2" t="s">
        <v>1886</v>
      </c>
      <c r="F1546" s="2" t="s">
        <v>11</v>
      </c>
      <c r="G1546" s="3" t="s">
        <v>1887</v>
      </c>
      <c r="H1546" s="1" t="s">
        <v>12</v>
      </c>
      <c r="I1546" s="1" t="s">
        <v>51</v>
      </c>
      <c r="J1546" s="1" t="s">
        <v>14</v>
      </c>
    </row>
    <row r="1547" spans="2:10" x14ac:dyDescent="0.3">
      <c r="B1547" s="1" t="s">
        <v>1885</v>
      </c>
      <c r="C1547" s="1" t="s">
        <v>31</v>
      </c>
      <c r="D1547" s="2" t="s">
        <v>200</v>
      </c>
      <c r="E1547" s="2" t="s">
        <v>200</v>
      </c>
      <c r="F1547" s="2" t="s">
        <v>11</v>
      </c>
      <c r="G1547" s="3" t="s">
        <v>137</v>
      </c>
      <c r="H1547" s="1" t="s">
        <v>12</v>
      </c>
      <c r="I1547" s="1" t="s">
        <v>42</v>
      </c>
      <c r="J1547" s="1" t="s">
        <v>14</v>
      </c>
    </row>
    <row r="1548" spans="2:10" x14ac:dyDescent="0.3">
      <c r="B1548" s="1" t="s">
        <v>1885</v>
      </c>
      <c r="C1548" s="1" t="s">
        <v>43</v>
      </c>
      <c r="D1548" s="2" t="s">
        <v>1888</v>
      </c>
      <c r="E1548" s="2" t="s">
        <v>1888</v>
      </c>
      <c r="F1548" s="2" t="s">
        <v>11</v>
      </c>
      <c r="G1548" s="3" t="s">
        <v>1889</v>
      </c>
      <c r="H1548" s="1" t="s">
        <v>12</v>
      </c>
      <c r="I1548" s="1" t="s">
        <v>67</v>
      </c>
      <c r="J1548" s="1" t="s">
        <v>14</v>
      </c>
    </row>
    <row r="1549" spans="2:10" x14ac:dyDescent="0.3">
      <c r="B1549" s="1" t="s">
        <v>1885</v>
      </c>
      <c r="C1549" s="1" t="s">
        <v>41</v>
      </c>
      <c r="D1549" s="2" t="s">
        <v>200</v>
      </c>
      <c r="E1549" s="2" t="s">
        <v>200</v>
      </c>
      <c r="F1549" s="2" t="s">
        <v>11</v>
      </c>
      <c r="G1549" s="3" t="s">
        <v>1890</v>
      </c>
      <c r="H1549" s="1" t="s">
        <v>12</v>
      </c>
      <c r="I1549" s="1" t="s">
        <v>56</v>
      </c>
      <c r="J1549" s="1" t="s">
        <v>14</v>
      </c>
    </row>
    <row r="1550" spans="2:10" x14ac:dyDescent="0.3">
      <c r="B1550" s="1" t="s">
        <v>1885</v>
      </c>
      <c r="C1550" s="1" t="s">
        <v>19</v>
      </c>
      <c r="D1550" s="2" t="s">
        <v>314</v>
      </c>
      <c r="E1550" s="2" t="s">
        <v>314</v>
      </c>
      <c r="F1550" s="2" t="s">
        <v>11</v>
      </c>
      <c r="G1550" s="3" t="s">
        <v>1891</v>
      </c>
      <c r="H1550" s="1" t="s">
        <v>12</v>
      </c>
      <c r="I1550" s="1" t="s">
        <v>49</v>
      </c>
      <c r="J1550" s="1" t="s">
        <v>14</v>
      </c>
    </row>
    <row r="1551" spans="2:10" x14ac:dyDescent="0.3">
      <c r="B1551" s="1" t="s">
        <v>1885</v>
      </c>
      <c r="C1551" s="1" t="s">
        <v>21</v>
      </c>
      <c r="D1551" s="2" t="s">
        <v>190</v>
      </c>
      <c r="E1551" s="2" t="s">
        <v>190</v>
      </c>
      <c r="F1551" s="2" t="s">
        <v>11</v>
      </c>
      <c r="G1551" s="3" t="s">
        <v>1892</v>
      </c>
      <c r="H1551" s="1" t="s">
        <v>12</v>
      </c>
      <c r="I1551" s="1" t="s">
        <v>25</v>
      </c>
      <c r="J1551" s="1" t="s">
        <v>14</v>
      </c>
    </row>
    <row r="1552" spans="2:10" x14ac:dyDescent="0.3">
      <c r="B1552" s="1" t="s">
        <v>1885</v>
      </c>
      <c r="C1552" s="1" t="s">
        <v>24</v>
      </c>
      <c r="D1552" s="2" t="s">
        <v>337</v>
      </c>
      <c r="E1552" s="2" t="s">
        <v>337</v>
      </c>
      <c r="F1552" s="2" t="s">
        <v>11</v>
      </c>
      <c r="G1552" s="3" t="s">
        <v>1893</v>
      </c>
      <c r="H1552" s="1" t="s">
        <v>12</v>
      </c>
      <c r="I1552" s="1" t="s">
        <v>87</v>
      </c>
      <c r="J1552" s="1" t="s">
        <v>14</v>
      </c>
    </row>
    <row r="1553" spans="2:10" x14ac:dyDescent="0.3">
      <c r="B1553" s="1" t="s">
        <v>1885</v>
      </c>
      <c r="C1553" s="1" t="s">
        <v>17</v>
      </c>
      <c r="D1553" s="2" t="s">
        <v>200</v>
      </c>
      <c r="E1553" s="2" t="s">
        <v>200</v>
      </c>
      <c r="F1553" s="2" t="s">
        <v>11</v>
      </c>
      <c r="G1553" s="3" t="s">
        <v>1894</v>
      </c>
      <c r="H1553" s="1" t="s">
        <v>12</v>
      </c>
      <c r="I1553" s="1" t="s">
        <v>71</v>
      </c>
      <c r="J1553" s="1" t="s">
        <v>14</v>
      </c>
    </row>
    <row r="1554" spans="2:10" x14ac:dyDescent="0.3">
      <c r="B1554" s="1" t="s">
        <v>1885</v>
      </c>
      <c r="C1554" s="1" t="s">
        <v>33</v>
      </c>
      <c r="D1554" s="2" t="s">
        <v>200</v>
      </c>
      <c r="E1554" s="2" t="s">
        <v>200</v>
      </c>
      <c r="F1554" s="2" t="s">
        <v>11</v>
      </c>
      <c r="G1554" s="3" t="s">
        <v>1895</v>
      </c>
      <c r="H1554" s="1" t="s">
        <v>12</v>
      </c>
      <c r="I1554" s="1" t="s">
        <v>62</v>
      </c>
      <c r="J1554" s="1" t="s">
        <v>14</v>
      </c>
    </row>
    <row r="1555" spans="2:10" x14ac:dyDescent="0.3">
      <c r="B1555" s="1" t="s">
        <v>1885</v>
      </c>
      <c r="C1555" s="1" t="s">
        <v>15</v>
      </c>
      <c r="D1555" s="2" t="s">
        <v>200</v>
      </c>
      <c r="E1555" s="2" t="s">
        <v>200</v>
      </c>
      <c r="F1555" s="2" t="s">
        <v>11</v>
      </c>
      <c r="G1555" s="3" t="s">
        <v>1896</v>
      </c>
      <c r="H1555" s="1" t="s">
        <v>12</v>
      </c>
      <c r="I1555" s="1" t="s">
        <v>64</v>
      </c>
      <c r="J1555" s="1" t="s">
        <v>14</v>
      </c>
    </row>
    <row r="1556" spans="2:10" x14ac:dyDescent="0.3">
      <c r="B1556" s="1" t="s">
        <v>1885</v>
      </c>
      <c r="C1556" s="1" t="s">
        <v>38</v>
      </c>
      <c r="D1556" s="2" t="s">
        <v>190</v>
      </c>
      <c r="E1556" s="2" t="s">
        <v>190</v>
      </c>
      <c r="F1556" s="2" t="s">
        <v>11</v>
      </c>
      <c r="G1556" s="3" t="s">
        <v>1270</v>
      </c>
      <c r="H1556" s="1" t="s">
        <v>12</v>
      </c>
      <c r="I1556" s="1" t="s">
        <v>48</v>
      </c>
      <c r="J1556" s="1" t="s">
        <v>14</v>
      </c>
    </row>
    <row r="1557" spans="2:10" x14ac:dyDescent="0.3">
      <c r="B1557" s="1" t="s">
        <v>1885</v>
      </c>
      <c r="C1557" s="1" t="s">
        <v>45</v>
      </c>
      <c r="D1557" s="2" t="s">
        <v>190</v>
      </c>
      <c r="E1557" s="2" t="s">
        <v>190</v>
      </c>
      <c r="F1557" s="2" t="s">
        <v>11</v>
      </c>
      <c r="G1557" s="3" t="s">
        <v>1690</v>
      </c>
      <c r="H1557" s="1" t="s">
        <v>12</v>
      </c>
      <c r="I1557" s="1" t="s">
        <v>68</v>
      </c>
      <c r="J1557" s="1" t="s">
        <v>14</v>
      </c>
    </row>
    <row r="1558" spans="2:10" x14ac:dyDescent="0.3">
      <c r="B1558" s="1" t="s">
        <v>1885</v>
      </c>
      <c r="C1558" s="1" t="s">
        <v>39</v>
      </c>
      <c r="D1558" s="2" t="s">
        <v>859</v>
      </c>
      <c r="E1558" s="2" t="s">
        <v>859</v>
      </c>
      <c r="F1558" s="2" t="s">
        <v>11</v>
      </c>
      <c r="G1558" s="3" t="s">
        <v>1022</v>
      </c>
      <c r="H1558" s="1" t="s">
        <v>12</v>
      </c>
      <c r="I1558" s="1" t="s">
        <v>44</v>
      </c>
      <c r="J1558" s="1" t="s">
        <v>14</v>
      </c>
    </row>
    <row r="1559" spans="2:10" x14ac:dyDescent="0.3">
      <c r="B1559" s="1" t="s">
        <v>1885</v>
      </c>
      <c r="C1559" s="1" t="s">
        <v>35</v>
      </c>
      <c r="D1559" s="2" t="s">
        <v>859</v>
      </c>
      <c r="E1559" s="2" t="s">
        <v>859</v>
      </c>
      <c r="F1559" s="2" t="s">
        <v>11</v>
      </c>
      <c r="G1559" s="3" t="s">
        <v>1897</v>
      </c>
      <c r="H1559" s="1" t="s">
        <v>12</v>
      </c>
      <c r="I1559" s="1" t="s">
        <v>30</v>
      </c>
      <c r="J1559" s="1" t="s">
        <v>14</v>
      </c>
    </row>
    <row r="1560" spans="2:10" x14ac:dyDescent="0.3">
      <c r="B1560" s="1" t="s">
        <v>1885</v>
      </c>
      <c r="C1560" s="1" t="s">
        <v>10</v>
      </c>
      <c r="D1560" s="2" t="s">
        <v>1898</v>
      </c>
      <c r="E1560" s="2" t="s">
        <v>1898</v>
      </c>
      <c r="F1560" s="2" t="s">
        <v>11</v>
      </c>
      <c r="G1560" s="3" t="s">
        <v>1899</v>
      </c>
      <c r="H1560" s="1" t="s">
        <v>12</v>
      </c>
      <c r="I1560" s="1" t="s">
        <v>29</v>
      </c>
      <c r="J1560" s="1" t="s">
        <v>14</v>
      </c>
    </row>
    <row r="1561" spans="2:10" x14ac:dyDescent="0.3">
      <c r="B1561" s="1" t="s">
        <v>1885</v>
      </c>
      <c r="C1561" s="1" t="s">
        <v>29</v>
      </c>
      <c r="D1561" s="2" t="s">
        <v>200</v>
      </c>
      <c r="E1561" s="2" t="s">
        <v>200</v>
      </c>
      <c r="F1561" s="2" t="s">
        <v>11</v>
      </c>
      <c r="G1561" s="3" t="s">
        <v>1900</v>
      </c>
      <c r="H1561" s="1" t="s">
        <v>12</v>
      </c>
      <c r="I1561" s="1" t="s">
        <v>76</v>
      </c>
      <c r="J1561" s="1" t="s">
        <v>14</v>
      </c>
    </row>
    <row r="1562" spans="2:10" x14ac:dyDescent="0.3">
      <c r="B1562" s="1" t="s">
        <v>1885</v>
      </c>
      <c r="C1562" s="1" t="s">
        <v>23</v>
      </c>
      <c r="D1562" s="2" t="s">
        <v>987</v>
      </c>
      <c r="E1562" s="2" t="s">
        <v>987</v>
      </c>
      <c r="F1562" s="2" t="s">
        <v>11</v>
      </c>
      <c r="G1562" s="3" t="s">
        <v>1901</v>
      </c>
      <c r="H1562" s="1" t="s">
        <v>12</v>
      </c>
      <c r="I1562" s="1" t="s">
        <v>74</v>
      </c>
      <c r="J1562" s="1" t="s">
        <v>14</v>
      </c>
    </row>
    <row r="1563" spans="2:10" x14ac:dyDescent="0.3">
      <c r="B1563" s="1" t="s">
        <v>1885</v>
      </c>
      <c r="C1563" s="1" t="s">
        <v>26</v>
      </c>
      <c r="D1563" s="2" t="s">
        <v>859</v>
      </c>
      <c r="E1563" s="2" t="s">
        <v>859</v>
      </c>
      <c r="F1563" s="2" t="s">
        <v>11</v>
      </c>
      <c r="G1563" s="3" t="s">
        <v>1902</v>
      </c>
      <c r="H1563" s="1" t="s">
        <v>12</v>
      </c>
      <c r="I1563" s="1" t="s">
        <v>67</v>
      </c>
      <c r="J1563" s="1" t="s">
        <v>14</v>
      </c>
    </row>
    <row r="1564" spans="2:10" x14ac:dyDescent="0.3">
      <c r="B1564" s="1" t="s">
        <v>1885</v>
      </c>
      <c r="C1564" s="1" t="s">
        <v>36</v>
      </c>
      <c r="D1564" s="2" t="s">
        <v>1726</v>
      </c>
      <c r="E1564" s="2" t="s">
        <v>1726</v>
      </c>
      <c r="F1564" s="2" t="s">
        <v>11</v>
      </c>
      <c r="G1564" s="3" t="s">
        <v>1322</v>
      </c>
      <c r="H1564" s="1" t="s">
        <v>12</v>
      </c>
      <c r="I1564" s="1" t="s">
        <v>40</v>
      </c>
      <c r="J1564" s="1" t="s">
        <v>14</v>
      </c>
    </row>
    <row r="1565" spans="2:10" x14ac:dyDescent="0.3">
      <c r="B1565" s="1" t="s">
        <v>1885</v>
      </c>
      <c r="C1565" s="1" t="s">
        <v>46</v>
      </c>
      <c r="D1565" s="2" t="s">
        <v>200</v>
      </c>
      <c r="E1565" s="2" t="s">
        <v>200</v>
      </c>
      <c r="F1565" s="2" t="s">
        <v>11</v>
      </c>
      <c r="G1565" s="3" t="s">
        <v>1903</v>
      </c>
      <c r="H1565" s="1" t="s">
        <v>12</v>
      </c>
      <c r="I1565" s="1" t="s">
        <v>73</v>
      </c>
      <c r="J1565" s="1" t="s">
        <v>14</v>
      </c>
    </row>
    <row r="1566" spans="2:10" x14ac:dyDescent="0.3">
      <c r="B1566" s="1" t="s">
        <v>1904</v>
      </c>
      <c r="C1566" s="1" t="s">
        <v>39</v>
      </c>
      <c r="D1566" s="2" t="s">
        <v>187</v>
      </c>
      <c r="E1566" s="2" t="s">
        <v>187</v>
      </c>
      <c r="F1566" s="2" t="s">
        <v>11</v>
      </c>
      <c r="G1566" s="3" t="s">
        <v>1905</v>
      </c>
      <c r="H1566" s="1" t="s">
        <v>12</v>
      </c>
      <c r="I1566" s="1" t="s">
        <v>49</v>
      </c>
      <c r="J1566" s="1" t="s">
        <v>52</v>
      </c>
    </row>
    <row r="1567" spans="2:10" x14ac:dyDescent="0.3">
      <c r="B1567" s="1" t="s">
        <v>1904</v>
      </c>
      <c r="C1567" s="1" t="s">
        <v>29</v>
      </c>
      <c r="D1567" s="2" t="s">
        <v>322</v>
      </c>
      <c r="E1567" s="2" t="s">
        <v>322</v>
      </c>
      <c r="F1567" s="2" t="s">
        <v>11</v>
      </c>
      <c r="G1567" s="3" t="s">
        <v>1906</v>
      </c>
      <c r="H1567" s="1" t="s">
        <v>12</v>
      </c>
      <c r="I1567" s="1" t="s">
        <v>60</v>
      </c>
      <c r="J1567" s="1" t="s">
        <v>14</v>
      </c>
    </row>
    <row r="1568" spans="2:10" x14ac:dyDescent="0.3">
      <c r="B1568" s="1" t="s">
        <v>1904</v>
      </c>
      <c r="C1568" s="1" t="s">
        <v>17</v>
      </c>
      <c r="D1568" s="2" t="s">
        <v>192</v>
      </c>
      <c r="E1568" s="2" t="s">
        <v>192</v>
      </c>
      <c r="F1568" s="2" t="s">
        <v>11</v>
      </c>
      <c r="G1568" s="3" t="s">
        <v>1907</v>
      </c>
      <c r="H1568" s="1" t="s">
        <v>12</v>
      </c>
      <c r="I1568" s="1" t="s">
        <v>55</v>
      </c>
      <c r="J1568" s="1" t="s">
        <v>14</v>
      </c>
    </row>
    <row r="1569" spans="2:10" x14ac:dyDescent="0.3">
      <c r="B1569" s="1" t="s">
        <v>1904</v>
      </c>
      <c r="C1569" s="1" t="s">
        <v>35</v>
      </c>
      <c r="D1569" s="2" t="s">
        <v>192</v>
      </c>
      <c r="E1569" s="2" t="s">
        <v>192</v>
      </c>
      <c r="F1569" s="2" t="s">
        <v>11</v>
      </c>
      <c r="G1569" s="3" t="s">
        <v>1908</v>
      </c>
      <c r="H1569" s="1" t="s">
        <v>12</v>
      </c>
      <c r="I1569" s="1" t="s">
        <v>13</v>
      </c>
      <c r="J1569" s="1" t="s">
        <v>14</v>
      </c>
    </row>
    <row r="1570" spans="2:10" x14ac:dyDescent="0.3">
      <c r="B1570" s="1" t="s">
        <v>1904</v>
      </c>
      <c r="C1570" s="1" t="s">
        <v>26</v>
      </c>
      <c r="D1570" s="2" t="s">
        <v>182</v>
      </c>
      <c r="E1570" s="2" t="s">
        <v>182</v>
      </c>
      <c r="F1570" s="2" t="s">
        <v>11</v>
      </c>
      <c r="G1570" s="3" t="s">
        <v>447</v>
      </c>
      <c r="H1570" s="1" t="s">
        <v>12</v>
      </c>
      <c r="I1570" s="1" t="s">
        <v>59</v>
      </c>
      <c r="J1570" s="1" t="s">
        <v>14</v>
      </c>
    </row>
    <row r="1571" spans="2:10" x14ac:dyDescent="0.3">
      <c r="B1571" s="1" t="s">
        <v>1904</v>
      </c>
      <c r="C1571" s="1" t="s">
        <v>19</v>
      </c>
      <c r="D1571" s="2" t="s">
        <v>182</v>
      </c>
      <c r="E1571" s="2" t="s">
        <v>182</v>
      </c>
      <c r="F1571" s="2" t="s">
        <v>11</v>
      </c>
      <c r="G1571" s="3" t="s">
        <v>1909</v>
      </c>
      <c r="H1571" s="1" t="s">
        <v>12</v>
      </c>
      <c r="I1571" s="1" t="s">
        <v>87</v>
      </c>
      <c r="J1571" s="1" t="s">
        <v>14</v>
      </c>
    </row>
    <row r="1572" spans="2:10" x14ac:dyDescent="0.3">
      <c r="B1572" s="1" t="s">
        <v>1904</v>
      </c>
      <c r="C1572" s="1" t="s">
        <v>38</v>
      </c>
      <c r="D1572" s="2" t="s">
        <v>192</v>
      </c>
      <c r="E1572" s="2" t="s">
        <v>192</v>
      </c>
      <c r="F1572" s="2" t="s">
        <v>11</v>
      </c>
      <c r="G1572" s="3" t="s">
        <v>1910</v>
      </c>
      <c r="H1572" s="1" t="s">
        <v>12</v>
      </c>
      <c r="I1572" s="1" t="s">
        <v>63</v>
      </c>
      <c r="J1572" s="1" t="s">
        <v>14</v>
      </c>
    </row>
    <row r="1573" spans="2:10" x14ac:dyDescent="0.3">
      <c r="B1573" s="1" t="s">
        <v>1904</v>
      </c>
      <c r="C1573" s="1" t="s">
        <v>24</v>
      </c>
      <c r="D1573" s="2" t="s">
        <v>182</v>
      </c>
      <c r="E1573" s="2" t="s">
        <v>182</v>
      </c>
      <c r="F1573" s="2" t="s">
        <v>11</v>
      </c>
      <c r="G1573" s="3" t="s">
        <v>1911</v>
      </c>
      <c r="H1573" s="1" t="s">
        <v>12</v>
      </c>
      <c r="I1573" s="1" t="s">
        <v>55</v>
      </c>
      <c r="J1573" s="1" t="s">
        <v>14</v>
      </c>
    </row>
    <row r="1574" spans="2:10" x14ac:dyDescent="0.3">
      <c r="B1574" s="1" t="s">
        <v>1904</v>
      </c>
      <c r="C1574" s="1" t="s">
        <v>15</v>
      </c>
      <c r="D1574" s="2" t="s">
        <v>751</v>
      </c>
      <c r="E1574" s="2" t="s">
        <v>751</v>
      </c>
      <c r="F1574" s="2" t="s">
        <v>11</v>
      </c>
      <c r="G1574" s="3" t="s">
        <v>1912</v>
      </c>
      <c r="H1574" s="1" t="s">
        <v>12</v>
      </c>
      <c r="I1574" s="1" t="s">
        <v>22</v>
      </c>
      <c r="J1574" s="1" t="s">
        <v>14</v>
      </c>
    </row>
    <row r="1575" spans="2:10" x14ac:dyDescent="0.3">
      <c r="B1575" s="1" t="s">
        <v>1904</v>
      </c>
      <c r="C1575" s="1" t="s">
        <v>45</v>
      </c>
      <c r="D1575" s="2" t="s">
        <v>182</v>
      </c>
      <c r="E1575" s="2" t="s">
        <v>182</v>
      </c>
      <c r="F1575" s="2" t="s">
        <v>11</v>
      </c>
      <c r="G1575" s="3" t="s">
        <v>1913</v>
      </c>
      <c r="H1575" s="1" t="s">
        <v>12</v>
      </c>
      <c r="I1575" s="1" t="s">
        <v>51</v>
      </c>
      <c r="J1575" s="1" t="s">
        <v>14</v>
      </c>
    </row>
    <row r="1576" spans="2:10" x14ac:dyDescent="0.3">
      <c r="B1576" s="1" t="s">
        <v>1904</v>
      </c>
      <c r="C1576" s="1" t="s">
        <v>33</v>
      </c>
      <c r="D1576" s="2" t="s">
        <v>192</v>
      </c>
      <c r="E1576" s="2" t="s">
        <v>192</v>
      </c>
      <c r="F1576" s="2" t="s">
        <v>11</v>
      </c>
      <c r="G1576" s="3" t="s">
        <v>1914</v>
      </c>
      <c r="H1576" s="1" t="s">
        <v>12</v>
      </c>
      <c r="I1576" s="1" t="s">
        <v>50</v>
      </c>
      <c r="J1576" s="1" t="s">
        <v>14</v>
      </c>
    </row>
    <row r="1577" spans="2:10" x14ac:dyDescent="0.3">
      <c r="B1577" s="1" t="s">
        <v>1904</v>
      </c>
      <c r="C1577" s="1" t="s">
        <v>21</v>
      </c>
      <c r="D1577" s="2" t="s">
        <v>1898</v>
      </c>
      <c r="E1577" s="2" t="s">
        <v>1437</v>
      </c>
      <c r="F1577" s="2" t="s">
        <v>11</v>
      </c>
      <c r="G1577" s="3" t="s">
        <v>1915</v>
      </c>
      <c r="H1577" s="1" t="s">
        <v>12</v>
      </c>
      <c r="I1577" s="1" t="s">
        <v>15</v>
      </c>
      <c r="J1577" s="1" t="s">
        <v>52</v>
      </c>
    </row>
    <row r="1578" spans="2:10" x14ac:dyDescent="0.3">
      <c r="B1578" s="1" t="s">
        <v>1904</v>
      </c>
      <c r="C1578" s="1" t="s">
        <v>36</v>
      </c>
      <c r="D1578" s="2" t="s">
        <v>1916</v>
      </c>
      <c r="E1578" s="2" t="s">
        <v>1917</v>
      </c>
      <c r="F1578" s="2" t="s">
        <v>11</v>
      </c>
      <c r="G1578" s="3" t="s">
        <v>1918</v>
      </c>
      <c r="H1578" s="1" t="s">
        <v>12</v>
      </c>
      <c r="I1578" s="1" t="s">
        <v>63</v>
      </c>
      <c r="J1578" s="1" t="s">
        <v>52</v>
      </c>
    </row>
    <row r="1579" spans="2:10" x14ac:dyDescent="0.3">
      <c r="B1579" s="1" t="s">
        <v>1904</v>
      </c>
      <c r="C1579" s="1" t="s">
        <v>43</v>
      </c>
      <c r="D1579" s="2" t="s">
        <v>202</v>
      </c>
      <c r="E1579" s="2" t="s">
        <v>202</v>
      </c>
      <c r="F1579" s="2" t="s">
        <v>11</v>
      </c>
      <c r="G1579" s="3" t="s">
        <v>1919</v>
      </c>
      <c r="H1579" s="1" t="s">
        <v>12</v>
      </c>
      <c r="I1579" s="1" t="s">
        <v>56</v>
      </c>
      <c r="J1579" s="1" t="s">
        <v>14</v>
      </c>
    </row>
    <row r="1580" spans="2:10" x14ac:dyDescent="0.3">
      <c r="B1580" s="1" t="s">
        <v>1904</v>
      </c>
      <c r="C1580" s="1" t="s">
        <v>31</v>
      </c>
      <c r="D1580" s="2" t="s">
        <v>192</v>
      </c>
      <c r="E1580" s="2" t="s">
        <v>192</v>
      </c>
      <c r="F1580" s="2" t="s">
        <v>11</v>
      </c>
      <c r="G1580" s="3" t="s">
        <v>1297</v>
      </c>
      <c r="H1580" s="1" t="s">
        <v>12</v>
      </c>
      <c r="I1580" s="1" t="s">
        <v>50</v>
      </c>
      <c r="J1580" s="1" t="s">
        <v>14</v>
      </c>
    </row>
    <row r="1581" spans="2:10" x14ac:dyDescent="0.3">
      <c r="B1581" s="1" t="s">
        <v>1904</v>
      </c>
      <c r="C1581" s="1" t="s">
        <v>41</v>
      </c>
      <c r="D1581" s="2" t="s">
        <v>192</v>
      </c>
      <c r="E1581" s="2" t="s">
        <v>192</v>
      </c>
      <c r="F1581" s="2" t="s">
        <v>11</v>
      </c>
      <c r="G1581" s="3" t="s">
        <v>1920</v>
      </c>
      <c r="H1581" s="1" t="s">
        <v>12</v>
      </c>
      <c r="I1581" s="1" t="s">
        <v>55</v>
      </c>
      <c r="J1581" s="1" t="s">
        <v>14</v>
      </c>
    </row>
    <row r="1582" spans="2:10" x14ac:dyDescent="0.3">
      <c r="B1582" s="1" t="s">
        <v>1904</v>
      </c>
      <c r="C1582" s="1" t="s">
        <v>28</v>
      </c>
      <c r="D1582" s="2" t="s">
        <v>192</v>
      </c>
      <c r="E1582" s="2" t="s">
        <v>192</v>
      </c>
      <c r="F1582" s="2" t="s">
        <v>11</v>
      </c>
      <c r="G1582" s="3" t="s">
        <v>1016</v>
      </c>
      <c r="H1582" s="1" t="s">
        <v>12</v>
      </c>
      <c r="I1582" s="1" t="s">
        <v>47</v>
      </c>
      <c r="J1582" s="1" t="s">
        <v>14</v>
      </c>
    </row>
    <row r="1583" spans="2:10" x14ac:dyDescent="0.3">
      <c r="B1583" s="1" t="s">
        <v>1904</v>
      </c>
      <c r="C1583" s="1" t="s">
        <v>46</v>
      </c>
      <c r="D1583" s="2" t="s">
        <v>182</v>
      </c>
      <c r="E1583" s="2" t="s">
        <v>182</v>
      </c>
      <c r="F1583" s="2" t="s">
        <v>11</v>
      </c>
      <c r="G1583" s="3" t="s">
        <v>384</v>
      </c>
      <c r="H1583" s="1" t="s">
        <v>12</v>
      </c>
      <c r="I1583" s="1" t="s">
        <v>16</v>
      </c>
      <c r="J1583" s="1" t="s">
        <v>14</v>
      </c>
    </row>
    <row r="1584" spans="2:10" x14ac:dyDescent="0.3">
      <c r="B1584" s="1" t="s">
        <v>1904</v>
      </c>
      <c r="C1584" s="1" t="s">
        <v>23</v>
      </c>
      <c r="D1584" s="2" t="s">
        <v>751</v>
      </c>
      <c r="E1584" s="2" t="s">
        <v>751</v>
      </c>
      <c r="F1584" s="2" t="s">
        <v>11</v>
      </c>
      <c r="G1584" s="3" t="s">
        <v>1912</v>
      </c>
      <c r="H1584" s="1" t="s">
        <v>12</v>
      </c>
      <c r="I1584" s="1" t="s">
        <v>27</v>
      </c>
      <c r="J1584" s="1" t="s">
        <v>14</v>
      </c>
    </row>
    <row r="1585" spans="2:10" x14ac:dyDescent="0.3">
      <c r="B1585" s="1" t="s">
        <v>1904</v>
      </c>
      <c r="C1585" s="1" t="s">
        <v>10</v>
      </c>
      <c r="D1585" s="2" t="s">
        <v>192</v>
      </c>
      <c r="E1585" s="2" t="s">
        <v>192</v>
      </c>
      <c r="F1585" s="2" t="s">
        <v>11</v>
      </c>
      <c r="G1585" s="3" t="s">
        <v>1921</v>
      </c>
      <c r="H1585" s="1" t="s">
        <v>12</v>
      </c>
      <c r="I1585" s="1" t="s">
        <v>25</v>
      </c>
      <c r="J1585" s="1" t="s">
        <v>14</v>
      </c>
    </row>
    <row r="1586" spans="2:10" x14ac:dyDescent="0.3">
      <c r="B1586" s="1" t="s">
        <v>1922</v>
      </c>
      <c r="C1586" s="1" t="s">
        <v>17</v>
      </c>
      <c r="D1586" s="2" t="s">
        <v>268</v>
      </c>
      <c r="E1586" s="2" t="s">
        <v>268</v>
      </c>
      <c r="F1586" s="2" t="s">
        <v>11</v>
      </c>
      <c r="G1586" s="3" t="s">
        <v>1923</v>
      </c>
      <c r="H1586" s="1" t="s">
        <v>12</v>
      </c>
      <c r="I1586" s="1" t="s">
        <v>48</v>
      </c>
      <c r="J1586" s="1" t="s">
        <v>14</v>
      </c>
    </row>
    <row r="1587" spans="2:10" x14ac:dyDescent="0.3">
      <c r="B1587" s="1" t="s">
        <v>1922</v>
      </c>
      <c r="C1587" s="1" t="s">
        <v>31</v>
      </c>
      <c r="D1587" s="2" t="s">
        <v>475</v>
      </c>
      <c r="E1587" s="2" t="s">
        <v>475</v>
      </c>
      <c r="F1587" s="2" t="s">
        <v>11</v>
      </c>
      <c r="G1587" s="3" t="s">
        <v>1924</v>
      </c>
      <c r="H1587" s="1" t="s">
        <v>12</v>
      </c>
      <c r="I1587" s="1" t="s">
        <v>22</v>
      </c>
      <c r="J1587" s="1" t="s">
        <v>14</v>
      </c>
    </row>
    <row r="1588" spans="2:10" x14ac:dyDescent="0.3">
      <c r="B1588" s="1" t="s">
        <v>1922</v>
      </c>
      <c r="C1588" s="1" t="s">
        <v>41</v>
      </c>
      <c r="D1588" s="2" t="s">
        <v>693</v>
      </c>
      <c r="E1588" s="2" t="s">
        <v>693</v>
      </c>
      <c r="F1588" s="2" t="s">
        <v>11</v>
      </c>
      <c r="G1588" s="3" t="s">
        <v>978</v>
      </c>
      <c r="H1588" s="1" t="s">
        <v>12</v>
      </c>
      <c r="I1588" s="1" t="s">
        <v>16</v>
      </c>
      <c r="J1588" s="1" t="s">
        <v>14</v>
      </c>
    </row>
    <row r="1589" spans="2:10" x14ac:dyDescent="0.3">
      <c r="B1589" s="1" t="s">
        <v>1922</v>
      </c>
      <c r="C1589" s="1" t="s">
        <v>29</v>
      </c>
      <c r="D1589" s="2" t="s">
        <v>268</v>
      </c>
      <c r="E1589" s="2" t="s">
        <v>268</v>
      </c>
      <c r="F1589" s="2" t="s">
        <v>11</v>
      </c>
      <c r="G1589" s="3" t="s">
        <v>1925</v>
      </c>
      <c r="H1589" s="1" t="s">
        <v>12</v>
      </c>
      <c r="I1589" s="1" t="s">
        <v>68</v>
      </c>
      <c r="J1589" s="1" t="s">
        <v>14</v>
      </c>
    </row>
    <row r="1590" spans="2:10" x14ac:dyDescent="0.3">
      <c r="B1590" s="1" t="s">
        <v>1922</v>
      </c>
      <c r="C1590" s="1" t="s">
        <v>38</v>
      </c>
      <c r="D1590" s="2" t="s">
        <v>1342</v>
      </c>
      <c r="E1590" s="2" t="s">
        <v>572</v>
      </c>
      <c r="F1590" s="2" t="s">
        <v>11</v>
      </c>
      <c r="G1590" s="3" t="s">
        <v>1926</v>
      </c>
      <c r="H1590" s="1" t="s">
        <v>12</v>
      </c>
      <c r="I1590" s="1" t="s">
        <v>15</v>
      </c>
      <c r="J1590" s="1" t="s">
        <v>52</v>
      </c>
    </row>
    <row r="1591" spans="2:10" x14ac:dyDescent="0.3">
      <c r="B1591" s="1" t="s">
        <v>1922</v>
      </c>
      <c r="C1591" s="1" t="s">
        <v>23</v>
      </c>
      <c r="D1591" s="2" t="s">
        <v>439</v>
      </c>
      <c r="E1591" s="2" t="s">
        <v>439</v>
      </c>
      <c r="F1591" s="2" t="s">
        <v>11</v>
      </c>
      <c r="G1591" s="3" t="s">
        <v>1927</v>
      </c>
      <c r="H1591" s="1" t="s">
        <v>12</v>
      </c>
      <c r="I1591" s="1" t="s">
        <v>25</v>
      </c>
      <c r="J1591" s="1" t="s">
        <v>14</v>
      </c>
    </row>
    <row r="1592" spans="2:10" x14ac:dyDescent="0.3">
      <c r="B1592" s="1" t="s">
        <v>1922</v>
      </c>
      <c r="C1592" s="1" t="s">
        <v>46</v>
      </c>
      <c r="D1592" s="2" t="s">
        <v>693</v>
      </c>
      <c r="E1592" s="2" t="s">
        <v>693</v>
      </c>
      <c r="F1592" s="2" t="s">
        <v>11</v>
      </c>
      <c r="G1592" s="3" t="s">
        <v>1928</v>
      </c>
      <c r="H1592" s="1" t="s">
        <v>12</v>
      </c>
      <c r="I1592" s="1" t="s">
        <v>47</v>
      </c>
      <c r="J1592" s="1" t="s">
        <v>14</v>
      </c>
    </row>
    <row r="1593" spans="2:10" x14ac:dyDescent="0.3">
      <c r="B1593" s="1" t="s">
        <v>1922</v>
      </c>
      <c r="C1593" s="1" t="s">
        <v>19</v>
      </c>
      <c r="D1593" s="2" t="s">
        <v>443</v>
      </c>
      <c r="E1593" s="2" t="s">
        <v>443</v>
      </c>
      <c r="F1593" s="2" t="s">
        <v>11</v>
      </c>
      <c r="G1593" s="3" t="s">
        <v>851</v>
      </c>
      <c r="H1593" s="1" t="s">
        <v>12</v>
      </c>
      <c r="I1593" s="1" t="s">
        <v>58</v>
      </c>
      <c r="J1593" s="1" t="s">
        <v>14</v>
      </c>
    </row>
    <row r="1594" spans="2:10" x14ac:dyDescent="0.3">
      <c r="B1594" s="1" t="s">
        <v>1922</v>
      </c>
      <c r="C1594" s="1" t="s">
        <v>26</v>
      </c>
      <c r="D1594" s="2" t="s">
        <v>443</v>
      </c>
      <c r="E1594" s="2" t="s">
        <v>443</v>
      </c>
      <c r="F1594" s="2" t="s">
        <v>11</v>
      </c>
      <c r="G1594" s="3" t="s">
        <v>1218</v>
      </c>
      <c r="H1594" s="1" t="s">
        <v>12</v>
      </c>
      <c r="I1594" s="1" t="s">
        <v>69</v>
      </c>
      <c r="J1594" s="1" t="s">
        <v>14</v>
      </c>
    </row>
    <row r="1595" spans="2:10" x14ac:dyDescent="0.3">
      <c r="B1595" s="1" t="s">
        <v>1922</v>
      </c>
      <c r="C1595" s="1" t="s">
        <v>36</v>
      </c>
      <c r="D1595" s="2" t="s">
        <v>783</v>
      </c>
      <c r="E1595" s="2" t="s">
        <v>783</v>
      </c>
      <c r="F1595" s="2" t="s">
        <v>11</v>
      </c>
      <c r="G1595" s="3" t="s">
        <v>1929</v>
      </c>
      <c r="H1595" s="1" t="s">
        <v>12</v>
      </c>
      <c r="I1595" s="1" t="s">
        <v>84</v>
      </c>
      <c r="J1595" s="1" t="s">
        <v>14</v>
      </c>
    </row>
    <row r="1596" spans="2:10" x14ac:dyDescent="0.3">
      <c r="B1596" s="1" t="s">
        <v>1922</v>
      </c>
      <c r="C1596" s="1" t="s">
        <v>35</v>
      </c>
      <c r="D1596" s="2" t="s">
        <v>475</v>
      </c>
      <c r="E1596" s="2" t="s">
        <v>475</v>
      </c>
      <c r="F1596" s="2" t="s">
        <v>11</v>
      </c>
      <c r="G1596" s="3" t="s">
        <v>1930</v>
      </c>
      <c r="H1596" s="1" t="s">
        <v>12</v>
      </c>
      <c r="I1596" s="1" t="s">
        <v>58</v>
      </c>
      <c r="J1596" s="1" t="s">
        <v>14</v>
      </c>
    </row>
    <row r="1597" spans="2:10" x14ac:dyDescent="0.3">
      <c r="B1597" s="1" t="s">
        <v>1922</v>
      </c>
      <c r="C1597" s="1" t="s">
        <v>39</v>
      </c>
      <c r="D1597" s="2" t="s">
        <v>268</v>
      </c>
      <c r="E1597" s="2" t="s">
        <v>268</v>
      </c>
      <c r="F1597" s="2" t="s">
        <v>11</v>
      </c>
      <c r="G1597" s="3" t="s">
        <v>1931</v>
      </c>
      <c r="H1597" s="1" t="s">
        <v>12</v>
      </c>
      <c r="I1597" s="1" t="s">
        <v>133</v>
      </c>
      <c r="J1597" s="1" t="s">
        <v>14</v>
      </c>
    </row>
    <row r="1598" spans="2:10" x14ac:dyDescent="0.3">
      <c r="B1598" s="1" t="s">
        <v>1922</v>
      </c>
      <c r="C1598" s="1" t="s">
        <v>33</v>
      </c>
      <c r="D1598" s="2" t="s">
        <v>439</v>
      </c>
      <c r="E1598" s="2" t="s">
        <v>439</v>
      </c>
      <c r="F1598" s="2" t="s">
        <v>11</v>
      </c>
      <c r="G1598" s="3" t="s">
        <v>1932</v>
      </c>
      <c r="H1598" s="1" t="s">
        <v>12</v>
      </c>
      <c r="I1598" s="1" t="s">
        <v>64</v>
      </c>
      <c r="J1598" s="1" t="s">
        <v>14</v>
      </c>
    </row>
    <row r="1599" spans="2:10" x14ac:dyDescent="0.3">
      <c r="B1599" s="1" t="s">
        <v>1922</v>
      </c>
      <c r="C1599" s="1" t="s">
        <v>10</v>
      </c>
      <c r="D1599" s="2" t="s">
        <v>458</v>
      </c>
      <c r="E1599" s="2" t="s">
        <v>458</v>
      </c>
      <c r="F1599" s="2" t="s">
        <v>11</v>
      </c>
      <c r="G1599" s="3" t="s">
        <v>1863</v>
      </c>
      <c r="H1599" s="1" t="s">
        <v>12</v>
      </c>
      <c r="I1599" s="1" t="s">
        <v>59</v>
      </c>
      <c r="J1599" s="1" t="s">
        <v>14</v>
      </c>
    </row>
    <row r="1600" spans="2:10" x14ac:dyDescent="0.3">
      <c r="B1600" s="1" t="s">
        <v>1922</v>
      </c>
      <c r="C1600" s="1" t="s">
        <v>45</v>
      </c>
      <c r="D1600" s="2" t="s">
        <v>202</v>
      </c>
      <c r="E1600" s="2" t="s">
        <v>202</v>
      </c>
      <c r="F1600" s="2" t="s">
        <v>11</v>
      </c>
      <c r="G1600" s="3" t="s">
        <v>964</v>
      </c>
      <c r="H1600" s="1" t="s">
        <v>12</v>
      </c>
      <c r="I1600" s="1" t="s">
        <v>66</v>
      </c>
      <c r="J1600" s="1" t="s">
        <v>14</v>
      </c>
    </row>
    <row r="1601" spans="2:10" x14ac:dyDescent="0.3">
      <c r="B1601" s="1" t="s">
        <v>1922</v>
      </c>
      <c r="C1601" s="1" t="s">
        <v>21</v>
      </c>
      <c r="D1601" s="2" t="s">
        <v>1471</v>
      </c>
      <c r="E1601" s="2" t="s">
        <v>1471</v>
      </c>
      <c r="F1601" s="2" t="s">
        <v>11</v>
      </c>
      <c r="G1601" s="3" t="s">
        <v>1933</v>
      </c>
      <c r="H1601" s="1" t="s">
        <v>12</v>
      </c>
      <c r="I1601" s="1" t="s">
        <v>40</v>
      </c>
      <c r="J1601" s="1" t="s">
        <v>14</v>
      </c>
    </row>
    <row r="1602" spans="2:10" x14ac:dyDescent="0.3">
      <c r="B1602" s="1" t="s">
        <v>1922</v>
      </c>
      <c r="C1602" s="1" t="s">
        <v>43</v>
      </c>
      <c r="D1602" s="2" t="s">
        <v>268</v>
      </c>
      <c r="E1602" s="2" t="s">
        <v>268</v>
      </c>
      <c r="F1602" s="2" t="s">
        <v>11</v>
      </c>
      <c r="G1602" s="3" t="s">
        <v>1934</v>
      </c>
      <c r="H1602" s="1" t="s">
        <v>12</v>
      </c>
      <c r="I1602" s="1" t="s">
        <v>79</v>
      </c>
      <c r="J1602" s="1" t="s">
        <v>14</v>
      </c>
    </row>
    <row r="1603" spans="2:10" x14ac:dyDescent="0.3">
      <c r="B1603" s="1" t="s">
        <v>1922</v>
      </c>
      <c r="C1603" s="1" t="s">
        <v>24</v>
      </c>
      <c r="D1603" s="2" t="s">
        <v>693</v>
      </c>
      <c r="E1603" s="2" t="s">
        <v>693</v>
      </c>
      <c r="F1603" s="2" t="s">
        <v>11</v>
      </c>
      <c r="G1603" s="3" t="s">
        <v>1935</v>
      </c>
      <c r="H1603" s="1" t="s">
        <v>12</v>
      </c>
      <c r="I1603" s="1" t="s">
        <v>78</v>
      </c>
      <c r="J1603" s="1" t="s">
        <v>14</v>
      </c>
    </row>
    <row r="1604" spans="2:10" x14ac:dyDescent="0.3">
      <c r="B1604" s="1" t="s">
        <v>1922</v>
      </c>
      <c r="C1604" s="1" t="s">
        <v>15</v>
      </c>
      <c r="D1604" s="2" t="s">
        <v>268</v>
      </c>
      <c r="E1604" s="2" t="s">
        <v>268</v>
      </c>
      <c r="F1604" s="2" t="s">
        <v>11</v>
      </c>
      <c r="G1604" s="3" t="s">
        <v>1936</v>
      </c>
      <c r="H1604" s="1" t="s">
        <v>12</v>
      </c>
      <c r="I1604" s="1" t="s">
        <v>37</v>
      </c>
      <c r="J1604" s="1" t="s">
        <v>14</v>
      </c>
    </row>
    <row r="1605" spans="2:10" x14ac:dyDescent="0.3">
      <c r="B1605" s="1" t="s">
        <v>1922</v>
      </c>
      <c r="C1605" s="1" t="s">
        <v>28</v>
      </c>
      <c r="D1605" s="2" t="s">
        <v>240</v>
      </c>
      <c r="E1605" s="2" t="s">
        <v>240</v>
      </c>
      <c r="F1605" s="2" t="s">
        <v>11</v>
      </c>
      <c r="G1605" s="3" t="s">
        <v>1937</v>
      </c>
      <c r="H1605" s="1" t="s">
        <v>12</v>
      </c>
      <c r="I1605" s="1" t="s">
        <v>77</v>
      </c>
      <c r="J1605" s="1" t="s">
        <v>14</v>
      </c>
    </row>
    <row r="1606" spans="2:10" x14ac:dyDescent="0.3">
      <c r="B1606" s="1" t="s">
        <v>1938</v>
      </c>
      <c r="C1606" s="1" t="s">
        <v>29</v>
      </c>
      <c r="D1606" s="2" t="s">
        <v>783</v>
      </c>
      <c r="E1606" s="2" t="s">
        <v>783</v>
      </c>
      <c r="F1606" s="2" t="s">
        <v>11</v>
      </c>
      <c r="G1606" s="3" t="s">
        <v>1554</v>
      </c>
      <c r="H1606" s="1" t="s">
        <v>12</v>
      </c>
      <c r="I1606" s="1" t="s">
        <v>64</v>
      </c>
      <c r="J1606" s="1" t="s">
        <v>14</v>
      </c>
    </row>
    <row r="1607" spans="2:10" x14ac:dyDescent="0.3">
      <c r="B1607" s="1" t="s">
        <v>1938</v>
      </c>
      <c r="C1607" s="1" t="s">
        <v>10</v>
      </c>
      <c r="D1607" s="2" t="s">
        <v>443</v>
      </c>
      <c r="E1607" s="2" t="s">
        <v>443</v>
      </c>
      <c r="F1607" s="2" t="s">
        <v>11</v>
      </c>
      <c r="G1607" s="3" t="s">
        <v>1939</v>
      </c>
      <c r="H1607" s="1" t="s">
        <v>12</v>
      </c>
      <c r="I1607" s="1" t="s">
        <v>30</v>
      </c>
      <c r="J1607" s="1" t="s">
        <v>14</v>
      </c>
    </row>
    <row r="1608" spans="2:10" x14ac:dyDescent="0.3">
      <c r="B1608" s="1" t="s">
        <v>1938</v>
      </c>
      <c r="C1608" s="1" t="s">
        <v>45</v>
      </c>
      <c r="D1608" s="2" t="s">
        <v>1940</v>
      </c>
      <c r="E1608" s="2" t="s">
        <v>1941</v>
      </c>
      <c r="F1608" s="2" t="s">
        <v>11</v>
      </c>
      <c r="G1608" s="3" t="s">
        <v>321</v>
      </c>
      <c r="H1608" s="1" t="s">
        <v>12</v>
      </c>
      <c r="I1608" s="1" t="s">
        <v>23</v>
      </c>
      <c r="J1608" s="1" t="s">
        <v>52</v>
      </c>
    </row>
    <row r="1609" spans="2:10" x14ac:dyDescent="0.3">
      <c r="B1609" s="1" t="s">
        <v>1938</v>
      </c>
      <c r="C1609" s="1" t="s">
        <v>19</v>
      </c>
      <c r="D1609" s="2" t="s">
        <v>393</v>
      </c>
      <c r="E1609" s="2" t="s">
        <v>393</v>
      </c>
      <c r="F1609" s="2" t="s">
        <v>11</v>
      </c>
      <c r="G1609" s="3" t="s">
        <v>1708</v>
      </c>
      <c r="H1609" s="1" t="s">
        <v>12</v>
      </c>
      <c r="I1609" s="1" t="s">
        <v>27</v>
      </c>
      <c r="J1609" s="1" t="s">
        <v>14</v>
      </c>
    </row>
    <row r="1610" spans="2:10" x14ac:dyDescent="0.3">
      <c r="B1610" s="1" t="s">
        <v>1938</v>
      </c>
      <c r="C1610" s="1" t="s">
        <v>31</v>
      </c>
      <c r="D1610" s="2" t="s">
        <v>529</v>
      </c>
      <c r="E1610" s="2" t="s">
        <v>529</v>
      </c>
      <c r="F1610" s="2" t="s">
        <v>11</v>
      </c>
      <c r="G1610" s="3" t="s">
        <v>1533</v>
      </c>
      <c r="H1610" s="1" t="s">
        <v>12</v>
      </c>
      <c r="I1610" s="1" t="s">
        <v>40</v>
      </c>
      <c r="J1610" s="1" t="s">
        <v>14</v>
      </c>
    </row>
    <row r="1611" spans="2:10" x14ac:dyDescent="0.3">
      <c r="B1611" s="1" t="s">
        <v>1938</v>
      </c>
      <c r="C1611" s="1" t="s">
        <v>26</v>
      </c>
      <c r="D1611" s="2" t="s">
        <v>783</v>
      </c>
      <c r="E1611" s="2" t="s">
        <v>783</v>
      </c>
      <c r="F1611" s="2" t="s">
        <v>11</v>
      </c>
      <c r="G1611" s="3" t="s">
        <v>1942</v>
      </c>
      <c r="H1611" s="1" t="s">
        <v>12</v>
      </c>
      <c r="I1611" s="1" t="s">
        <v>56</v>
      </c>
      <c r="J1611" s="1" t="s">
        <v>14</v>
      </c>
    </row>
    <row r="1612" spans="2:10" x14ac:dyDescent="0.3">
      <c r="B1612" s="1" t="s">
        <v>1938</v>
      </c>
      <c r="C1612" s="1" t="s">
        <v>28</v>
      </c>
      <c r="D1612" s="2" t="s">
        <v>187</v>
      </c>
      <c r="E1612" s="2" t="s">
        <v>187</v>
      </c>
      <c r="F1612" s="2" t="s">
        <v>11</v>
      </c>
      <c r="G1612" s="3" t="s">
        <v>1541</v>
      </c>
      <c r="H1612" s="1" t="s">
        <v>12</v>
      </c>
      <c r="I1612" s="1" t="s">
        <v>33</v>
      </c>
      <c r="J1612" s="1" t="s">
        <v>14</v>
      </c>
    </row>
    <row r="1613" spans="2:10" x14ac:dyDescent="0.3">
      <c r="B1613" s="1" t="s">
        <v>1938</v>
      </c>
      <c r="C1613" s="1" t="s">
        <v>43</v>
      </c>
      <c r="D1613" s="2" t="s">
        <v>393</v>
      </c>
      <c r="E1613" s="2" t="s">
        <v>393</v>
      </c>
      <c r="F1613" s="2" t="s">
        <v>11</v>
      </c>
      <c r="G1613" s="3" t="s">
        <v>749</v>
      </c>
      <c r="H1613" s="1" t="s">
        <v>12</v>
      </c>
      <c r="I1613" s="1" t="s">
        <v>40</v>
      </c>
      <c r="J1613" s="1" t="s">
        <v>14</v>
      </c>
    </row>
    <row r="1614" spans="2:10" x14ac:dyDescent="0.3">
      <c r="B1614" s="1" t="s">
        <v>1938</v>
      </c>
      <c r="C1614" s="1" t="s">
        <v>36</v>
      </c>
      <c r="D1614" s="2" t="s">
        <v>529</v>
      </c>
      <c r="E1614" s="2" t="s">
        <v>529</v>
      </c>
      <c r="F1614" s="2" t="s">
        <v>11</v>
      </c>
      <c r="G1614" s="3" t="s">
        <v>1943</v>
      </c>
      <c r="H1614" s="1" t="s">
        <v>12</v>
      </c>
      <c r="I1614" s="1" t="s">
        <v>32</v>
      </c>
      <c r="J1614" s="1" t="s">
        <v>14</v>
      </c>
    </row>
    <row r="1615" spans="2:10" x14ac:dyDescent="0.3">
      <c r="B1615" s="1" t="s">
        <v>1938</v>
      </c>
      <c r="C1615" s="1" t="s">
        <v>39</v>
      </c>
      <c r="D1615" s="2" t="s">
        <v>393</v>
      </c>
      <c r="E1615" s="2" t="s">
        <v>393</v>
      </c>
      <c r="F1615" s="2" t="s">
        <v>11</v>
      </c>
      <c r="G1615" s="3" t="s">
        <v>600</v>
      </c>
      <c r="H1615" s="1" t="s">
        <v>12</v>
      </c>
      <c r="I1615" s="1" t="s">
        <v>62</v>
      </c>
      <c r="J1615" s="1" t="s">
        <v>14</v>
      </c>
    </row>
    <row r="1616" spans="2:10" x14ac:dyDescent="0.3">
      <c r="B1616" s="1" t="s">
        <v>1938</v>
      </c>
      <c r="C1616" s="1" t="s">
        <v>38</v>
      </c>
      <c r="D1616" s="2" t="s">
        <v>439</v>
      </c>
      <c r="E1616" s="2" t="s">
        <v>439</v>
      </c>
      <c r="F1616" s="2" t="s">
        <v>11</v>
      </c>
      <c r="G1616" s="3" t="s">
        <v>1944</v>
      </c>
      <c r="H1616" s="1" t="s">
        <v>12</v>
      </c>
      <c r="I1616" s="1" t="s">
        <v>42</v>
      </c>
      <c r="J1616" s="1" t="s">
        <v>14</v>
      </c>
    </row>
    <row r="1617" spans="2:10" x14ac:dyDescent="0.3">
      <c r="B1617" s="1" t="s">
        <v>1938</v>
      </c>
      <c r="C1617" s="1" t="s">
        <v>33</v>
      </c>
      <c r="D1617" s="2" t="s">
        <v>1945</v>
      </c>
      <c r="E1617" s="2" t="s">
        <v>1946</v>
      </c>
      <c r="F1617" s="2" t="s">
        <v>11</v>
      </c>
      <c r="G1617" s="3" t="s">
        <v>1947</v>
      </c>
      <c r="H1617" s="1" t="s">
        <v>12</v>
      </c>
      <c r="I1617" s="1" t="s">
        <v>16</v>
      </c>
      <c r="J1617" s="1" t="s">
        <v>52</v>
      </c>
    </row>
    <row r="1618" spans="2:10" x14ac:dyDescent="0.3">
      <c r="B1618" s="1" t="s">
        <v>1938</v>
      </c>
      <c r="C1618" s="1" t="s">
        <v>23</v>
      </c>
      <c r="D1618" s="2" t="s">
        <v>529</v>
      </c>
      <c r="E1618" s="2" t="s">
        <v>529</v>
      </c>
      <c r="F1618" s="2" t="s">
        <v>11</v>
      </c>
      <c r="G1618" s="3" t="s">
        <v>138</v>
      </c>
      <c r="H1618" s="1" t="s">
        <v>12</v>
      </c>
      <c r="I1618" s="1" t="s">
        <v>32</v>
      </c>
      <c r="J1618" s="1" t="s">
        <v>14</v>
      </c>
    </row>
    <row r="1619" spans="2:10" x14ac:dyDescent="0.3">
      <c r="B1619" s="1" t="s">
        <v>1938</v>
      </c>
      <c r="C1619" s="1" t="s">
        <v>24</v>
      </c>
      <c r="D1619" s="2" t="s">
        <v>448</v>
      </c>
      <c r="E1619" s="2" t="s">
        <v>448</v>
      </c>
      <c r="F1619" s="2" t="s">
        <v>11</v>
      </c>
      <c r="G1619" s="3" t="s">
        <v>1479</v>
      </c>
      <c r="H1619" s="1" t="s">
        <v>12</v>
      </c>
      <c r="I1619" s="1" t="s">
        <v>13</v>
      </c>
      <c r="J1619" s="1" t="s">
        <v>14</v>
      </c>
    </row>
    <row r="1620" spans="2:10" x14ac:dyDescent="0.3">
      <c r="B1620" s="1" t="s">
        <v>1938</v>
      </c>
      <c r="C1620" s="1" t="s">
        <v>17</v>
      </c>
      <c r="D1620" s="2" t="s">
        <v>529</v>
      </c>
      <c r="E1620" s="2" t="s">
        <v>529</v>
      </c>
      <c r="F1620" s="2" t="s">
        <v>11</v>
      </c>
      <c r="G1620" s="3" t="s">
        <v>1948</v>
      </c>
      <c r="H1620" s="1" t="s">
        <v>12</v>
      </c>
      <c r="I1620" s="1" t="s">
        <v>13</v>
      </c>
      <c r="J1620" s="1" t="s">
        <v>14</v>
      </c>
    </row>
    <row r="1621" spans="2:10" x14ac:dyDescent="0.3">
      <c r="B1621" s="1" t="s">
        <v>1938</v>
      </c>
      <c r="C1621" s="1" t="s">
        <v>41</v>
      </c>
      <c r="D1621" s="2" t="s">
        <v>439</v>
      </c>
      <c r="E1621" s="2" t="s">
        <v>439</v>
      </c>
      <c r="F1621" s="2" t="s">
        <v>11</v>
      </c>
      <c r="G1621" s="3" t="s">
        <v>1949</v>
      </c>
      <c r="H1621" s="1" t="s">
        <v>12</v>
      </c>
      <c r="I1621" s="1" t="s">
        <v>22</v>
      </c>
      <c r="J1621" s="1" t="s">
        <v>14</v>
      </c>
    </row>
    <row r="1622" spans="2:10" x14ac:dyDescent="0.3">
      <c r="B1622" s="1" t="s">
        <v>1938</v>
      </c>
      <c r="C1622" s="1" t="s">
        <v>35</v>
      </c>
      <c r="D1622" s="2" t="s">
        <v>529</v>
      </c>
      <c r="E1622" s="2" t="s">
        <v>529</v>
      </c>
      <c r="F1622" s="2" t="s">
        <v>11</v>
      </c>
      <c r="G1622" s="3" t="s">
        <v>1950</v>
      </c>
      <c r="H1622" s="1" t="s">
        <v>12</v>
      </c>
      <c r="I1622" s="1" t="s">
        <v>50</v>
      </c>
      <c r="J1622" s="1" t="s">
        <v>14</v>
      </c>
    </row>
    <row r="1623" spans="2:10" x14ac:dyDescent="0.3">
      <c r="B1623" s="1" t="s">
        <v>1938</v>
      </c>
      <c r="C1623" s="1" t="s">
        <v>21</v>
      </c>
      <c r="D1623" s="2" t="s">
        <v>529</v>
      </c>
      <c r="E1623" s="2" t="s">
        <v>529</v>
      </c>
      <c r="F1623" s="2" t="s">
        <v>11</v>
      </c>
      <c r="G1623" s="3" t="s">
        <v>1951</v>
      </c>
      <c r="H1623" s="1" t="s">
        <v>12</v>
      </c>
      <c r="I1623" s="1" t="s">
        <v>42</v>
      </c>
      <c r="J1623" s="1" t="s">
        <v>14</v>
      </c>
    </row>
    <row r="1624" spans="2:10" x14ac:dyDescent="0.3">
      <c r="B1624" s="1" t="s">
        <v>1938</v>
      </c>
      <c r="C1624" s="1" t="s">
        <v>15</v>
      </c>
      <c r="D1624" s="2" t="s">
        <v>393</v>
      </c>
      <c r="E1624" s="2" t="s">
        <v>393</v>
      </c>
      <c r="F1624" s="2" t="s">
        <v>11</v>
      </c>
      <c r="G1624" s="3" t="s">
        <v>1952</v>
      </c>
      <c r="H1624" s="1" t="s">
        <v>12</v>
      </c>
      <c r="I1624" s="1" t="s">
        <v>76</v>
      </c>
      <c r="J1624" s="1" t="s">
        <v>14</v>
      </c>
    </row>
    <row r="1625" spans="2:10" x14ac:dyDescent="0.3">
      <c r="B1625" s="1" t="s">
        <v>1938</v>
      </c>
      <c r="C1625" s="1" t="s">
        <v>46</v>
      </c>
      <c r="D1625" s="2" t="s">
        <v>393</v>
      </c>
      <c r="E1625" s="2" t="s">
        <v>393</v>
      </c>
      <c r="F1625" s="2" t="s">
        <v>11</v>
      </c>
      <c r="G1625" s="3" t="s">
        <v>468</v>
      </c>
      <c r="H1625" s="1" t="s">
        <v>12</v>
      </c>
      <c r="I1625" s="1" t="s">
        <v>30</v>
      </c>
      <c r="J1625" s="1" t="s">
        <v>14</v>
      </c>
    </row>
    <row r="1626" spans="2:10" x14ac:dyDescent="0.3">
      <c r="B1626" s="1" t="s">
        <v>1953</v>
      </c>
      <c r="C1626" s="1" t="s">
        <v>39</v>
      </c>
      <c r="D1626" s="2" t="s">
        <v>987</v>
      </c>
      <c r="E1626" s="2" t="s">
        <v>987</v>
      </c>
      <c r="F1626" s="2" t="s">
        <v>11</v>
      </c>
      <c r="G1626" s="3" t="s">
        <v>1954</v>
      </c>
      <c r="H1626" s="1" t="s">
        <v>12</v>
      </c>
      <c r="I1626" s="1" t="s">
        <v>42</v>
      </c>
      <c r="J1626" s="1" t="s">
        <v>14</v>
      </c>
    </row>
    <row r="1627" spans="2:10" x14ac:dyDescent="0.3">
      <c r="B1627" s="1" t="s">
        <v>1953</v>
      </c>
      <c r="C1627" s="1" t="s">
        <v>36</v>
      </c>
      <c r="D1627" s="2" t="s">
        <v>495</v>
      </c>
      <c r="E1627" s="2" t="s">
        <v>495</v>
      </c>
      <c r="F1627" s="2" t="s">
        <v>11</v>
      </c>
      <c r="G1627" s="3" t="s">
        <v>1955</v>
      </c>
      <c r="H1627" s="1" t="s">
        <v>12</v>
      </c>
      <c r="I1627" s="1" t="s">
        <v>55</v>
      </c>
      <c r="J1627" s="1" t="s">
        <v>14</v>
      </c>
    </row>
    <row r="1628" spans="2:10" x14ac:dyDescent="0.3">
      <c r="B1628" s="1" t="s">
        <v>1953</v>
      </c>
      <c r="C1628" s="1" t="s">
        <v>23</v>
      </c>
      <c r="D1628" s="2" t="s">
        <v>987</v>
      </c>
      <c r="E1628" s="2" t="s">
        <v>987</v>
      </c>
      <c r="F1628" s="2" t="s">
        <v>11</v>
      </c>
      <c r="G1628" s="3" t="s">
        <v>1956</v>
      </c>
      <c r="H1628" s="1" t="s">
        <v>12</v>
      </c>
      <c r="I1628" s="1" t="s">
        <v>89</v>
      </c>
      <c r="J1628" s="1" t="s">
        <v>14</v>
      </c>
    </row>
    <row r="1629" spans="2:10" x14ac:dyDescent="0.3">
      <c r="B1629" s="1" t="s">
        <v>1953</v>
      </c>
      <c r="C1629" s="1" t="s">
        <v>29</v>
      </c>
      <c r="D1629" s="2" t="s">
        <v>628</v>
      </c>
      <c r="E1629" s="2" t="s">
        <v>628</v>
      </c>
      <c r="F1629" s="2" t="s">
        <v>11</v>
      </c>
      <c r="G1629" s="3" t="s">
        <v>1957</v>
      </c>
      <c r="H1629" s="1" t="s">
        <v>12</v>
      </c>
      <c r="I1629" s="1" t="s">
        <v>59</v>
      </c>
      <c r="J1629" s="1" t="s">
        <v>14</v>
      </c>
    </row>
    <row r="1630" spans="2:10" x14ac:dyDescent="0.3">
      <c r="B1630" s="1" t="s">
        <v>1953</v>
      </c>
      <c r="C1630" s="1" t="s">
        <v>24</v>
      </c>
      <c r="D1630" s="2" t="s">
        <v>987</v>
      </c>
      <c r="E1630" s="2" t="s">
        <v>987</v>
      </c>
      <c r="F1630" s="2" t="s">
        <v>11</v>
      </c>
      <c r="G1630" s="3" t="s">
        <v>1958</v>
      </c>
      <c r="H1630" s="1" t="s">
        <v>12</v>
      </c>
      <c r="I1630" s="1" t="s">
        <v>98</v>
      </c>
      <c r="J1630" s="1" t="s">
        <v>14</v>
      </c>
    </row>
    <row r="1631" spans="2:10" x14ac:dyDescent="0.3">
      <c r="B1631" s="1" t="s">
        <v>1953</v>
      </c>
      <c r="C1631" s="1" t="s">
        <v>19</v>
      </c>
      <c r="D1631" s="2" t="s">
        <v>823</v>
      </c>
      <c r="E1631" s="2" t="s">
        <v>823</v>
      </c>
      <c r="F1631" s="2" t="s">
        <v>11</v>
      </c>
      <c r="G1631" s="3" t="s">
        <v>1959</v>
      </c>
      <c r="H1631" s="1" t="s">
        <v>12</v>
      </c>
      <c r="I1631" s="1" t="s">
        <v>63</v>
      </c>
      <c r="J1631" s="1" t="s">
        <v>14</v>
      </c>
    </row>
    <row r="1632" spans="2:10" x14ac:dyDescent="0.3">
      <c r="B1632" s="1" t="s">
        <v>1953</v>
      </c>
      <c r="C1632" s="1" t="s">
        <v>43</v>
      </c>
      <c r="D1632" s="2" t="s">
        <v>197</v>
      </c>
      <c r="E1632" s="2" t="s">
        <v>197</v>
      </c>
      <c r="F1632" s="2" t="s">
        <v>11</v>
      </c>
      <c r="G1632" s="3" t="s">
        <v>1960</v>
      </c>
      <c r="H1632" s="1" t="s">
        <v>12</v>
      </c>
      <c r="I1632" s="1" t="s">
        <v>47</v>
      </c>
      <c r="J1632" s="1" t="s">
        <v>14</v>
      </c>
    </row>
    <row r="1633" spans="2:10" x14ac:dyDescent="0.3">
      <c r="B1633" s="1" t="s">
        <v>1953</v>
      </c>
      <c r="C1633" s="1" t="s">
        <v>10</v>
      </c>
      <c r="D1633" s="2" t="s">
        <v>1961</v>
      </c>
      <c r="E1633" s="2" t="s">
        <v>1961</v>
      </c>
      <c r="F1633" s="2" t="s">
        <v>11</v>
      </c>
      <c r="G1633" s="3" t="s">
        <v>1340</v>
      </c>
      <c r="H1633" s="1" t="s">
        <v>12</v>
      </c>
      <c r="I1633" s="1" t="s">
        <v>58</v>
      </c>
      <c r="J1633" s="1" t="s">
        <v>14</v>
      </c>
    </row>
    <row r="1634" spans="2:10" x14ac:dyDescent="0.3">
      <c r="B1634" s="1" t="s">
        <v>1953</v>
      </c>
      <c r="C1634" s="1" t="s">
        <v>28</v>
      </c>
      <c r="D1634" s="2" t="s">
        <v>987</v>
      </c>
      <c r="E1634" s="2" t="s">
        <v>987</v>
      </c>
      <c r="F1634" s="2" t="s">
        <v>11</v>
      </c>
      <c r="G1634" s="3" t="s">
        <v>193</v>
      </c>
      <c r="H1634" s="1" t="s">
        <v>12</v>
      </c>
      <c r="I1634" s="1" t="s">
        <v>79</v>
      </c>
      <c r="J1634" s="1" t="s">
        <v>14</v>
      </c>
    </row>
    <row r="1635" spans="2:10" x14ac:dyDescent="0.3">
      <c r="B1635" s="1" t="s">
        <v>1953</v>
      </c>
      <c r="C1635" s="1" t="s">
        <v>33</v>
      </c>
      <c r="D1635" s="2" t="s">
        <v>987</v>
      </c>
      <c r="E1635" s="2" t="s">
        <v>987</v>
      </c>
      <c r="F1635" s="2" t="s">
        <v>11</v>
      </c>
      <c r="G1635" s="3" t="s">
        <v>1962</v>
      </c>
      <c r="H1635" s="1" t="s">
        <v>12</v>
      </c>
      <c r="I1635" s="1" t="s">
        <v>63</v>
      </c>
      <c r="J1635" s="1" t="s">
        <v>14</v>
      </c>
    </row>
    <row r="1636" spans="2:10" x14ac:dyDescent="0.3">
      <c r="B1636" s="1" t="s">
        <v>1953</v>
      </c>
      <c r="C1636" s="1" t="s">
        <v>15</v>
      </c>
      <c r="D1636" s="2" t="s">
        <v>823</v>
      </c>
      <c r="E1636" s="2" t="s">
        <v>823</v>
      </c>
      <c r="F1636" s="2" t="s">
        <v>11</v>
      </c>
      <c r="G1636" s="3" t="s">
        <v>1221</v>
      </c>
      <c r="H1636" s="1" t="s">
        <v>12</v>
      </c>
      <c r="I1636" s="1" t="s">
        <v>13</v>
      </c>
      <c r="J1636" s="1" t="s">
        <v>14</v>
      </c>
    </row>
    <row r="1637" spans="2:10" x14ac:dyDescent="0.3">
      <c r="B1637" s="1" t="s">
        <v>1953</v>
      </c>
      <c r="C1637" s="1" t="s">
        <v>26</v>
      </c>
      <c r="D1637" s="2" t="s">
        <v>197</v>
      </c>
      <c r="E1637" s="2" t="s">
        <v>197</v>
      </c>
      <c r="F1637" s="2" t="s">
        <v>11</v>
      </c>
      <c r="G1637" s="3" t="s">
        <v>1963</v>
      </c>
      <c r="H1637" s="1" t="s">
        <v>12</v>
      </c>
      <c r="I1637" s="1" t="s">
        <v>56</v>
      </c>
      <c r="J1637" s="1" t="s">
        <v>14</v>
      </c>
    </row>
    <row r="1638" spans="2:10" x14ac:dyDescent="0.3">
      <c r="B1638" s="1" t="s">
        <v>1953</v>
      </c>
      <c r="C1638" s="1" t="s">
        <v>46</v>
      </c>
      <c r="D1638" s="2" t="s">
        <v>823</v>
      </c>
      <c r="E1638" s="2" t="s">
        <v>823</v>
      </c>
      <c r="F1638" s="2" t="s">
        <v>11</v>
      </c>
      <c r="G1638" s="3" t="s">
        <v>1964</v>
      </c>
      <c r="H1638" s="1" t="s">
        <v>12</v>
      </c>
      <c r="I1638" s="1" t="s">
        <v>51</v>
      </c>
      <c r="J1638" s="1" t="s">
        <v>14</v>
      </c>
    </row>
    <row r="1639" spans="2:10" x14ac:dyDescent="0.3">
      <c r="B1639" s="1" t="s">
        <v>1953</v>
      </c>
      <c r="C1639" s="1" t="s">
        <v>31</v>
      </c>
      <c r="D1639" s="2" t="s">
        <v>823</v>
      </c>
      <c r="E1639" s="2" t="s">
        <v>823</v>
      </c>
      <c r="F1639" s="2" t="s">
        <v>11</v>
      </c>
      <c r="G1639" s="3" t="s">
        <v>1965</v>
      </c>
      <c r="H1639" s="1" t="s">
        <v>12</v>
      </c>
      <c r="I1639" s="1" t="s">
        <v>47</v>
      </c>
      <c r="J1639" s="1" t="s">
        <v>14</v>
      </c>
    </row>
    <row r="1640" spans="2:10" x14ac:dyDescent="0.3">
      <c r="B1640" s="1" t="s">
        <v>1953</v>
      </c>
      <c r="C1640" s="1" t="s">
        <v>45</v>
      </c>
      <c r="D1640" s="2" t="s">
        <v>823</v>
      </c>
      <c r="E1640" s="2" t="s">
        <v>823</v>
      </c>
      <c r="F1640" s="2" t="s">
        <v>11</v>
      </c>
      <c r="G1640" s="3" t="s">
        <v>1966</v>
      </c>
      <c r="H1640" s="1" t="s">
        <v>12</v>
      </c>
      <c r="I1640" s="1" t="s">
        <v>76</v>
      </c>
      <c r="J1640" s="1" t="s">
        <v>14</v>
      </c>
    </row>
    <row r="1641" spans="2:10" x14ac:dyDescent="0.3">
      <c r="B1641" s="1" t="s">
        <v>1953</v>
      </c>
      <c r="C1641" s="1" t="s">
        <v>35</v>
      </c>
      <c r="D1641" s="2" t="s">
        <v>823</v>
      </c>
      <c r="E1641" s="2" t="s">
        <v>823</v>
      </c>
      <c r="F1641" s="2" t="s">
        <v>11</v>
      </c>
      <c r="G1641" s="3" t="s">
        <v>1779</v>
      </c>
      <c r="H1641" s="1" t="s">
        <v>12</v>
      </c>
      <c r="I1641" s="1" t="s">
        <v>59</v>
      </c>
      <c r="J1641" s="1" t="s">
        <v>14</v>
      </c>
    </row>
    <row r="1642" spans="2:10" x14ac:dyDescent="0.3">
      <c r="B1642" s="1" t="s">
        <v>1953</v>
      </c>
      <c r="C1642" s="1" t="s">
        <v>41</v>
      </c>
      <c r="D1642" s="2" t="s">
        <v>495</v>
      </c>
      <c r="E1642" s="2" t="s">
        <v>495</v>
      </c>
      <c r="F1642" s="2" t="s">
        <v>11</v>
      </c>
      <c r="G1642" s="3" t="s">
        <v>1967</v>
      </c>
      <c r="H1642" s="1" t="s">
        <v>12</v>
      </c>
      <c r="I1642" s="1" t="s">
        <v>27</v>
      </c>
      <c r="J1642" s="1" t="s">
        <v>14</v>
      </c>
    </row>
    <row r="1643" spans="2:10" x14ac:dyDescent="0.3">
      <c r="B1643" s="1" t="s">
        <v>1953</v>
      </c>
      <c r="C1643" s="1" t="s">
        <v>21</v>
      </c>
      <c r="D1643" s="2" t="s">
        <v>1726</v>
      </c>
      <c r="E1643" s="2" t="s">
        <v>1726</v>
      </c>
      <c r="F1643" s="2" t="s">
        <v>11</v>
      </c>
      <c r="G1643" s="3" t="s">
        <v>533</v>
      </c>
      <c r="H1643" s="1" t="s">
        <v>12</v>
      </c>
      <c r="I1643" s="1" t="s">
        <v>39</v>
      </c>
      <c r="J1643" s="1" t="s">
        <v>14</v>
      </c>
    </row>
    <row r="1644" spans="2:10" x14ac:dyDescent="0.3">
      <c r="B1644" s="1" t="s">
        <v>1953</v>
      </c>
      <c r="C1644" s="1" t="s">
        <v>17</v>
      </c>
      <c r="D1644" s="2" t="s">
        <v>1968</v>
      </c>
      <c r="E1644" s="2" t="s">
        <v>1968</v>
      </c>
      <c r="F1644" s="2" t="s">
        <v>11</v>
      </c>
      <c r="G1644" s="3" t="s">
        <v>1969</v>
      </c>
      <c r="H1644" s="1" t="s">
        <v>12</v>
      </c>
      <c r="I1644" s="1" t="s">
        <v>32</v>
      </c>
      <c r="J1644" s="1" t="s">
        <v>14</v>
      </c>
    </row>
    <row r="1645" spans="2:10" x14ac:dyDescent="0.3">
      <c r="B1645" s="1" t="s">
        <v>1953</v>
      </c>
      <c r="C1645" s="1" t="s">
        <v>38</v>
      </c>
      <c r="D1645" s="2" t="s">
        <v>987</v>
      </c>
      <c r="E1645" s="2" t="s">
        <v>987</v>
      </c>
      <c r="F1645" s="2" t="s">
        <v>11</v>
      </c>
      <c r="G1645" s="3" t="s">
        <v>1970</v>
      </c>
      <c r="H1645" s="1" t="s">
        <v>12</v>
      </c>
      <c r="I1645" s="1" t="s">
        <v>18</v>
      </c>
      <c r="J1645" s="1" t="s">
        <v>14</v>
      </c>
    </row>
    <row r="1646" spans="2:10" x14ac:dyDescent="0.3">
      <c r="B1646" s="1" t="s">
        <v>1971</v>
      </c>
      <c r="C1646" s="1" t="s">
        <v>46</v>
      </c>
      <c r="D1646" s="2" t="s">
        <v>397</v>
      </c>
      <c r="E1646" s="2" t="s">
        <v>397</v>
      </c>
      <c r="F1646" s="2" t="s">
        <v>11</v>
      </c>
      <c r="G1646" s="3" t="s">
        <v>1109</v>
      </c>
      <c r="H1646" s="1" t="s">
        <v>12</v>
      </c>
      <c r="I1646" s="1" t="s">
        <v>18</v>
      </c>
      <c r="J1646" s="1" t="s">
        <v>14</v>
      </c>
    </row>
    <row r="1647" spans="2:10" x14ac:dyDescent="0.3">
      <c r="B1647" s="1" t="s">
        <v>1971</v>
      </c>
      <c r="C1647" s="1" t="s">
        <v>39</v>
      </c>
      <c r="D1647" s="2" t="s">
        <v>823</v>
      </c>
      <c r="E1647" s="2" t="s">
        <v>823</v>
      </c>
      <c r="F1647" s="2" t="s">
        <v>11</v>
      </c>
      <c r="G1647" s="3" t="s">
        <v>1972</v>
      </c>
      <c r="H1647" s="1" t="s">
        <v>12</v>
      </c>
      <c r="I1647" s="1" t="s">
        <v>40</v>
      </c>
      <c r="J1647" s="1" t="s">
        <v>14</v>
      </c>
    </row>
    <row r="1648" spans="2:10" x14ac:dyDescent="0.3">
      <c r="B1648" s="1" t="s">
        <v>1971</v>
      </c>
      <c r="C1648" s="1" t="s">
        <v>17</v>
      </c>
      <c r="D1648" s="2" t="s">
        <v>777</v>
      </c>
      <c r="E1648" s="2" t="s">
        <v>777</v>
      </c>
      <c r="F1648" s="2" t="s">
        <v>11</v>
      </c>
      <c r="G1648" s="3" t="s">
        <v>1973</v>
      </c>
      <c r="H1648" s="1" t="s">
        <v>12</v>
      </c>
      <c r="I1648" s="1" t="s">
        <v>58</v>
      </c>
      <c r="J1648" s="1" t="s">
        <v>14</v>
      </c>
    </row>
    <row r="1649" spans="2:10" x14ac:dyDescent="0.3">
      <c r="B1649" s="1" t="s">
        <v>1971</v>
      </c>
      <c r="C1649" s="1" t="s">
        <v>15</v>
      </c>
      <c r="D1649" s="2" t="s">
        <v>702</v>
      </c>
      <c r="E1649" s="2" t="s">
        <v>702</v>
      </c>
      <c r="F1649" s="2" t="s">
        <v>11</v>
      </c>
      <c r="G1649" s="3" t="s">
        <v>1974</v>
      </c>
      <c r="H1649" s="1" t="s">
        <v>12</v>
      </c>
      <c r="I1649" s="1" t="s">
        <v>13</v>
      </c>
      <c r="J1649" s="1" t="s">
        <v>14</v>
      </c>
    </row>
    <row r="1650" spans="2:10" x14ac:dyDescent="0.3">
      <c r="B1650" s="1" t="s">
        <v>1971</v>
      </c>
      <c r="C1650" s="1" t="s">
        <v>35</v>
      </c>
      <c r="D1650" s="2" t="s">
        <v>702</v>
      </c>
      <c r="E1650" s="2" t="s">
        <v>702</v>
      </c>
      <c r="F1650" s="2" t="s">
        <v>11</v>
      </c>
      <c r="G1650" s="3" t="s">
        <v>1975</v>
      </c>
      <c r="H1650" s="1" t="s">
        <v>12</v>
      </c>
      <c r="I1650" s="1" t="s">
        <v>55</v>
      </c>
      <c r="J1650" s="1" t="s">
        <v>14</v>
      </c>
    </row>
    <row r="1651" spans="2:10" x14ac:dyDescent="0.3">
      <c r="B1651" s="1" t="s">
        <v>1971</v>
      </c>
      <c r="C1651" s="1" t="s">
        <v>31</v>
      </c>
      <c r="D1651" s="2" t="s">
        <v>248</v>
      </c>
      <c r="E1651" s="2" t="s">
        <v>248</v>
      </c>
      <c r="F1651" s="2" t="s">
        <v>11</v>
      </c>
      <c r="G1651" s="3" t="s">
        <v>1976</v>
      </c>
      <c r="H1651" s="1" t="s">
        <v>12</v>
      </c>
      <c r="I1651" s="1" t="s">
        <v>42</v>
      </c>
      <c r="J1651" s="1" t="s">
        <v>14</v>
      </c>
    </row>
    <row r="1652" spans="2:10" x14ac:dyDescent="0.3">
      <c r="B1652" s="1" t="s">
        <v>1971</v>
      </c>
      <c r="C1652" s="1" t="s">
        <v>45</v>
      </c>
      <c r="D1652" s="2" t="s">
        <v>702</v>
      </c>
      <c r="E1652" s="2" t="s">
        <v>702</v>
      </c>
      <c r="F1652" s="2" t="s">
        <v>11</v>
      </c>
      <c r="G1652" s="3" t="s">
        <v>1977</v>
      </c>
      <c r="H1652" s="1" t="s">
        <v>12</v>
      </c>
      <c r="I1652" s="1" t="s">
        <v>56</v>
      </c>
      <c r="J1652" s="1" t="s">
        <v>14</v>
      </c>
    </row>
    <row r="1653" spans="2:10" x14ac:dyDescent="0.3">
      <c r="B1653" s="1" t="s">
        <v>1971</v>
      </c>
      <c r="C1653" s="1" t="s">
        <v>41</v>
      </c>
      <c r="D1653" s="2" t="s">
        <v>702</v>
      </c>
      <c r="E1653" s="2" t="s">
        <v>702</v>
      </c>
      <c r="F1653" s="2" t="s">
        <v>11</v>
      </c>
      <c r="G1653" s="3" t="s">
        <v>1978</v>
      </c>
      <c r="H1653" s="1" t="s">
        <v>12</v>
      </c>
      <c r="I1653" s="1" t="s">
        <v>18</v>
      </c>
      <c r="J1653" s="1" t="s">
        <v>14</v>
      </c>
    </row>
    <row r="1654" spans="2:10" x14ac:dyDescent="0.3">
      <c r="B1654" s="1" t="s">
        <v>1971</v>
      </c>
      <c r="C1654" s="1" t="s">
        <v>26</v>
      </c>
      <c r="D1654" s="2" t="s">
        <v>244</v>
      </c>
      <c r="E1654" s="2" t="s">
        <v>244</v>
      </c>
      <c r="F1654" s="2" t="s">
        <v>11</v>
      </c>
      <c r="G1654" s="3" t="s">
        <v>1787</v>
      </c>
      <c r="H1654" s="1" t="s">
        <v>12</v>
      </c>
      <c r="I1654" s="1" t="s">
        <v>32</v>
      </c>
      <c r="J1654" s="1" t="s">
        <v>14</v>
      </c>
    </row>
    <row r="1655" spans="2:10" x14ac:dyDescent="0.3">
      <c r="B1655" s="1" t="s">
        <v>1971</v>
      </c>
      <c r="C1655" s="1" t="s">
        <v>29</v>
      </c>
      <c r="D1655" s="2" t="s">
        <v>397</v>
      </c>
      <c r="E1655" s="2" t="s">
        <v>397</v>
      </c>
      <c r="F1655" s="2" t="s">
        <v>11</v>
      </c>
      <c r="G1655" s="3" t="s">
        <v>1979</v>
      </c>
      <c r="H1655" s="1" t="s">
        <v>12</v>
      </c>
      <c r="I1655" s="1" t="s">
        <v>94</v>
      </c>
      <c r="J1655" s="1" t="s">
        <v>14</v>
      </c>
    </row>
    <row r="1656" spans="2:10" x14ac:dyDescent="0.3">
      <c r="B1656" s="1" t="s">
        <v>1971</v>
      </c>
      <c r="C1656" s="1" t="s">
        <v>21</v>
      </c>
      <c r="D1656" s="2" t="s">
        <v>783</v>
      </c>
      <c r="E1656" s="2" t="s">
        <v>783</v>
      </c>
      <c r="F1656" s="2" t="s">
        <v>11</v>
      </c>
      <c r="G1656" s="3" t="s">
        <v>799</v>
      </c>
      <c r="H1656" s="1" t="s">
        <v>12</v>
      </c>
      <c r="I1656" s="1" t="s">
        <v>89</v>
      </c>
      <c r="J1656" s="1" t="s">
        <v>14</v>
      </c>
    </row>
    <row r="1657" spans="2:10" x14ac:dyDescent="0.3">
      <c r="B1657" s="1" t="s">
        <v>1971</v>
      </c>
      <c r="C1657" s="1" t="s">
        <v>23</v>
      </c>
      <c r="D1657" s="2" t="s">
        <v>702</v>
      </c>
      <c r="E1657" s="2" t="s">
        <v>702</v>
      </c>
      <c r="F1657" s="2" t="s">
        <v>11</v>
      </c>
      <c r="G1657" s="3" t="s">
        <v>1980</v>
      </c>
      <c r="H1657" s="1" t="s">
        <v>12</v>
      </c>
      <c r="I1657" s="1" t="s">
        <v>69</v>
      </c>
      <c r="J1657" s="1" t="s">
        <v>14</v>
      </c>
    </row>
    <row r="1658" spans="2:10" x14ac:dyDescent="0.3">
      <c r="B1658" s="1" t="s">
        <v>1971</v>
      </c>
      <c r="C1658" s="1" t="s">
        <v>36</v>
      </c>
      <c r="D1658" s="2" t="s">
        <v>1456</v>
      </c>
      <c r="E1658" s="2" t="s">
        <v>1456</v>
      </c>
      <c r="F1658" s="2" t="s">
        <v>11</v>
      </c>
      <c r="G1658" s="3" t="s">
        <v>1981</v>
      </c>
      <c r="H1658" s="1" t="s">
        <v>12</v>
      </c>
      <c r="I1658" s="1" t="s">
        <v>64</v>
      </c>
      <c r="J1658" s="1" t="s">
        <v>14</v>
      </c>
    </row>
    <row r="1659" spans="2:10" x14ac:dyDescent="0.3">
      <c r="B1659" s="1" t="s">
        <v>1971</v>
      </c>
      <c r="C1659" s="1" t="s">
        <v>28</v>
      </c>
      <c r="D1659" s="2" t="s">
        <v>777</v>
      </c>
      <c r="E1659" s="2" t="s">
        <v>777</v>
      </c>
      <c r="F1659" s="2" t="s">
        <v>11</v>
      </c>
      <c r="G1659" s="3" t="s">
        <v>1982</v>
      </c>
      <c r="H1659" s="1" t="s">
        <v>12</v>
      </c>
      <c r="I1659" s="1" t="s">
        <v>64</v>
      </c>
      <c r="J1659" s="1" t="s">
        <v>14</v>
      </c>
    </row>
    <row r="1660" spans="2:10" x14ac:dyDescent="0.3">
      <c r="B1660" s="1" t="s">
        <v>1971</v>
      </c>
      <c r="C1660" s="1" t="s">
        <v>24</v>
      </c>
      <c r="D1660" s="2" t="s">
        <v>268</v>
      </c>
      <c r="E1660" s="2" t="s">
        <v>268</v>
      </c>
      <c r="F1660" s="2" t="s">
        <v>11</v>
      </c>
      <c r="G1660" s="3" t="s">
        <v>1983</v>
      </c>
      <c r="H1660" s="1" t="s">
        <v>12</v>
      </c>
      <c r="I1660" s="1" t="s">
        <v>42</v>
      </c>
      <c r="J1660" s="1" t="s">
        <v>14</v>
      </c>
    </row>
    <row r="1661" spans="2:10" x14ac:dyDescent="0.3">
      <c r="B1661" s="1" t="s">
        <v>1971</v>
      </c>
      <c r="C1661" s="1" t="s">
        <v>10</v>
      </c>
      <c r="D1661" s="2" t="s">
        <v>702</v>
      </c>
      <c r="E1661" s="2" t="s">
        <v>702</v>
      </c>
      <c r="F1661" s="2" t="s">
        <v>11</v>
      </c>
      <c r="G1661" s="3" t="s">
        <v>1658</v>
      </c>
      <c r="H1661" s="1" t="s">
        <v>12</v>
      </c>
      <c r="I1661" s="1" t="s">
        <v>64</v>
      </c>
      <c r="J1661" s="1" t="s">
        <v>14</v>
      </c>
    </row>
    <row r="1662" spans="2:10" x14ac:dyDescent="0.3">
      <c r="B1662" s="1" t="s">
        <v>1971</v>
      </c>
      <c r="C1662" s="1" t="s">
        <v>38</v>
      </c>
      <c r="D1662" s="2" t="s">
        <v>836</v>
      </c>
      <c r="E1662" s="2" t="s">
        <v>836</v>
      </c>
      <c r="F1662" s="2" t="s">
        <v>11</v>
      </c>
      <c r="G1662" s="3" t="s">
        <v>1544</v>
      </c>
      <c r="H1662" s="1" t="s">
        <v>12</v>
      </c>
      <c r="I1662" s="1" t="s">
        <v>66</v>
      </c>
      <c r="J1662" s="1" t="s">
        <v>14</v>
      </c>
    </row>
    <row r="1663" spans="2:10" x14ac:dyDescent="0.3">
      <c r="B1663" s="1" t="s">
        <v>1971</v>
      </c>
      <c r="C1663" s="1" t="s">
        <v>33</v>
      </c>
      <c r="D1663" s="2" t="s">
        <v>397</v>
      </c>
      <c r="E1663" s="2" t="s">
        <v>397</v>
      </c>
      <c r="F1663" s="2" t="s">
        <v>11</v>
      </c>
      <c r="G1663" s="3" t="s">
        <v>1984</v>
      </c>
      <c r="H1663" s="1" t="s">
        <v>12</v>
      </c>
      <c r="I1663" s="1" t="s">
        <v>68</v>
      </c>
      <c r="J1663" s="1" t="s">
        <v>14</v>
      </c>
    </row>
    <row r="1664" spans="2:10" x14ac:dyDescent="0.3">
      <c r="B1664" s="1" t="s">
        <v>1971</v>
      </c>
      <c r="C1664" s="1" t="s">
        <v>19</v>
      </c>
      <c r="D1664" s="2" t="s">
        <v>702</v>
      </c>
      <c r="E1664" s="2" t="s">
        <v>702</v>
      </c>
      <c r="F1664" s="2" t="s">
        <v>11</v>
      </c>
      <c r="G1664" s="3" t="s">
        <v>1214</v>
      </c>
      <c r="H1664" s="1" t="s">
        <v>12</v>
      </c>
      <c r="I1664" s="1" t="s">
        <v>18</v>
      </c>
      <c r="J1664" s="1" t="s">
        <v>14</v>
      </c>
    </row>
    <row r="1665" spans="2:10" x14ac:dyDescent="0.3">
      <c r="B1665" s="1" t="s">
        <v>1971</v>
      </c>
      <c r="C1665" s="1" t="s">
        <v>43</v>
      </c>
      <c r="D1665" s="2" t="s">
        <v>693</v>
      </c>
      <c r="E1665" s="2" t="s">
        <v>693</v>
      </c>
      <c r="F1665" s="2" t="s">
        <v>11</v>
      </c>
      <c r="G1665" s="3" t="s">
        <v>1636</v>
      </c>
      <c r="H1665" s="1" t="s">
        <v>12</v>
      </c>
      <c r="I1665" s="1" t="s">
        <v>27</v>
      </c>
      <c r="J1665" s="1" t="s">
        <v>14</v>
      </c>
    </row>
    <row r="1666" spans="2:10" x14ac:dyDescent="0.3">
      <c r="B1666" s="1" t="s">
        <v>1985</v>
      </c>
      <c r="C1666" s="1" t="s">
        <v>35</v>
      </c>
      <c r="D1666" s="2" t="s">
        <v>489</v>
      </c>
      <c r="E1666" s="2" t="s">
        <v>489</v>
      </c>
      <c r="F1666" s="2" t="s">
        <v>11</v>
      </c>
      <c r="G1666" s="3" t="s">
        <v>237</v>
      </c>
      <c r="H1666" s="1" t="s">
        <v>12</v>
      </c>
      <c r="I1666" s="1" t="s">
        <v>16</v>
      </c>
      <c r="J1666" s="1" t="s">
        <v>14</v>
      </c>
    </row>
    <row r="1667" spans="2:10" x14ac:dyDescent="0.3">
      <c r="B1667" s="1" t="s">
        <v>1985</v>
      </c>
      <c r="C1667" s="1" t="s">
        <v>15</v>
      </c>
      <c r="D1667" s="2" t="s">
        <v>489</v>
      </c>
      <c r="E1667" s="2" t="s">
        <v>489</v>
      </c>
      <c r="F1667" s="2" t="s">
        <v>11</v>
      </c>
      <c r="G1667" s="3" t="s">
        <v>1986</v>
      </c>
      <c r="H1667" s="1" t="s">
        <v>12</v>
      </c>
      <c r="I1667" s="1" t="s">
        <v>63</v>
      </c>
      <c r="J1667" s="1" t="s">
        <v>14</v>
      </c>
    </row>
    <row r="1668" spans="2:10" x14ac:dyDescent="0.3">
      <c r="B1668" s="1" t="s">
        <v>1985</v>
      </c>
      <c r="C1668" s="1" t="s">
        <v>21</v>
      </c>
      <c r="D1668" s="2" t="s">
        <v>489</v>
      </c>
      <c r="E1668" s="2" t="s">
        <v>489</v>
      </c>
      <c r="F1668" s="2" t="s">
        <v>11</v>
      </c>
      <c r="G1668" s="3" t="s">
        <v>253</v>
      </c>
      <c r="H1668" s="1" t="s">
        <v>12</v>
      </c>
      <c r="I1668" s="1" t="s">
        <v>62</v>
      </c>
      <c r="J1668" s="1" t="s">
        <v>14</v>
      </c>
    </row>
    <row r="1669" spans="2:10" x14ac:dyDescent="0.3">
      <c r="B1669" s="1" t="s">
        <v>1985</v>
      </c>
      <c r="C1669" s="1" t="s">
        <v>36</v>
      </c>
      <c r="D1669" s="2" t="s">
        <v>489</v>
      </c>
      <c r="E1669" s="2" t="s">
        <v>489</v>
      </c>
      <c r="F1669" s="2" t="s">
        <v>11</v>
      </c>
      <c r="G1669" s="3" t="s">
        <v>392</v>
      </c>
      <c r="H1669" s="1" t="s">
        <v>12</v>
      </c>
      <c r="I1669" s="1" t="s">
        <v>55</v>
      </c>
      <c r="J1669" s="1" t="s">
        <v>14</v>
      </c>
    </row>
    <row r="1670" spans="2:10" x14ac:dyDescent="0.3">
      <c r="B1670" s="1" t="s">
        <v>1985</v>
      </c>
      <c r="C1670" s="1" t="s">
        <v>45</v>
      </c>
      <c r="D1670" s="2" t="s">
        <v>489</v>
      </c>
      <c r="E1670" s="2" t="s">
        <v>489</v>
      </c>
      <c r="F1670" s="2" t="s">
        <v>11</v>
      </c>
      <c r="G1670" s="3" t="s">
        <v>1987</v>
      </c>
      <c r="H1670" s="1" t="s">
        <v>12</v>
      </c>
      <c r="I1670" s="1" t="s">
        <v>22</v>
      </c>
      <c r="J1670" s="1" t="s">
        <v>14</v>
      </c>
    </row>
    <row r="1671" spans="2:10" x14ac:dyDescent="0.3">
      <c r="B1671" s="1" t="s">
        <v>1985</v>
      </c>
      <c r="C1671" s="1" t="s">
        <v>28</v>
      </c>
      <c r="D1671" s="2" t="s">
        <v>376</v>
      </c>
      <c r="E1671" s="2" t="s">
        <v>376</v>
      </c>
      <c r="F1671" s="2" t="s">
        <v>11</v>
      </c>
      <c r="G1671" s="3" t="s">
        <v>824</v>
      </c>
      <c r="H1671" s="1" t="s">
        <v>12</v>
      </c>
      <c r="I1671" s="1" t="s">
        <v>64</v>
      </c>
      <c r="J1671" s="1" t="s">
        <v>14</v>
      </c>
    </row>
    <row r="1672" spans="2:10" x14ac:dyDescent="0.3">
      <c r="B1672" s="1" t="s">
        <v>1985</v>
      </c>
      <c r="C1672" s="1" t="s">
        <v>38</v>
      </c>
      <c r="D1672" s="2" t="s">
        <v>489</v>
      </c>
      <c r="E1672" s="2" t="s">
        <v>489</v>
      </c>
      <c r="F1672" s="2" t="s">
        <v>11</v>
      </c>
      <c r="G1672" s="3" t="s">
        <v>1470</v>
      </c>
      <c r="H1672" s="1" t="s">
        <v>12</v>
      </c>
      <c r="I1672" s="1" t="s">
        <v>93</v>
      </c>
      <c r="J1672" s="1" t="s">
        <v>14</v>
      </c>
    </row>
    <row r="1673" spans="2:10" x14ac:dyDescent="0.3">
      <c r="B1673" s="1" t="s">
        <v>1985</v>
      </c>
      <c r="C1673" s="1" t="s">
        <v>19</v>
      </c>
      <c r="D1673" s="2" t="s">
        <v>1888</v>
      </c>
      <c r="E1673" s="2" t="s">
        <v>1888</v>
      </c>
      <c r="F1673" s="2" t="s">
        <v>11</v>
      </c>
      <c r="G1673" s="3" t="s">
        <v>1490</v>
      </c>
      <c r="H1673" s="1" t="s">
        <v>12</v>
      </c>
      <c r="I1673" s="1" t="s">
        <v>75</v>
      </c>
      <c r="J1673" s="1" t="s">
        <v>14</v>
      </c>
    </row>
    <row r="1674" spans="2:10" x14ac:dyDescent="0.3">
      <c r="B1674" s="1" t="s">
        <v>1985</v>
      </c>
      <c r="C1674" s="1" t="s">
        <v>43</v>
      </c>
      <c r="D1674" s="2" t="s">
        <v>635</v>
      </c>
      <c r="E1674" s="2" t="s">
        <v>762</v>
      </c>
      <c r="F1674" s="2" t="s">
        <v>11</v>
      </c>
      <c r="G1674" s="3" t="s">
        <v>1988</v>
      </c>
      <c r="H1674" s="1" t="s">
        <v>12</v>
      </c>
      <c r="I1674" s="1" t="s">
        <v>15</v>
      </c>
      <c r="J1674" s="1" t="s">
        <v>52</v>
      </c>
    </row>
    <row r="1675" spans="2:10" x14ac:dyDescent="0.3">
      <c r="B1675" s="1" t="s">
        <v>1985</v>
      </c>
      <c r="C1675" s="1" t="s">
        <v>29</v>
      </c>
      <c r="D1675" s="2" t="s">
        <v>376</v>
      </c>
      <c r="E1675" s="2" t="s">
        <v>376</v>
      </c>
      <c r="F1675" s="2" t="s">
        <v>11</v>
      </c>
      <c r="G1675" s="3" t="s">
        <v>1775</v>
      </c>
      <c r="H1675" s="1" t="s">
        <v>12</v>
      </c>
      <c r="I1675" s="1" t="s">
        <v>49</v>
      </c>
      <c r="J1675" s="1" t="s">
        <v>14</v>
      </c>
    </row>
    <row r="1676" spans="2:10" x14ac:dyDescent="0.3">
      <c r="B1676" s="1" t="s">
        <v>1985</v>
      </c>
      <c r="C1676" s="1" t="s">
        <v>41</v>
      </c>
      <c r="D1676" s="2" t="s">
        <v>489</v>
      </c>
      <c r="E1676" s="2" t="s">
        <v>489</v>
      </c>
      <c r="F1676" s="2" t="s">
        <v>11</v>
      </c>
      <c r="G1676" s="3" t="s">
        <v>1989</v>
      </c>
      <c r="H1676" s="1" t="s">
        <v>12</v>
      </c>
      <c r="I1676" s="1" t="s">
        <v>42</v>
      </c>
      <c r="J1676" s="1" t="s">
        <v>14</v>
      </c>
    </row>
    <row r="1677" spans="2:10" x14ac:dyDescent="0.3">
      <c r="B1677" s="1" t="s">
        <v>1985</v>
      </c>
      <c r="C1677" s="1" t="s">
        <v>23</v>
      </c>
      <c r="D1677" s="2" t="s">
        <v>693</v>
      </c>
      <c r="E1677" s="2" t="s">
        <v>693</v>
      </c>
      <c r="F1677" s="2" t="s">
        <v>11</v>
      </c>
      <c r="G1677" s="3" t="s">
        <v>1990</v>
      </c>
      <c r="H1677" s="1" t="s">
        <v>12</v>
      </c>
      <c r="I1677" s="1" t="s">
        <v>87</v>
      </c>
      <c r="J1677" s="1" t="s">
        <v>14</v>
      </c>
    </row>
    <row r="1678" spans="2:10" x14ac:dyDescent="0.3">
      <c r="B1678" s="1" t="s">
        <v>1985</v>
      </c>
      <c r="C1678" s="1" t="s">
        <v>26</v>
      </c>
      <c r="D1678" s="2" t="s">
        <v>376</v>
      </c>
      <c r="E1678" s="2" t="s">
        <v>376</v>
      </c>
      <c r="F1678" s="2" t="s">
        <v>11</v>
      </c>
      <c r="G1678" s="3" t="s">
        <v>1991</v>
      </c>
      <c r="H1678" s="1" t="s">
        <v>12</v>
      </c>
      <c r="I1678" s="1" t="s">
        <v>13</v>
      </c>
      <c r="J1678" s="1" t="s">
        <v>14</v>
      </c>
    </row>
    <row r="1679" spans="2:10" x14ac:dyDescent="0.3">
      <c r="B1679" s="1" t="s">
        <v>1985</v>
      </c>
      <c r="C1679" s="1" t="s">
        <v>24</v>
      </c>
      <c r="D1679" s="2" t="s">
        <v>489</v>
      </c>
      <c r="E1679" s="2" t="s">
        <v>489</v>
      </c>
      <c r="F1679" s="2" t="s">
        <v>11</v>
      </c>
      <c r="G1679" s="3" t="s">
        <v>1992</v>
      </c>
      <c r="H1679" s="1" t="s">
        <v>12</v>
      </c>
      <c r="I1679" s="1" t="s">
        <v>32</v>
      </c>
      <c r="J1679" s="1" t="s">
        <v>14</v>
      </c>
    </row>
    <row r="1680" spans="2:10" x14ac:dyDescent="0.3">
      <c r="B1680" s="1" t="s">
        <v>1985</v>
      </c>
      <c r="C1680" s="1" t="s">
        <v>33</v>
      </c>
      <c r="D1680" s="2" t="s">
        <v>506</v>
      </c>
      <c r="E1680" s="2" t="s">
        <v>506</v>
      </c>
      <c r="F1680" s="2" t="s">
        <v>11</v>
      </c>
      <c r="G1680" s="3" t="s">
        <v>1993</v>
      </c>
      <c r="H1680" s="1" t="s">
        <v>12</v>
      </c>
      <c r="I1680" s="1" t="s">
        <v>77</v>
      </c>
      <c r="J1680" s="1" t="s">
        <v>14</v>
      </c>
    </row>
    <row r="1681" spans="2:10" x14ac:dyDescent="0.3">
      <c r="B1681" s="1" t="s">
        <v>1985</v>
      </c>
      <c r="C1681" s="1" t="s">
        <v>39</v>
      </c>
      <c r="D1681" s="2" t="s">
        <v>686</v>
      </c>
      <c r="E1681" s="2" t="s">
        <v>686</v>
      </c>
      <c r="F1681" s="2" t="s">
        <v>11</v>
      </c>
      <c r="G1681" s="3" t="s">
        <v>1760</v>
      </c>
      <c r="H1681" s="1" t="s">
        <v>12</v>
      </c>
      <c r="I1681" s="1" t="s">
        <v>51</v>
      </c>
      <c r="J1681" s="1" t="s">
        <v>14</v>
      </c>
    </row>
    <row r="1682" spans="2:10" x14ac:dyDescent="0.3">
      <c r="B1682" s="1" t="s">
        <v>1985</v>
      </c>
      <c r="C1682" s="1" t="s">
        <v>31</v>
      </c>
      <c r="D1682" s="2" t="s">
        <v>877</v>
      </c>
      <c r="E1682" s="2" t="s">
        <v>877</v>
      </c>
      <c r="F1682" s="2" t="s">
        <v>11</v>
      </c>
      <c r="G1682" s="3" t="s">
        <v>1803</v>
      </c>
      <c r="H1682" s="1" t="s">
        <v>12</v>
      </c>
      <c r="I1682" s="1" t="s">
        <v>89</v>
      </c>
      <c r="J1682" s="1" t="s">
        <v>14</v>
      </c>
    </row>
    <row r="1683" spans="2:10" x14ac:dyDescent="0.3">
      <c r="B1683" s="1" t="s">
        <v>1985</v>
      </c>
      <c r="C1683" s="1" t="s">
        <v>17</v>
      </c>
      <c r="D1683" s="2" t="s">
        <v>376</v>
      </c>
      <c r="E1683" s="2" t="s">
        <v>376</v>
      </c>
      <c r="F1683" s="2" t="s">
        <v>11</v>
      </c>
      <c r="G1683" s="3" t="s">
        <v>685</v>
      </c>
      <c r="H1683" s="1" t="s">
        <v>12</v>
      </c>
      <c r="I1683" s="1" t="s">
        <v>76</v>
      </c>
      <c r="J1683" s="1" t="s">
        <v>14</v>
      </c>
    </row>
    <row r="1684" spans="2:10" x14ac:dyDescent="0.3">
      <c r="B1684" s="1" t="s">
        <v>1985</v>
      </c>
      <c r="C1684" s="1" t="s">
        <v>46</v>
      </c>
      <c r="D1684" s="2" t="s">
        <v>502</v>
      </c>
      <c r="E1684" s="2" t="s">
        <v>502</v>
      </c>
      <c r="F1684" s="2" t="s">
        <v>11</v>
      </c>
      <c r="G1684" s="3" t="s">
        <v>1994</v>
      </c>
      <c r="H1684" s="1" t="s">
        <v>12</v>
      </c>
      <c r="I1684" s="1" t="s">
        <v>41</v>
      </c>
      <c r="J1684" s="1" t="s">
        <v>14</v>
      </c>
    </row>
    <row r="1685" spans="2:10" x14ac:dyDescent="0.3">
      <c r="B1685" s="1" t="s">
        <v>1985</v>
      </c>
      <c r="C1685" s="1" t="s">
        <v>10</v>
      </c>
      <c r="D1685" s="2" t="s">
        <v>489</v>
      </c>
      <c r="E1685" s="2" t="s">
        <v>489</v>
      </c>
      <c r="F1685" s="2" t="s">
        <v>11</v>
      </c>
      <c r="G1685" s="3" t="s">
        <v>1995</v>
      </c>
      <c r="H1685" s="1" t="s">
        <v>12</v>
      </c>
      <c r="I1685" s="1" t="s">
        <v>61</v>
      </c>
      <c r="J1685" s="1" t="s">
        <v>14</v>
      </c>
    </row>
    <row r="1686" spans="2:10" x14ac:dyDescent="0.3">
      <c r="B1686" s="1" t="s">
        <v>1996</v>
      </c>
      <c r="C1686" s="1" t="s">
        <v>31</v>
      </c>
      <c r="D1686" s="2" t="s">
        <v>337</v>
      </c>
      <c r="E1686" s="2" t="s">
        <v>337</v>
      </c>
      <c r="F1686" s="2" t="s">
        <v>11</v>
      </c>
      <c r="G1686" s="3" t="s">
        <v>1997</v>
      </c>
      <c r="H1686" s="1" t="s">
        <v>12</v>
      </c>
      <c r="I1686" s="1" t="s">
        <v>16</v>
      </c>
      <c r="J1686" s="1" t="s">
        <v>14</v>
      </c>
    </row>
    <row r="1687" spans="2:10" x14ac:dyDescent="0.3">
      <c r="B1687" s="1" t="s">
        <v>1996</v>
      </c>
      <c r="C1687" s="1" t="s">
        <v>36</v>
      </c>
      <c r="D1687" s="2" t="s">
        <v>240</v>
      </c>
      <c r="E1687" s="2" t="s">
        <v>240</v>
      </c>
      <c r="F1687" s="2" t="s">
        <v>11</v>
      </c>
      <c r="G1687" s="3" t="s">
        <v>1998</v>
      </c>
      <c r="H1687" s="1" t="s">
        <v>12</v>
      </c>
      <c r="I1687" s="1" t="s">
        <v>62</v>
      </c>
      <c r="J1687" s="1" t="s">
        <v>14</v>
      </c>
    </row>
    <row r="1688" spans="2:10" x14ac:dyDescent="0.3">
      <c r="B1688" s="1" t="s">
        <v>1996</v>
      </c>
      <c r="C1688" s="1" t="s">
        <v>41</v>
      </c>
      <c r="D1688" s="2" t="s">
        <v>311</v>
      </c>
      <c r="E1688" s="2" t="s">
        <v>311</v>
      </c>
      <c r="F1688" s="2" t="s">
        <v>11</v>
      </c>
      <c r="G1688" s="3" t="s">
        <v>1999</v>
      </c>
      <c r="H1688" s="1" t="s">
        <v>12</v>
      </c>
      <c r="I1688" s="1" t="s">
        <v>69</v>
      </c>
      <c r="J1688" s="1" t="s">
        <v>14</v>
      </c>
    </row>
    <row r="1689" spans="2:10" x14ac:dyDescent="0.3">
      <c r="B1689" s="1" t="s">
        <v>1996</v>
      </c>
      <c r="C1689" s="1" t="s">
        <v>10</v>
      </c>
      <c r="D1689" s="2" t="s">
        <v>240</v>
      </c>
      <c r="E1689" s="2" t="s">
        <v>240</v>
      </c>
      <c r="F1689" s="2" t="s">
        <v>11</v>
      </c>
      <c r="G1689" s="3" t="s">
        <v>2000</v>
      </c>
      <c r="H1689" s="1" t="s">
        <v>12</v>
      </c>
      <c r="I1689" s="1" t="s">
        <v>18</v>
      </c>
      <c r="J1689" s="1" t="s">
        <v>14</v>
      </c>
    </row>
    <row r="1690" spans="2:10" x14ac:dyDescent="0.3">
      <c r="B1690" s="1" t="s">
        <v>1996</v>
      </c>
      <c r="C1690" s="1" t="s">
        <v>33</v>
      </c>
      <c r="D1690" s="2" t="s">
        <v>2001</v>
      </c>
      <c r="E1690" s="2" t="s">
        <v>2002</v>
      </c>
      <c r="F1690" s="2" t="s">
        <v>11</v>
      </c>
      <c r="G1690" s="3" t="s">
        <v>950</v>
      </c>
      <c r="H1690" s="1" t="s">
        <v>12</v>
      </c>
      <c r="I1690" s="1" t="s">
        <v>16</v>
      </c>
      <c r="J1690" s="1" t="s">
        <v>52</v>
      </c>
    </row>
    <row r="1691" spans="2:10" x14ac:dyDescent="0.3">
      <c r="B1691" s="1" t="s">
        <v>1996</v>
      </c>
      <c r="C1691" s="1" t="s">
        <v>17</v>
      </c>
      <c r="D1691" s="2" t="s">
        <v>584</v>
      </c>
      <c r="E1691" s="2" t="s">
        <v>584</v>
      </c>
      <c r="F1691" s="2" t="s">
        <v>11</v>
      </c>
      <c r="G1691" s="3" t="s">
        <v>2003</v>
      </c>
      <c r="H1691" s="1" t="s">
        <v>12</v>
      </c>
      <c r="I1691" s="1" t="s">
        <v>62</v>
      </c>
      <c r="J1691" s="1" t="s">
        <v>14</v>
      </c>
    </row>
    <row r="1692" spans="2:10" x14ac:dyDescent="0.3">
      <c r="B1692" s="1" t="s">
        <v>1996</v>
      </c>
      <c r="C1692" s="1" t="s">
        <v>19</v>
      </c>
      <c r="D1692" s="2" t="s">
        <v>240</v>
      </c>
      <c r="E1692" s="2" t="s">
        <v>240</v>
      </c>
      <c r="F1692" s="2" t="s">
        <v>11</v>
      </c>
      <c r="G1692" s="3" t="s">
        <v>176</v>
      </c>
      <c r="H1692" s="1" t="s">
        <v>12</v>
      </c>
      <c r="I1692" s="1" t="s">
        <v>51</v>
      </c>
      <c r="J1692" s="1" t="s">
        <v>14</v>
      </c>
    </row>
    <row r="1693" spans="2:10" x14ac:dyDescent="0.3">
      <c r="B1693" s="1" t="s">
        <v>1996</v>
      </c>
      <c r="C1693" s="1" t="s">
        <v>38</v>
      </c>
      <c r="D1693" s="2" t="s">
        <v>311</v>
      </c>
      <c r="E1693" s="2" t="s">
        <v>311</v>
      </c>
      <c r="F1693" s="2" t="s">
        <v>11</v>
      </c>
      <c r="G1693" s="3" t="s">
        <v>2004</v>
      </c>
      <c r="H1693" s="1" t="s">
        <v>12</v>
      </c>
      <c r="I1693" s="1" t="s">
        <v>16</v>
      </c>
      <c r="J1693" s="1" t="s">
        <v>14</v>
      </c>
    </row>
    <row r="1694" spans="2:10" x14ac:dyDescent="0.3">
      <c r="B1694" s="1" t="s">
        <v>1996</v>
      </c>
      <c r="C1694" s="1" t="s">
        <v>26</v>
      </c>
      <c r="D1694" s="2" t="s">
        <v>337</v>
      </c>
      <c r="E1694" s="2" t="s">
        <v>337</v>
      </c>
      <c r="F1694" s="2" t="s">
        <v>11</v>
      </c>
      <c r="G1694" s="3" t="s">
        <v>1115</v>
      </c>
      <c r="H1694" s="1" t="s">
        <v>12</v>
      </c>
      <c r="I1694" s="1" t="s">
        <v>63</v>
      </c>
      <c r="J1694" s="1" t="s">
        <v>14</v>
      </c>
    </row>
    <row r="1695" spans="2:10" x14ac:dyDescent="0.3">
      <c r="B1695" s="1" t="s">
        <v>1996</v>
      </c>
      <c r="C1695" s="1" t="s">
        <v>23</v>
      </c>
      <c r="D1695" s="2" t="s">
        <v>337</v>
      </c>
      <c r="E1695" s="2" t="s">
        <v>337</v>
      </c>
      <c r="F1695" s="2" t="s">
        <v>11</v>
      </c>
      <c r="G1695" s="3" t="s">
        <v>2005</v>
      </c>
      <c r="H1695" s="1" t="s">
        <v>12</v>
      </c>
      <c r="I1695" s="1" t="s">
        <v>78</v>
      </c>
      <c r="J1695" s="1" t="s">
        <v>14</v>
      </c>
    </row>
    <row r="1696" spans="2:10" x14ac:dyDescent="0.3">
      <c r="B1696" s="1" t="s">
        <v>1996</v>
      </c>
      <c r="C1696" s="1" t="s">
        <v>46</v>
      </c>
      <c r="D1696" s="2" t="s">
        <v>240</v>
      </c>
      <c r="E1696" s="2" t="s">
        <v>240</v>
      </c>
      <c r="F1696" s="2" t="s">
        <v>11</v>
      </c>
      <c r="G1696" s="3" t="s">
        <v>2006</v>
      </c>
      <c r="H1696" s="1" t="s">
        <v>12</v>
      </c>
      <c r="I1696" s="1" t="s">
        <v>62</v>
      </c>
      <c r="J1696" s="1" t="s">
        <v>14</v>
      </c>
    </row>
    <row r="1697" spans="2:10" x14ac:dyDescent="0.3">
      <c r="B1697" s="1" t="s">
        <v>1996</v>
      </c>
      <c r="C1697" s="1" t="s">
        <v>15</v>
      </c>
      <c r="D1697" s="2" t="s">
        <v>512</v>
      </c>
      <c r="E1697" s="2" t="s">
        <v>512</v>
      </c>
      <c r="F1697" s="2" t="s">
        <v>11</v>
      </c>
      <c r="G1697" s="3" t="s">
        <v>672</v>
      </c>
      <c r="H1697" s="1" t="s">
        <v>12</v>
      </c>
      <c r="I1697" s="1" t="s">
        <v>18</v>
      </c>
      <c r="J1697" s="1" t="s">
        <v>14</v>
      </c>
    </row>
    <row r="1698" spans="2:10" x14ac:dyDescent="0.3">
      <c r="B1698" s="1" t="s">
        <v>1996</v>
      </c>
      <c r="C1698" s="1" t="s">
        <v>39</v>
      </c>
      <c r="D1698" s="2" t="s">
        <v>316</v>
      </c>
      <c r="E1698" s="2" t="s">
        <v>316</v>
      </c>
      <c r="F1698" s="2" t="s">
        <v>11</v>
      </c>
      <c r="G1698" s="3" t="s">
        <v>2007</v>
      </c>
      <c r="H1698" s="1" t="s">
        <v>12</v>
      </c>
      <c r="I1698" s="1" t="s">
        <v>80</v>
      </c>
      <c r="J1698" s="1" t="s">
        <v>14</v>
      </c>
    </row>
    <row r="1699" spans="2:10" x14ac:dyDescent="0.3">
      <c r="B1699" s="1" t="s">
        <v>1996</v>
      </c>
      <c r="C1699" s="1" t="s">
        <v>43</v>
      </c>
      <c r="D1699" s="2" t="s">
        <v>758</v>
      </c>
      <c r="E1699" s="2" t="s">
        <v>758</v>
      </c>
      <c r="F1699" s="2" t="s">
        <v>11</v>
      </c>
      <c r="G1699" s="3" t="s">
        <v>2008</v>
      </c>
      <c r="H1699" s="1" t="s">
        <v>12</v>
      </c>
      <c r="I1699" s="1" t="s">
        <v>47</v>
      </c>
      <c r="J1699" s="1" t="s">
        <v>14</v>
      </c>
    </row>
    <row r="1700" spans="2:10" x14ac:dyDescent="0.3">
      <c r="B1700" s="1" t="s">
        <v>1996</v>
      </c>
      <c r="C1700" s="1" t="s">
        <v>21</v>
      </c>
      <c r="D1700" s="2" t="s">
        <v>240</v>
      </c>
      <c r="E1700" s="2" t="s">
        <v>240</v>
      </c>
      <c r="F1700" s="2" t="s">
        <v>11</v>
      </c>
      <c r="G1700" s="3" t="s">
        <v>2009</v>
      </c>
      <c r="H1700" s="1" t="s">
        <v>12</v>
      </c>
      <c r="I1700" s="1" t="s">
        <v>71</v>
      </c>
      <c r="J1700" s="1" t="s">
        <v>14</v>
      </c>
    </row>
    <row r="1701" spans="2:10" x14ac:dyDescent="0.3">
      <c r="B1701" s="1" t="s">
        <v>1996</v>
      </c>
      <c r="C1701" s="1" t="s">
        <v>24</v>
      </c>
      <c r="D1701" s="2" t="s">
        <v>875</v>
      </c>
      <c r="E1701" s="2" t="s">
        <v>875</v>
      </c>
      <c r="F1701" s="2" t="s">
        <v>11</v>
      </c>
      <c r="G1701" s="3" t="s">
        <v>2010</v>
      </c>
      <c r="H1701" s="1" t="s">
        <v>12</v>
      </c>
      <c r="I1701" s="1" t="s">
        <v>73</v>
      </c>
      <c r="J1701" s="1" t="s">
        <v>14</v>
      </c>
    </row>
    <row r="1702" spans="2:10" x14ac:dyDescent="0.3">
      <c r="B1702" s="1" t="s">
        <v>1996</v>
      </c>
      <c r="C1702" s="1" t="s">
        <v>28</v>
      </c>
      <c r="D1702" s="2" t="s">
        <v>185</v>
      </c>
      <c r="E1702" s="2" t="s">
        <v>185</v>
      </c>
      <c r="F1702" s="2" t="s">
        <v>11</v>
      </c>
      <c r="G1702" s="3" t="s">
        <v>1153</v>
      </c>
      <c r="H1702" s="1" t="s">
        <v>12</v>
      </c>
      <c r="I1702" s="1" t="s">
        <v>80</v>
      </c>
      <c r="J1702" s="1" t="s">
        <v>14</v>
      </c>
    </row>
    <row r="1703" spans="2:10" x14ac:dyDescent="0.3">
      <c r="B1703" s="1" t="s">
        <v>1996</v>
      </c>
      <c r="C1703" s="1" t="s">
        <v>29</v>
      </c>
      <c r="D1703" s="2" t="s">
        <v>438</v>
      </c>
      <c r="E1703" s="2" t="s">
        <v>438</v>
      </c>
      <c r="F1703" s="2" t="s">
        <v>11</v>
      </c>
      <c r="G1703" s="3" t="s">
        <v>1683</v>
      </c>
      <c r="H1703" s="1" t="s">
        <v>12</v>
      </c>
      <c r="I1703" s="1" t="s">
        <v>62</v>
      </c>
      <c r="J1703" s="1" t="s">
        <v>14</v>
      </c>
    </row>
    <row r="1704" spans="2:10" x14ac:dyDescent="0.3">
      <c r="B1704" s="1" t="s">
        <v>1996</v>
      </c>
      <c r="C1704" s="1" t="s">
        <v>35</v>
      </c>
      <c r="D1704" s="2" t="s">
        <v>311</v>
      </c>
      <c r="E1704" s="2" t="s">
        <v>311</v>
      </c>
      <c r="F1704" s="2" t="s">
        <v>11</v>
      </c>
      <c r="G1704" s="3" t="s">
        <v>255</v>
      </c>
      <c r="H1704" s="1" t="s">
        <v>12</v>
      </c>
      <c r="I1704" s="1" t="s">
        <v>47</v>
      </c>
      <c r="J1704" s="1" t="s">
        <v>14</v>
      </c>
    </row>
    <row r="1705" spans="2:10" x14ac:dyDescent="0.3">
      <c r="B1705" s="1" t="s">
        <v>1996</v>
      </c>
      <c r="C1705" s="1" t="s">
        <v>45</v>
      </c>
      <c r="D1705" s="2" t="s">
        <v>240</v>
      </c>
      <c r="E1705" s="2" t="s">
        <v>240</v>
      </c>
      <c r="F1705" s="2" t="s">
        <v>11</v>
      </c>
      <c r="G1705" s="3" t="s">
        <v>2011</v>
      </c>
      <c r="H1705" s="1" t="s">
        <v>12</v>
      </c>
      <c r="I1705" s="1" t="s">
        <v>51</v>
      </c>
      <c r="J1705" s="1" t="s">
        <v>14</v>
      </c>
    </row>
    <row r="1706" spans="2:10" x14ac:dyDescent="0.3">
      <c r="B1706" s="1" t="s">
        <v>2012</v>
      </c>
      <c r="C1706" s="1" t="s">
        <v>46</v>
      </c>
      <c r="D1706" s="2" t="s">
        <v>244</v>
      </c>
      <c r="E1706" s="2" t="s">
        <v>244</v>
      </c>
      <c r="F1706" s="2" t="s">
        <v>11</v>
      </c>
      <c r="G1706" s="3" t="s">
        <v>1745</v>
      </c>
      <c r="H1706" s="1" t="s">
        <v>12</v>
      </c>
      <c r="I1706" s="1" t="s">
        <v>20</v>
      </c>
      <c r="J1706" s="1" t="s">
        <v>14</v>
      </c>
    </row>
    <row r="1707" spans="2:10" x14ac:dyDescent="0.3">
      <c r="B1707" s="1" t="s">
        <v>2012</v>
      </c>
      <c r="C1707" s="1" t="s">
        <v>10</v>
      </c>
      <c r="D1707" s="2" t="s">
        <v>433</v>
      </c>
      <c r="E1707" s="2" t="s">
        <v>433</v>
      </c>
      <c r="F1707" s="2" t="s">
        <v>11</v>
      </c>
      <c r="G1707" s="3" t="s">
        <v>2013</v>
      </c>
      <c r="H1707" s="1" t="s">
        <v>12</v>
      </c>
      <c r="I1707" s="1" t="s">
        <v>58</v>
      </c>
      <c r="J1707" s="1" t="s">
        <v>14</v>
      </c>
    </row>
    <row r="1708" spans="2:10" x14ac:dyDescent="0.3">
      <c r="B1708" s="1" t="s">
        <v>2012</v>
      </c>
      <c r="C1708" s="1" t="s">
        <v>26</v>
      </c>
      <c r="D1708" s="2" t="s">
        <v>836</v>
      </c>
      <c r="E1708" s="2" t="s">
        <v>836</v>
      </c>
      <c r="F1708" s="2" t="s">
        <v>11</v>
      </c>
      <c r="G1708" s="3" t="s">
        <v>2014</v>
      </c>
      <c r="H1708" s="1" t="s">
        <v>12</v>
      </c>
      <c r="I1708" s="1" t="s">
        <v>66</v>
      </c>
      <c r="J1708" s="1" t="s">
        <v>14</v>
      </c>
    </row>
    <row r="1709" spans="2:10" x14ac:dyDescent="0.3">
      <c r="B1709" s="1" t="s">
        <v>2012</v>
      </c>
      <c r="C1709" s="1" t="s">
        <v>21</v>
      </c>
      <c r="D1709" s="2" t="s">
        <v>268</v>
      </c>
      <c r="E1709" s="2" t="s">
        <v>268</v>
      </c>
      <c r="F1709" s="2" t="s">
        <v>11</v>
      </c>
      <c r="G1709" s="3" t="s">
        <v>2015</v>
      </c>
      <c r="H1709" s="1" t="s">
        <v>12</v>
      </c>
      <c r="I1709" s="1" t="s">
        <v>47</v>
      </c>
      <c r="J1709" s="1" t="s">
        <v>14</v>
      </c>
    </row>
    <row r="1710" spans="2:10" x14ac:dyDescent="0.3">
      <c r="B1710" s="1" t="s">
        <v>2012</v>
      </c>
      <c r="C1710" s="1" t="s">
        <v>17</v>
      </c>
      <c r="D1710" s="2" t="s">
        <v>475</v>
      </c>
      <c r="E1710" s="2" t="s">
        <v>475</v>
      </c>
      <c r="F1710" s="2" t="s">
        <v>11</v>
      </c>
      <c r="G1710" s="3" t="s">
        <v>2016</v>
      </c>
      <c r="H1710" s="1" t="s">
        <v>12</v>
      </c>
      <c r="I1710" s="1" t="s">
        <v>64</v>
      </c>
      <c r="J1710" s="1" t="s">
        <v>14</v>
      </c>
    </row>
    <row r="1711" spans="2:10" x14ac:dyDescent="0.3">
      <c r="B1711" s="1" t="s">
        <v>2012</v>
      </c>
      <c r="C1711" s="1" t="s">
        <v>35</v>
      </c>
      <c r="D1711" s="2" t="s">
        <v>268</v>
      </c>
      <c r="E1711" s="2" t="s">
        <v>268</v>
      </c>
      <c r="F1711" s="2" t="s">
        <v>11</v>
      </c>
      <c r="G1711" s="3" t="s">
        <v>2017</v>
      </c>
      <c r="H1711" s="1" t="s">
        <v>12</v>
      </c>
      <c r="I1711" s="1" t="s">
        <v>76</v>
      </c>
      <c r="J1711" s="1" t="s">
        <v>14</v>
      </c>
    </row>
    <row r="1712" spans="2:10" x14ac:dyDescent="0.3">
      <c r="B1712" s="1" t="s">
        <v>2012</v>
      </c>
      <c r="C1712" s="1" t="s">
        <v>24</v>
      </c>
      <c r="D1712" s="2" t="s">
        <v>387</v>
      </c>
      <c r="E1712" s="2" t="s">
        <v>387</v>
      </c>
      <c r="F1712" s="2" t="s">
        <v>11</v>
      </c>
      <c r="G1712" s="3" t="s">
        <v>1253</v>
      </c>
      <c r="H1712" s="1" t="s">
        <v>12</v>
      </c>
      <c r="I1712" s="1" t="s">
        <v>18</v>
      </c>
      <c r="J1712" s="1" t="s">
        <v>14</v>
      </c>
    </row>
    <row r="1713" spans="2:10" x14ac:dyDescent="0.3">
      <c r="B1713" s="1" t="s">
        <v>2012</v>
      </c>
      <c r="C1713" s="1" t="s">
        <v>29</v>
      </c>
      <c r="D1713" s="2" t="s">
        <v>836</v>
      </c>
      <c r="E1713" s="2" t="s">
        <v>836</v>
      </c>
      <c r="F1713" s="2" t="s">
        <v>11</v>
      </c>
      <c r="G1713" s="3" t="s">
        <v>2018</v>
      </c>
      <c r="H1713" s="1" t="s">
        <v>12</v>
      </c>
      <c r="I1713" s="1" t="s">
        <v>49</v>
      </c>
      <c r="J1713" s="1" t="s">
        <v>14</v>
      </c>
    </row>
    <row r="1714" spans="2:10" x14ac:dyDescent="0.3">
      <c r="B1714" s="1" t="s">
        <v>2012</v>
      </c>
      <c r="C1714" s="1" t="s">
        <v>38</v>
      </c>
      <c r="D1714" s="2" t="s">
        <v>836</v>
      </c>
      <c r="E1714" s="2" t="s">
        <v>836</v>
      </c>
      <c r="F1714" s="2" t="s">
        <v>11</v>
      </c>
      <c r="G1714" s="3" t="s">
        <v>1476</v>
      </c>
      <c r="H1714" s="1" t="s">
        <v>12</v>
      </c>
      <c r="I1714" s="1" t="s">
        <v>62</v>
      </c>
      <c r="J1714" s="1" t="s">
        <v>14</v>
      </c>
    </row>
    <row r="1715" spans="2:10" x14ac:dyDescent="0.3">
      <c r="B1715" s="1" t="s">
        <v>2012</v>
      </c>
      <c r="C1715" s="1" t="s">
        <v>23</v>
      </c>
      <c r="D1715" s="2" t="s">
        <v>838</v>
      </c>
      <c r="E1715" s="2" t="s">
        <v>838</v>
      </c>
      <c r="F1715" s="2" t="s">
        <v>11</v>
      </c>
      <c r="G1715" s="3" t="s">
        <v>2019</v>
      </c>
      <c r="H1715" s="1" t="s">
        <v>12</v>
      </c>
      <c r="I1715" s="1" t="s">
        <v>119</v>
      </c>
      <c r="J1715" s="1" t="s">
        <v>14</v>
      </c>
    </row>
    <row r="1716" spans="2:10" x14ac:dyDescent="0.3">
      <c r="B1716" s="1" t="s">
        <v>2012</v>
      </c>
      <c r="C1716" s="1" t="s">
        <v>31</v>
      </c>
      <c r="D1716" s="2" t="s">
        <v>244</v>
      </c>
      <c r="E1716" s="2" t="s">
        <v>244</v>
      </c>
      <c r="F1716" s="2" t="s">
        <v>11</v>
      </c>
      <c r="G1716" s="3" t="s">
        <v>2020</v>
      </c>
      <c r="H1716" s="1" t="s">
        <v>12</v>
      </c>
      <c r="I1716" s="1" t="s">
        <v>57</v>
      </c>
      <c r="J1716" s="1" t="s">
        <v>14</v>
      </c>
    </row>
    <row r="1717" spans="2:10" x14ac:dyDescent="0.3">
      <c r="B1717" s="1" t="s">
        <v>2012</v>
      </c>
      <c r="C1717" s="1" t="s">
        <v>43</v>
      </c>
      <c r="D1717" s="2" t="s">
        <v>836</v>
      </c>
      <c r="E1717" s="2" t="s">
        <v>836</v>
      </c>
      <c r="F1717" s="2" t="s">
        <v>11</v>
      </c>
      <c r="G1717" s="3" t="s">
        <v>2021</v>
      </c>
      <c r="H1717" s="1" t="s">
        <v>12</v>
      </c>
      <c r="I1717" s="1" t="s">
        <v>72</v>
      </c>
      <c r="J1717" s="1" t="s">
        <v>14</v>
      </c>
    </row>
    <row r="1718" spans="2:10" x14ac:dyDescent="0.3">
      <c r="B1718" s="1" t="s">
        <v>2012</v>
      </c>
      <c r="C1718" s="1" t="s">
        <v>45</v>
      </c>
      <c r="D1718" s="2" t="s">
        <v>836</v>
      </c>
      <c r="E1718" s="2" t="s">
        <v>836</v>
      </c>
      <c r="F1718" s="2" t="s">
        <v>11</v>
      </c>
      <c r="G1718" s="3" t="s">
        <v>1202</v>
      </c>
      <c r="H1718" s="1" t="s">
        <v>12</v>
      </c>
      <c r="I1718" s="1" t="s">
        <v>18</v>
      </c>
      <c r="J1718" s="1" t="s">
        <v>14</v>
      </c>
    </row>
    <row r="1719" spans="2:10" x14ac:dyDescent="0.3">
      <c r="B1719" s="1" t="s">
        <v>2012</v>
      </c>
      <c r="C1719" s="1" t="s">
        <v>28</v>
      </c>
      <c r="D1719" s="2" t="s">
        <v>783</v>
      </c>
      <c r="E1719" s="2" t="s">
        <v>783</v>
      </c>
      <c r="F1719" s="2" t="s">
        <v>11</v>
      </c>
      <c r="G1719" s="3" t="s">
        <v>2022</v>
      </c>
      <c r="H1719" s="1" t="s">
        <v>12</v>
      </c>
      <c r="I1719" s="1" t="s">
        <v>64</v>
      </c>
      <c r="J1719" s="1" t="s">
        <v>14</v>
      </c>
    </row>
    <row r="1720" spans="2:10" x14ac:dyDescent="0.3">
      <c r="B1720" s="1" t="s">
        <v>2012</v>
      </c>
      <c r="C1720" s="1" t="s">
        <v>15</v>
      </c>
      <c r="D1720" s="2" t="s">
        <v>387</v>
      </c>
      <c r="E1720" s="2" t="s">
        <v>387</v>
      </c>
      <c r="F1720" s="2" t="s">
        <v>11</v>
      </c>
      <c r="G1720" s="3" t="s">
        <v>2023</v>
      </c>
      <c r="H1720" s="1" t="s">
        <v>12</v>
      </c>
      <c r="I1720" s="1" t="s">
        <v>27</v>
      </c>
      <c r="J1720" s="1" t="s">
        <v>14</v>
      </c>
    </row>
    <row r="1721" spans="2:10" x14ac:dyDescent="0.3">
      <c r="B1721" s="1" t="s">
        <v>2012</v>
      </c>
      <c r="C1721" s="1" t="s">
        <v>39</v>
      </c>
      <c r="D1721" s="2" t="s">
        <v>244</v>
      </c>
      <c r="E1721" s="2" t="s">
        <v>244</v>
      </c>
      <c r="F1721" s="2" t="s">
        <v>11</v>
      </c>
      <c r="G1721" s="3" t="s">
        <v>2024</v>
      </c>
      <c r="H1721" s="1" t="s">
        <v>12</v>
      </c>
      <c r="I1721" s="1" t="s">
        <v>112</v>
      </c>
      <c r="J1721" s="1" t="s">
        <v>14</v>
      </c>
    </row>
    <row r="1722" spans="2:10" x14ac:dyDescent="0.3">
      <c r="B1722" s="1" t="s">
        <v>2012</v>
      </c>
      <c r="C1722" s="1" t="s">
        <v>33</v>
      </c>
      <c r="D1722" s="2" t="s">
        <v>244</v>
      </c>
      <c r="E1722" s="2" t="s">
        <v>244</v>
      </c>
      <c r="F1722" s="2" t="s">
        <v>11</v>
      </c>
      <c r="G1722" s="3" t="s">
        <v>2025</v>
      </c>
      <c r="H1722" s="1" t="s">
        <v>12</v>
      </c>
      <c r="I1722" s="1" t="s">
        <v>49</v>
      </c>
      <c r="J1722" s="1" t="s">
        <v>14</v>
      </c>
    </row>
    <row r="1723" spans="2:10" x14ac:dyDescent="0.3">
      <c r="B1723" s="1" t="s">
        <v>2012</v>
      </c>
      <c r="C1723" s="1" t="s">
        <v>41</v>
      </c>
      <c r="D1723" s="2" t="s">
        <v>256</v>
      </c>
      <c r="E1723" s="2" t="s">
        <v>256</v>
      </c>
      <c r="F1723" s="2" t="s">
        <v>11</v>
      </c>
      <c r="G1723" s="3" t="s">
        <v>1763</v>
      </c>
      <c r="H1723" s="1" t="s">
        <v>12</v>
      </c>
      <c r="I1723" s="1" t="s">
        <v>13</v>
      </c>
      <c r="J1723" s="1" t="s">
        <v>14</v>
      </c>
    </row>
    <row r="1724" spans="2:10" x14ac:dyDescent="0.3">
      <c r="B1724" s="1" t="s">
        <v>2012</v>
      </c>
      <c r="C1724" s="1" t="s">
        <v>36</v>
      </c>
      <c r="D1724" s="2" t="s">
        <v>433</v>
      </c>
      <c r="E1724" s="2" t="s">
        <v>433</v>
      </c>
      <c r="F1724" s="2" t="s">
        <v>11</v>
      </c>
      <c r="G1724" s="3" t="s">
        <v>2026</v>
      </c>
      <c r="H1724" s="1" t="s">
        <v>12</v>
      </c>
      <c r="I1724" s="1" t="s">
        <v>64</v>
      </c>
      <c r="J1724" s="1" t="s">
        <v>14</v>
      </c>
    </row>
    <row r="1725" spans="2:10" x14ac:dyDescent="0.3">
      <c r="B1725" s="1" t="s">
        <v>2012</v>
      </c>
      <c r="C1725" s="1" t="s">
        <v>19</v>
      </c>
      <c r="D1725" s="2" t="s">
        <v>836</v>
      </c>
      <c r="E1725" s="2" t="s">
        <v>836</v>
      </c>
      <c r="F1725" s="2" t="s">
        <v>11</v>
      </c>
      <c r="G1725" s="3" t="s">
        <v>2027</v>
      </c>
      <c r="H1725" s="1" t="s">
        <v>12</v>
      </c>
      <c r="I1725" s="1" t="s">
        <v>66</v>
      </c>
      <c r="J1725" s="1" t="s">
        <v>14</v>
      </c>
    </row>
    <row r="1726" spans="2:10" x14ac:dyDescent="0.3">
      <c r="B1726" s="1" t="s">
        <v>2028</v>
      </c>
      <c r="C1726" s="1" t="s">
        <v>41</v>
      </c>
      <c r="D1726" s="2" t="s">
        <v>2029</v>
      </c>
      <c r="E1726" s="2" t="s">
        <v>2029</v>
      </c>
      <c r="F1726" s="2" t="s">
        <v>11</v>
      </c>
      <c r="G1726" s="3" t="s">
        <v>2030</v>
      </c>
      <c r="H1726" s="1" t="s">
        <v>12</v>
      </c>
      <c r="I1726" s="1" t="s">
        <v>40</v>
      </c>
      <c r="J1726" s="1" t="s">
        <v>14</v>
      </c>
    </row>
    <row r="1727" spans="2:10" x14ac:dyDescent="0.3">
      <c r="B1727" s="1" t="s">
        <v>2028</v>
      </c>
      <c r="C1727" s="1" t="s">
        <v>33</v>
      </c>
      <c r="D1727" s="2" t="s">
        <v>2031</v>
      </c>
      <c r="E1727" s="2" t="s">
        <v>2031</v>
      </c>
      <c r="F1727" s="2" t="s">
        <v>11</v>
      </c>
      <c r="G1727" s="3" t="s">
        <v>2032</v>
      </c>
      <c r="H1727" s="1" t="s">
        <v>12</v>
      </c>
      <c r="I1727" s="1" t="s">
        <v>62</v>
      </c>
      <c r="J1727" s="1" t="s">
        <v>14</v>
      </c>
    </row>
    <row r="1728" spans="2:10" x14ac:dyDescent="0.3">
      <c r="B1728" s="1" t="s">
        <v>2028</v>
      </c>
      <c r="C1728" s="1" t="s">
        <v>38</v>
      </c>
      <c r="D1728" s="2" t="s">
        <v>867</v>
      </c>
      <c r="E1728" s="2" t="s">
        <v>867</v>
      </c>
      <c r="F1728" s="2" t="s">
        <v>11</v>
      </c>
      <c r="G1728" s="3" t="s">
        <v>211</v>
      </c>
      <c r="H1728" s="1" t="s">
        <v>12</v>
      </c>
      <c r="I1728" s="1" t="s">
        <v>69</v>
      </c>
      <c r="J1728" s="1" t="s">
        <v>14</v>
      </c>
    </row>
    <row r="1729" spans="2:10" x14ac:dyDescent="0.3">
      <c r="B1729" s="1" t="s">
        <v>2028</v>
      </c>
      <c r="C1729" s="1" t="s">
        <v>15</v>
      </c>
      <c r="D1729" s="2" t="s">
        <v>2033</v>
      </c>
      <c r="E1729" s="2" t="s">
        <v>2033</v>
      </c>
      <c r="F1729" s="2" t="s">
        <v>11</v>
      </c>
      <c r="G1729" s="3" t="s">
        <v>2034</v>
      </c>
      <c r="H1729" s="1" t="s">
        <v>12</v>
      </c>
      <c r="I1729" s="1" t="s">
        <v>42</v>
      </c>
      <c r="J1729" s="1" t="s">
        <v>14</v>
      </c>
    </row>
    <row r="1730" spans="2:10" x14ac:dyDescent="0.3">
      <c r="B1730" s="1" t="s">
        <v>2028</v>
      </c>
      <c r="C1730" s="1" t="s">
        <v>46</v>
      </c>
      <c r="D1730" s="2" t="s">
        <v>1685</v>
      </c>
      <c r="E1730" s="2" t="s">
        <v>1685</v>
      </c>
      <c r="F1730" s="2" t="s">
        <v>11</v>
      </c>
      <c r="G1730" s="3" t="s">
        <v>2035</v>
      </c>
      <c r="H1730" s="1" t="s">
        <v>12</v>
      </c>
      <c r="I1730" s="1" t="s">
        <v>57</v>
      </c>
      <c r="J1730" s="1" t="s">
        <v>14</v>
      </c>
    </row>
    <row r="1731" spans="2:10" x14ac:dyDescent="0.3">
      <c r="B1731" s="1" t="s">
        <v>2028</v>
      </c>
      <c r="C1731" s="1" t="s">
        <v>36</v>
      </c>
      <c r="D1731" s="2" t="s">
        <v>1685</v>
      </c>
      <c r="E1731" s="2" t="s">
        <v>1685</v>
      </c>
      <c r="F1731" s="2" t="s">
        <v>11</v>
      </c>
      <c r="G1731" s="3" t="s">
        <v>2036</v>
      </c>
      <c r="H1731" s="1" t="s">
        <v>12</v>
      </c>
      <c r="I1731" s="1" t="s">
        <v>65</v>
      </c>
      <c r="J1731" s="1" t="s">
        <v>14</v>
      </c>
    </row>
    <row r="1732" spans="2:10" x14ac:dyDescent="0.3">
      <c r="B1732" s="1" t="s">
        <v>2028</v>
      </c>
      <c r="C1732" s="1" t="s">
        <v>24</v>
      </c>
      <c r="D1732" s="2" t="s">
        <v>867</v>
      </c>
      <c r="E1732" s="2" t="s">
        <v>867</v>
      </c>
      <c r="F1732" s="2" t="s">
        <v>11</v>
      </c>
      <c r="G1732" s="3" t="s">
        <v>2037</v>
      </c>
      <c r="H1732" s="1" t="s">
        <v>12</v>
      </c>
      <c r="I1732" s="1" t="s">
        <v>51</v>
      </c>
      <c r="J1732" s="1" t="s">
        <v>14</v>
      </c>
    </row>
    <row r="1733" spans="2:10" x14ac:dyDescent="0.3">
      <c r="B1733" s="1" t="s">
        <v>2028</v>
      </c>
      <c r="C1733" s="1" t="s">
        <v>31</v>
      </c>
      <c r="D1733" s="2" t="s">
        <v>2029</v>
      </c>
      <c r="E1733" s="2" t="s">
        <v>2029</v>
      </c>
      <c r="F1733" s="2" t="s">
        <v>11</v>
      </c>
      <c r="G1733" s="3" t="s">
        <v>2038</v>
      </c>
      <c r="H1733" s="1" t="s">
        <v>12</v>
      </c>
      <c r="I1733" s="1" t="s">
        <v>64</v>
      </c>
      <c r="J1733" s="1" t="s">
        <v>14</v>
      </c>
    </row>
    <row r="1734" spans="2:10" x14ac:dyDescent="0.3">
      <c r="B1734" s="1" t="s">
        <v>2028</v>
      </c>
      <c r="C1734" s="1" t="s">
        <v>21</v>
      </c>
      <c r="D1734" s="2" t="s">
        <v>581</v>
      </c>
      <c r="E1734" s="2" t="s">
        <v>581</v>
      </c>
      <c r="F1734" s="2" t="s">
        <v>11</v>
      </c>
      <c r="G1734" s="3" t="s">
        <v>449</v>
      </c>
      <c r="H1734" s="1" t="s">
        <v>12</v>
      </c>
      <c r="I1734" s="1" t="s">
        <v>74</v>
      </c>
      <c r="J1734" s="1" t="s">
        <v>14</v>
      </c>
    </row>
    <row r="1735" spans="2:10" x14ac:dyDescent="0.3">
      <c r="B1735" s="1" t="s">
        <v>2028</v>
      </c>
      <c r="C1735" s="1" t="s">
        <v>43</v>
      </c>
      <c r="D1735" s="2" t="s">
        <v>635</v>
      </c>
      <c r="E1735" s="2" t="s">
        <v>635</v>
      </c>
      <c r="F1735" s="2" t="s">
        <v>11</v>
      </c>
      <c r="G1735" s="3" t="s">
        <v>776</v>
      </c>
      <c r="H1735" s="1" t="s">
        <v>12</v>
      </c>
      <c r="I1735" s="1" t="s">
        <v>27</v>
      </c>
      <c r="J1735" s="1" t="s">
        <v>14</v>
      </c>
    </row>
    <row r="1736" spans="2:10" x14ac:dyDescent="0.3">
      <c r="B1736" s="1" t="s">
        <v>2028</v>
      </c>
      <c r="C1736" s="1" t="s">
        <v>35</v>
      </c>
      <c r="D1736" s="2" t="s">
        <v>1685</v>
      </c>
      <c r="E1736" s="2" t="s">
        <v>1685</v>
      </c>
      <c r="F1736" s="2" t="s">
        <v>11</v>
      </c>
      <c r="G1736" s="3" t="s">
        <v>2039</v>
      </c>
      <c r="H1736" s="1" t="s">
        <v>12</v>
      </c>
      <c r="I1736" s="1" t="s">
        <v>67</v>
      </c>
      <c r="J1736" s="1" t="s">
        <v>14</v>
      </c>
    </row>
    <row r="1737" spans="2:10" x14ac:dyDescent="0.3">
      <c r="B1737" s="1" t="s">
        <v>2028</v>
      </c>
      <c r="C1737" s="1" t="s">
        <v>29</v>
      </c>
      <c r="D1737" s="2" t="s">
        <v>2033</v>
      </c>
      <c r="E1737" s="2" t="s">
        <v>2033</v>
      </c>
      <c r="F1737" s="2" t="s">
        <v>11</v>
      </c>
      <c r="G1737" s="3" t="s">
        <v>2040</v>
      </c>
      <c r="H1737" s="1" t="s">
        <v>12</v>
      </c>
      <c r="I1737" s="1" t="s">
        <v>27</v>
      </c>
      <c r="J1737" s="1" t="s">
        <v>14</v>
      </c>
    </row>
    <row r="1738" spans="2:10" x14ac:dyDescent="0.3">
      <c r="B1738" s="1" t="s">
        <v>2028</v>
      </c>
      <c r="C1738" s="1" t="s">
        <v>23</v>
      </c>
      <c r="D1738" s="2" t="s">
        <v>2033</v>
      </c>
      <c r="E1738" s="2" t="s">
        <v>2033</v>
      </c>
      <c r="F1738" s="2" t="s">
        <v>11</v>
      </c>
      <c r="G1738" s="3" t="s">
        <v>2041</v>
      </c>
      <c r="H1738" s="1" t="s">
        <v>12</v>
      </c>
      <c r="I1738" s="1" t="s">
        <v>49</v>
      </c>
      <c r="J1738" s="1" t="s">
        <v>14</v>
      </c>
    </row>
    <row r="1739" spans="2:10" x14ac:dyDescent="0.3">
      <c r="B1739" s="1" t="s">
        <v>2028</v>
      </c>
      <c r="C1739" s="1" t="s">
        <v>28</v>
      </c>
      <c r="D1739" s="2" t="s">
        <v>2033</v>
      </c>
      <c r="E1739" s="2" t="s">
        <v>2033</v>
      </c>
      <c r="F1739" s="2" t="s">
        <v>11</v>
      </c>
      <c r="G1739" s="3" t="s">
        <v>2042</v>
      </c>
      <c r="H1739" s="1" t="s">
        <v>12</v>
      </c>
      <c r="I1739" s="1" t="s">
        <v>42</v>
      </c>
      <c r="J1739" s="1" t="s">
        <v>14</v>
      </c>
    </row>
    <row r="1740" spans="2:10" x14ac:dyDescent="0.3">
      <c r="B1740" s="1" t="s">
        <v>2028</v>
      </c>
      <c r="C1740" s="1" t="s">
        <v>45</v>
      </c>
      <c r="D1740" s="2" t="s">
        <v>2043</v>
      </c>
      <c r="E1740" s="2" t="s">
        <v>2043</v>
      </c>
      <c r="F1740" s="2" t="s">
        <v>11</v>
      </c>
      <c r="G1740" s="3" t="s">
        <v>2044</v>
      </c>
      <c r="H1740" s="1" t="s">
        <v>12</v>
      </c>
      <c r="I1740" s="1" t="s">
        <v>16</v>
      </c>
      <c r="J1740" s="1" t="s">
        <v>14</v>
      </c>
    </row>
    <row r="1741" spans="2:10" x14ac:dyDescent="0.3">
      <c r="B1741" s="1" t="s">
        <v>2028</v>
      </c>
      <c r="C1741" s="1" t="s">
        <v>39</v>
      </c>
      <c r="D1741" s="2" t="s">
        <v>867</v>
      </c>
      <c r="E1741" s="2" t="s">
        <v>867</v>
      </c>
      <c r="F1741" s="2" t="s">
        <v>11</v>
      </c>
      <c r="G1741" s="3" t="s">
        <v>2045</v>
      </c>
      <c r="H1741" s="1" t="s">
        <v>12</v>
      </c>
      <c r="I1741" s="1" t="s">
        <v>53</v>
      </c>
      <c r="J1741" s="1" t="s">
        <v>14</v>
      </c>
    </row>
    <row r="1742" spans="2:10" x14ac:dyDescent="0.3">
      <c r="B1742" s="1" t="s">
        <v>2028</v>
      </c>
      <c r="C1742" s="1" t="s">
        <v>10</v>
      </c>
      <c r="D1742" s="2" t="s">
        <v>2046</v>
      </c>
      <c r="E1742" s="2" t="s">
        <v>2046</v>
      </c>
      <c r="F1742" s="2" t="s">
        <v>11</v>
      </c>
      <c r="G1742" s="3" t="s">
        <v>2047</v>
      </c>
      <c r="H1742" s="1" t="s">
        <v>12</v>
      </c>
      <c r="I1742" s="1" t="s">
        <v>40</v>
      </c>
      <c r="J1742" s="1" t="s">
        <v>14</v>
      </c>
    </row>
    <row r="1743" spans="2:10" x14ac:dyDescent="0.3">
      <c r="B1743" s="1" t="s">
        <v>2028</v>
      </c>
      <c r="C1743" s="1" t="s">
        <v>17</v>
      </c>
      <c r="D1743" s="2" t="s">
        <v>867</v>
      </c>
      <c r="E1743" s="2" t="s">
        <v>867</v>
      </c>
      <c r="F1743" s="2" t="s">
        <v>11</v>
      </c>
      <c r="G1743" s="3" t="s">
        <v>2048</v>
      </c>
      <c r="H1743" s="1" t="s">
        <v>12</v>
      </c>
      <c r="I1743" s="1" t="s">
        <v>76</v>
      </c>
      <c r="J1743" s="1" t="s">
        <v>14</v>
      </c>
    </row>
    <row r="1744" spans="2:10" x14ac:dyDescent="0.3">
      <c r="B1744" s="1" t="s">
        <v>2028</v>
      </c>
      <c r="C1744" s="1" t="s">
        <v>19</v>
      </c>
      <c r="D1744" s="2" t="s">
        <v>2049</v>
      </c>
      <c r="E1744" s="2" t="s">
        <v>2049</v>
      </c>
      <c r="F1744" s="2" t="s">
        <v>11</v>
      </c>
      <c r="G1744" s="3" t="s">
        <v>2050</v>
      </c>
      <c r="H1744" s="1" t="s">
        <v>12</v>
      </c>
      <c r="I1744" s="1" t="s">
        <v>98</v>
      </c>
      <c r="J1744" s="1" t="s">
        <v>14</v>
      </c>
    </row>
    <row r="1745" spans="2:10" x14ac:dyDescent="0.3">
      <c r="B1745" s="1" t="s">
        <v>2028</v>
      </c>
      <c r="C1745" s="1" t="s">
        <v>26</v>
      </c>
      <c r="D1745" s="2" t="s">
        <v>2033</v>
      </c>
      <c r="E1745" s="2" t="s">
        <v>2033</v>
      </c>
      <c r="F1745" s="2" t="s">
        <v>11</v>
      </c>
      <c r="G1745" s="3" t="s">
        <v>2051</v>
      </c>
      <c r="H1745" s="1" t="s">
        <v>12</v>
      </c>
      <c r="I1745" s="1" t="s">
        <v>56</v>
      </c>
      <c r="J1745" s="1" t="s">
        <v>14</v>
      </c>
    </row>
    <row r="1746" spans="2:10" x14ac:dyDescent="0.3">
      <c r="B1746" s="1" t="s">
        <v>2052</v>
      </c>
      <c r="C1746" s="1" t="s">
        <v>17</v>
      </c>
      <c r="D1746" s="2" t="s">
        <v>244</v>
      </c>
      <c r="E1746" s="2" t="s">
        <v>244</v>
      </c>
      <c r="F1746" s="2" t="s">
        <v>11</v>
      </c>
      <c r="G1746" s="3" t="s">
        <v>2053</v>
      </c>
      <c r="H1746" s="1" t="s">
        <v>12</v>
      </c>
      <c r="I1746" s="1" t="s">
        <v>42</v>
      </c>
      <c r="J1746" s="1" t="s">
        <v>14</v>
      </c>
    </row>
    <row r="1747" spans="2:10" x14ac:dyDescent="0.3">
      <c r="B1747" s="1" t="s">
        <v>2052</v>
      </c>
      <c r="C1747" s="1" t="s">
        <v>23</v>
      </c>
      <c r="D1747" s="2" t="s">
        <v>836</v>
      </c>
      <c r="E1747" s="2" t="s">
        <v>836</v>
      </c>
      <c r="F1747" s="2" t="s">
        <v>11</v>
      </c>
      <c r="G1747" s="3" t="s">
        <v>1230</v>
      </c>
      <c r="H1747" s="1" t="s">
        <v>12</v>
      </c>
      <c r="I1747" s="1" t="s">
        <v>22</v>
      </c>
      <c r="J1747" s="1" t="s">
        <v>14</v>
      </c>
    </row>
    <row r="1748" spans="2:10" x14ac:dyDescent="0.3">
      <c r="B1748" s="1" t="s">
        <v>2052</v>
      </c>
      <c r="C1748" s="1" t="s">
        <v>35</v>
      </c>
      <c r="D1748" s="2" t="s">
        <v>476</v>
      </c>
      <c r="E1748" s="2" t="s">
        <v>476</v>
      </c>
      <c r="F1748" s="2" t="s">
        <v>11</v>
      </c>
      <c r="G1748" s="3" t="s">
        <v>2054</v>
      </c>
      <c r="H1748" s="1" t="s">
        <v>12</v>
      </c>
      <c r="I1748" s="1" t="s">
        <v>56</v>
      </c>
      <c r="J1748" s="1" t="s">
        <v>14</v>
      </c>
    </row>
    <row r="1749" spans="2:10" x14ac:dyDescent="0.3">
      <c r="B1749" s="1" t="s">
        <v>2052</v>
      </c>
      <c r="C1749" s="1" t="s">
        <v>10</v>
      </c>
      <c r="D1749" s="2" t="s">
        <v>244</v>
      </c>
      <c r="E1749" s="2" t="s">
        <v>244</v>
      </c>
      <c r="F1749" s="2" t="s">
        <v>11</v>
      </c>
      <c r="G1749" s="3" t="s">
        <v>2055</v>
      </c>
      <c r="H1749" s="1" t="s">
        <v>12</v>
      </c>
      <c r="I1749" s="1" t="s">
        <v>66</v>
      </c>
      <c r="J1749" s="1" t="s">
        <v>14</v>
      </c>
    </row>
    <row r="1750" spans="2:10" x14ac:dyDescent="0.3">
      <c r="B1750" s="1" t="s">
        <v>2052</v>
      </c>
      <c r="C1750" s="1" t="s">
        <v>43</v>
      </c>
      <c r="D1750" s="2" t="s">
        <v>476</v>
      </c>
      <c r="E1750" s="2" t="s">
        <v>476</v>
      </c>
      <c r="F1750" s="2" t="s">
        <v>11</v>
      </c>
      <c r="G1750" s="3" t="s">
        <v>1419</v>
      </c>
      <c r="H1750" s="1" t="s">
        <v>12</v>
      </c>
      <c r="I1750" s="1" t="s">
        <v>53</v>
      </c>
      <c r="J1750" s="1" t="s">
        <v>14</v>
      </c>
    </row>
    <row r="1751" spans="2:10" x14ac:dyDescent="0.3">
      <c r="B1751" s="1" t="s">
        <v>2052</v>
      </c>
      <c r="C1751" s="1" t="s">
        <v>15</v>
      </c>
      <c r="D1751" s="2" t="s">
        <v>244</v>
      </c>
      <c r="E1751" s="2" t="s">
        <v>244</v>
      </c>
      <c r="F1751" s="2" t="s">
        <v>11</v>
      </c>
      <c r="G1751" s="3" t="s">
        <v>2056</v>
      </c>
      <c r="H1751" s="1" t="s">
        <v>12</v>
      </c>
      <c r="I1751" s="1" t="s">
        <v>16</v>
      </c>
      <c r="J1751" s="1" t="s">
        <v>14</v>
      </c>
    </row>
    <row r="1752" spans="2:10" x14ac:dyDescent="0.3">
      <c r="B1752" s="1" t="s">
        <v>2052</v>
      </c>
      <c r="C1752" s="1" t="s">
        <v>41</v>
      </c>
      <c r="D1752" s="2" t="s">
        <v>387</v>
      </c>
      <c r="E1752" s="2" t="s">
        <v>387</v>
      </c>
      <c r="F1752" s="2" t="s">
        <v>11</v>
      </c>
      <c r="G1752" s="3" t="s">
        <v>2057</v>
      </c>
      <c r="H1752" s="1" t="s">
        <v>12</v>
      </c>
      <c r="I1752" s="1" t="s">
        <v>41</v>
      </c>
      <c r="J1752" s="1" t="s">
        <v>14</v>
      </c>
    </row>
    <row r="1753" spans="2:10" x14ac:dyDescent="0.3">
      <c r="B1753" s="1" t="s">
        <v>2052</v>
      </c>
      <c r="C1753" s="1" t="s">
        <v>29</v>
      </c>
      <c r="D1753" s="2" t="s">
        <v>476</v>
      </c>
      <c r="E1753" s="2" t="s">
        <v>476</v>
      </c>
      <c r="F1753" s="2" t="s">
        <v>11</v>
      </c>
      <c r="G1753" s="3" t="s">
        <v>2058</v>
      </c>
      <c r="H1753" s="1" t="s">
        <v>12</v>
      </c>
      <c r="I1753" s="1" t="s">
        <v>87</v>
      </c>
      <c r="J1753" s="1" t="s">
        <v>14</v>
      </c>
    </row>
    <row r="1754" spans="2:10" x14ac:dyDescent="0.3">
      <c r="B1754" s="1" t="s">
        <v>2052</v>
      </c>
      <c r="C1754" s="1" t="s">
        <v>45</v>
      </c>
      <c r="D1754" s="2" t="s">
        <v>244</v>
      </c>
      <c r="E1754" s="2" t="s">
        <v>244</v>
      </c>
      <c r="F1754" s="2" t="s">
        <v>11</v>
      </c>
      <c r="G1754" s="3" t="s">
        <v>2059</v>
      </c>
      <c r="H1754" s="1" t="s">
        <v>12</v>
      </c>
      <c r="I1754" s="1" t="s">
        <v>18</v>
      </c>
      <c r="J1754" s="1" t="s">
        <v>14</v>
      </c>
    </row>
    <row r="1755" spans="2:10" x14ac:dyDescent="0.3">
      <c r="B1755" s="1" t="s">
        <v>2052</v>
      </c>
      <c r="C1755" s="1" t="s">
        <v>26</v>
      </c>
      <c r="D1755" s="2" t="s">
        <v>268</v>
      </c>
      <c r="E1755" s="2" t="s">
        <v>268</v>
      </c>
      <c r="F1755" s="2" t="s">
        <v>11</v>
      </c>
      <c r="G1755" s="3" t="s">
        <v>1838</v>
      </c>
      <c r="H1755" s="1" t="s">
        <v>12</v>
      </c>
      <c r="I1755" s="1" t="s">
        <v>25</v>
      </c>
      <c r="J1755" s="1" t="s">
        <v>14</v>
      </c>
    </row>
    <row r="1756" spans="2:10" x14ac:dyDescent="0.3">
      <c r="B1756" s="1" t="s">
        <v>2052</v>
      </c>
      <c r="C1756" s="1" t="s">
        <v>31</v>
      </c>
      <c r="D1756" s="2" t="s">
        <v>747</v>
      </c>
      <c r="E1756" s="2" t="s">
        <v>747</v>
      </c>
      <c r="F1756" s="2" t="s">
        <v>11</v>
      </c>
      <c r="G1756" s="3" t="s">
        <v>2060</v>
      </c>
      <c r="H1756" s="1" t="s">
        <v>12</v>
      </c>
      <c r="I1756" s="1" t="s">
        <v>32</v>
      </c>
      <c r="J1756" s="1" t="s">
        <v>14</v>
      </c>
    </row>
    <row r="1757" spans="2:10" x14ac:dyDescent="0.3">
      <c r="B1757" s="1" t="s">
        <v>2052</v>
      </c>
      <c r="C1757" s="1" t="s">
        <v>33</v>
      </c>
      <c r="D1757" s="2" t="s">
        <v>244</v>
      </c>
      <c r="E1757" s="2" t="s">
        <v>244</v>
      </c>
      <c r="F1757" s="2" t="s">
        <v>11</v>
      </c>
      <c r="G1757" s="3" t="s">
        <v>2061</v>
      </c>
      <c r="H1757" s="1" t="s">
        <v>12</v>
      </c>
      <c r="I1757" s="1" t="s">
        <v>22</v>
      </c>
      <c r="J1757" s="1" t="s">
        <v>14</v>
      </c>
    </row>
    <row r="1758" spans="2:10" x14ac:dyDescent="0.3">
      <c r="B1758" s="1" t="s">
        <v>2052</v>
      </c>
      <c r="C1758" s="1" t="s">
        <v>28</v>
      </c>
      <c r="D1758" s="2" t="s">
        <v>322</v>
      </c>
      <c r="E1758" s="2" t="s">
        <v>322</v>
      </c>
      <c r="F1758" s="2" t="s">
        <v>11</v>
      </c>
      <c r="G1758" s="3" t="s">
        <v>2062</v>
      </c>
      <c r="H1758" s="1" t="s">
        <v>12</v>
      </c>
      <c r="I1758" s="1" t="s">
        <v>40</v>
      </c>
      <c r="J1758" s="1" t="s">
        <v>14</v>
      </c>
    </row>
    <row r="1759" spans="2:10" x14ac:dyDescent="0.3">
      <c r="B1759" s="1" t="s">
        <v>2052</v>
      </c>
      <c r="C1759" s="1" t="s">
        <v>36</v>
      </c>
      <c r="D1759" s="2" t="s">
        <v>244</v>
      </c>
      <c r="E1759" s="2" t="s">
        <v>244</v>
      </c>
      <c r="F1759" s="2" t="s">
        <v>11</v>
      </c>
      <c r="G1759" s="3" t="s">
        <v>849</v>
      </c>
      <c r="H1759" s="1" t="s">
        <v>12</v>
      </c>
      <c r="I1759" s="1" t="s">
        <v>89</v>
      </c>
      <c r="J1759" s="1" t="s">
        <v>14</v>
      </c>
    </row>
    <row r="1760" spans="2:10" x14ac:dyDescent="0.3">
      <c r="B1760" s="1" t="s">
        <v>2052</v>
      </c>
      <c r="C1760" s="1" t="s">
        <v>46</v>
      </c>
      <c r="D1760" s="2" t="s">
        <v>244</v>
      </c>
      <c r="E1760" s="2" t="s">
        <v>244</v>
      </c>
      <c r="F1760" s="2" t="s">
        <v>11</v>
      </c>
      <c r="G1760" s="3" t="s">
        <v>1359</v>
      </c>
      <c r="H1760" s="1" t="s">
        <v>12</v>
      </c>
      <c r="I1760" s="1" t="s">
        <v>66</v>
      </c>
      <c r="J1760" s="1" t="s">
        <v>14</v>
      </c>
    </row>
    <row r="1761" spans="2:10" x14ac:dyDescent="0.3">
      <c r="B1761" s="1" t="s">
        <v>2052</v>
      </c>
      <c r="C1761" s="1" t="s">
        <v>21</v>
      </c>
      <c r="D1761" s="2" t="s">
        <v>268</v>
      </c>
      <c r="E1761" s="2" t="s">
        <v>268</v>
      </c>
      <c r="F1761" s="2" t="s">
        <v>11</v>
      </c>
      <c r="G1761" s="3" t="s">
        <v>2063</v>
      </c>
      <c r="H1761" s="1" t="s">
        <v>12</v>
      </c>
      <c r="I1761" s="1" t="s">
        <v>76</v>
      </c>
      <c r="J1761" s="1" t="s">
        <v>14</v>
      </c>
    </row>
    <row r="1762" spans="2:10" x14ac:dyDescent="0.3">
      <c r="B1762" s="1" t="s">
        <v>2052</v>
      </c>
      <c r="C1762" s="1" t="s">
        <v>24</v>
      </c>
      <c r="D1762" s="2" t="s">
        <v>475</v>
      </c>
      <c r="E1762" s="2" t="s">
        <v>475</v>
      </c>
      <c r="F1762" s="2" t="s">
        <v>11</v>
      </c>
      <c r="G1762" s="3" t="s">
        <v>2064</v>
      </c>
      <c r="H1762" s="1" t="s">
        <v>12</v>
      </c>
      <c r="I1762" s="1" t="s">
        <v>49</v>
      </c>
      <c r="J1762" s="1" t="s">
        <v>14</v>
      </c>
    </row>
    <row r="1763" spans="2:10" x14ac:dyDescent="0.3">
      <c r="B1763" s="1" t="s">
        <v>2052</v>
      </c>
      <c r="C1763" s="1" t="s">
        <v>38</v>
      </c>
      <c r="D1763" s="2" t="s">
        <v>268</v>
      </c>
      <c r="E1763" s="2" t="s">
        <v>268</v>
      </c>
      <c r="F1763" s="2" t="s">
        <v>11</v>
      </c>
      <c r="G1763" s="3" t="s">
        <v>1380</v>
      </c>
      <c r="H1763" s="1" t="s">
        <v>12</v>
      </c>
      <c r="I1763" s="1" t="s">
        <v>47</v>
      </c>
      <c r="J1763" s="1" t="s">
        <v>14</v>
      </c>
    </row>
    <row r="1764" spans="2:10" x14ac:dyDescent="0.3">
      <c r="B1764" s="1" t="s">
        <v>2052</v>
      </c>
      <c r="C1764" s="1" t="s">
        <v>19</v>
      </c>
      <c r="D1764" s="2" t="s">
        <v>476</v>
      </c>
      <c r="E1764" s="2" t="s">
        <v>476</v>
      </c>
      <c r="F1764" s="2" t="s">
        <v>11</v>
      </c>
      <c r="G1764" s="3" t="s">
        <v>2065</v>
      </c>
      <c r="H1764" s="1" t="s">
        <v>12</v>
      </c>
      <c r="I1764" s="1" t="s">
        <v>80</v>
      </c>
      <c r="J1764" s="1" t="s">
        <v>14</v>
      </c>
    </row>
    <row r="1765" spans="2:10" x14ac:dyDescent="0.3">
      <c r="B1765" s="1" t="s">
        <v>2052</v>
      </c>
      <c r="C1765" s="1" t="s">
        <v>39</v>
      </c>
      <c r="D1765" s="2" t="s">
        <v>244</v>
      </c>
      <c r="E1765" s="2" t="s">
        <v>244</v>
      </c>
      <c r="F1765" s="2" t="s">
        <v>11</v>
      </c>
      <c r="G1765" s="3" t="s">
        <v>2066</v>
      </c>
      <c r="H1765" s="1" t="s">
        <v>12</v>
      </c>
      <c r="I1765" s="1" t="s">
        <v>51</v>
      </c>
      <c r="J1765" s="1" t="s">
        <v>14</v>
      </c>
    </row>
    <row r="1766" spans="2:10" x14ac:dyDescent="0.3">
      <c r="B1766" s="1" t="s">
        <v>2067</v>
      </c>
      <c r="C1766" s="1" t="s">
        <v>19</v>
      </c>
      <c r="D1766" s="2" t="s">
        <v>506</v>
      </c>
      <c r="E1766" s="2" t="s">
        <v>506</v>
      </c>
      <c r="F1766" s="2" t="s">
        <v>11</v>
      </c>
      <c r="G1766" s="3" t="s">
        <v>2068</v>
      </c>
      <c r="H1766" s="1" t="s">
        <v>12</v>
      </c>
      <c r="I1766" s="1" t="s">
        <v>18</v>
      </c>
      <c r="J1766" s="1" t="s">
        <v>14</v>
      </c>
    </row>
    <row r="1767" spans="2:10" x14ac:dyDescent="0.3">
      <c r="B1767" s="1" t="s">
        <v>2067</v>
      </c>
      <c r="C1767" s="1" t="s">
        <v>21</v>
      </c>
      <c r="D1767" s="2" t="s">
        <v>686</v>
      </c>
      <c r="E1767" s="2" t="s">
        <v>686</v>
      </c>
      <c r="F1767" s="2" t="s">
        <v>11</v>
      </c>
      <c r="G1767" s="3" t="s">
        <v>2069</v>
      </c>
      <c r="H1767" s="1" t="s">
        <v>12</v>
      </c>
      <c r="I1767" s="1" t="s">
        <v>27</v>
      </c>
      <c r="J1767" s="1" t="s">
        <v>14</v>
      </c>
    </row>
    <row r="1768" spans="2:10" x14ac:dyDescent="0.3">
      <c r="B1768" s="1" t="s">
        <v>2067</v>
      </c>
      <c r="C1768" s="1" t="s">
        <v>36</v>
      </c>
      <c r="D1768" s="2" t="s">
        <v>506</v>
      </c>
      <c r="E1768" s="2" t="s">
        <v>506</v>
      </c>
      <c r="F1768" s="2" t="s">
        <v>11</v>
      </c>
      <c r="G1768" s="3" t="s">
        <v>226</v>
      </c>
      <c r="H1768" s="1" t="s">
        <v>12</v>
      </c>
      <c r="I1768" s="1" t="s">
        <v>69</v>
      </c>
      <c r="J1768" s="1" t="s">
        <v>14</v>
      </c>
    </row>
    <row r="1769" spans="2:10" x14ac:dyDescent="0.3">
      <c r="B1769" s="1" t="s">
        <v>2067</v>
      </c>
      <c r="C1769" s="1" t="s">
        <v>39</v>
      </c>
      <c r="D1769" s="2" t="s">
        <v>214</v>
      </c>
      <c r="E1769" s="2" t="s">
        <v>214</v>
      </c>
      <c r="F1769" s="2" t="s">
        <v>11</v>
      </c>
      <c r="G1769" s="3" t="s">
        <v>2070</v>
      </c>
      <c r="H1769" s="1" t="s">
        <v>12</v>
      </c>
      <c r="I1769" s="1" t="s">
        <v>13</v>
      </c>
      <c r="J1769" s="1" t="s">
        <v>14</v>
      </c>
    </row>
    <row r="1770" spans="2:10" x14ac:dyDescent="0.3">
      <c r="B1770" s="1" t="s">
        <v>2067</v>
      </c>
      <c r="C1770" s="1" t="s">
        <v>45</v>
      </c>
      <c r="D1770" s="2" t="s">
        <v>526</v>
      </c>
      <c r="E1770" s="2" t="s">
        <v>526</v>
      </c>
      <c r="F1770" s="2" t="s">
        <v>11</v>
      </c>
      <c r="G1770" s="3" t="s">
        <v>2071</v>
      </c>
      <c r="H1770" s="1" t="s">
        <v>12</v>
      </c>
      <c r="I1770" s="1" t="s">
        <v>55</v>
      </c>
      <c r="J1770" s="1" t="s">
        <v>14</v>
      </c>
    </row>
    <row r="1771" spans="2:10" x14ac:dyDescent="0.3">
      <c r="B1771" s="1" t="s">
        <v>2067</v>
      </c>
      <c r="C1771" s="1" t="s">
        <v>46</v>
      </c>
      <c r="D1771" s="2" t="s">
        <v>499</v>
      </c>
      <c r="E1771" s="2" t="s">
        <v>499</v>
      </c>
      <c r="F1771" s="2" t="s">
        <v>11</v>
      </c>
      <c r="G1771" s="3" t="s">
        <v>2072</v>
      </c>
      <c r="H1771" s="1" t="s">
        <v>12</v>
      </c>
      <c r="I1771" s="1" t="s">
        <v>58</v>
      </c>
      <c r="J1771" s="1" t="s">
        <v>14</v>
      </c>
    </row>
    <row r="1772" spans="2:10" x14ac:dyDescent="0.3">
      <c r="B1772" s="1" t="s">
        <v>2067</v>
      </c>
      <c r="C1772" s="1" t="s">
        <v>31</v>
      </c>
      <c r="D1772" s="2" t="s">
        <v>506</v>
      </c>
      <c r="E1772" s="2" t="s">
        <v>506</v>
      </c>
      <c r="F1772" s="2" t="s">
        <v>11</v>
      </c>
      <c r="G1772" s="3" t="s">
        <v>2073</v>
      </c>
      <c r="H1772" s="1" t="s">
        <v>12</v>
      </c>
      <c r="I1772" s="1" t="s">
        <v>80</v>
      </c>
      <c r="J1772" s="1" t="s">
        <v>14</v>
      </c>
    </row>
    <row r="1773" spans="2:10" x14ac:dyDescent="0.3">
      <c r="B1773" s="1" t="s">
        <v>2067</v>
      </c>
      <c r="C1773" s="1" t="s">
        <v>23</v>
      </c>
      <c r="D1773" s="2" t="s">
        <v>502</v>
      </c>
      <c r="E1773" s="2" t="s">
        <v>502</v>
      </c>
      <c r="F1773" s="2" t="s">
        <v>11</v>
      </c>
      <c r="G1773" s="3" t="s">
        <v>2074</v>
      </c>
      <c r="H1773" s="1" t="s">
        <v>12</v>
      </c>
      <c r="I1773" s="1" t="s">
        <v>56</v>
      </c>
      <c r="J1773" s="1" t="s">
        <v>14</v>
      </c>
    </row>
    <row r="1774" spans="2:10" x14ac:dyDescent="0.3">
      <c r="B1774" s="1" t="s">
        <v>2067</v>
      </c>
      <c r="C1774" s="1" t="s">
        <v>43</v>
      </c>
      <c r="D1774" s="2" t="s">
        <v>214</v>
      </c>
      <c r="E1774" s="2" t="s">
        <v>214</v>
      </c>
      <c r="F1774" s="2" t="s">
        <v>11</v>
      </c>
      <c r="G1774" s="3" t="s">
        <v>2075</v>
      </c>
      <c r="H1774" s="1" t="s">
        <v>12</v>
      </c>
      <c r="I1774" s="1" t="s">
        <v>42</v>
      </c>
      <c r="J1774" s="1" t="s">
        <v>14</v>
      </c>
    </row>
    <row r="1775" spans="2:10" x14ac:dyDescent="0.3">
      <c r="B1775" s="1" t="s">
        <v>2067</v>
      </c>
      <c r="C1775" s="1" t="s">
        <v>26</v>
      </c>
      <c r="D1775" s="2" t="s">
        <v>244</v>
      </c>
      <c r="E1775" s="2" t="s">
        <v>244</v>
      </c>
      <c r="F1775" s="2" t="s">
        <v>11</v>
      </c>
      <c r="G1775" s="3" t="s">
        <v>414</v>
      </c>
      <c r="H1775" s="1" t="s">
        <v>12</v>
      </c>
      <c r="I1775" s="1" t="s">
        <v>89</v>
      </c>
      <c r="J1775" s="1" t="s">
        <v>14</v>
      </c>
    </row>
    <row r="1776" spans="2:10" x14ac:dyDescent="0.3">
      <c r="B1776" s="1" t="s">
        <v>2067</v>
      </c>
      <c r="C1776" s="1" t="s">
        <v>10</v>
      </c>
      <c r="D1776" s="2" t="s">
        <v>783</v>
      </c>
      <c r="E1776" s="2" t="s">
        <v>256</v>
      </c>
      <c r="F1776" s="2" t="s">
        <v>11</v>
      </c>
      <c r="G1776" s="3" t="s">
        <v>2076</v>
      </c>
      <c r="H1776" s="1" t="s">
        <v>12</v>
      </c>
      <c r="I1776" s="1" t="s">
        <v>35</v>
      </c>
      <c r="J1776" s="1" t="s">
        <v>52</v>
      </c>
    </row>
    <row r="1777" spans="2:10" x14ac:dyDescent="0.3">
      <c r="B1777" s="1" t="s">
        <v>2067</v>
      </c>
      <c r="C1777" s="1" t="s">
        <v>17</v>
      </c>
      <c r="D1777" s="2" t="s">
        <v>502</v>
      </c>
      <c r="E1777" s="2" t="s">
        <v>502</v>
      </c>
      <c r="F1777" s="2" t="s">
        <v>11</v>
      </c>
      <c r="G1777" s="3" t="s">
        <v>2077</v>
      </c>
      <c r="H1777" s="1" t="s">
        <v>12</v>
      </c>
      <c r="I1777" s="1" t="s">
        <v>40</v>
      </c>
      <c r="J1777" s="1" t="s">
        <v>14</v>
      </c>
    </row>
    <row r="1778" spans="2:10" x14ac:dyDescent="0.3">
      <c r="B1778" s="1" t="s">
        <v>2067</v>
      </c>
      <c r="C1778" s="1" t="s">
        <v>15</v>
      </c>
      <c r="D1778" s="2" t="s">
        <v>502</v>
      </c>
      <c r="E1778" s="2" t="s">
        <v>502</v>
      </c>
      <c r="F1778" s="2" t="s">
        <v>11</v>
      </c>
      <c r="G1778" s="3" t="s">
        <v>2078</v>
      </c>
      <c r="H1778" s="1" t="s">
        <v>12</v>
      </c>
      <c r="I1778" s="1" t="s">
        <v>47</v>
      </c>
      <c r="J1778" s="1" t="s">
        <v>14</v>
      </c>
    </row>
    <row r="1779" spans="2:10" x14ac:dyDescent="0.3">
      <c r="B1779" s="1" t="s">
        <v>2067</v>
      </c>
      <c r="C1779" s="1" t="s">
        <v>28</v>
      </c>
      <c r="D1779" s="2" t="s">
        <v>502</v>
      </c>
      <c r="E1779" s="2" t="s">
        <v>502</v>
      </c>
      <c r="F1779" s="2" t="s">
        <v>11</v>
      </c>
      <c r="G1779" s="3" t="s">
        <v>2079</v>
      </c>
      <c r="H1779" s="1" t="s">
        <v>12</v>
      </c>
      <c r="I1779" s="1" t="s">
        <v>70</v>
      </c>
      <c r="J1779" s="1" t="s">
        <v>14</v>
      </c>
    </row>
    <row r="1780" spans="2:10" x14ac:dyDescent="0.3">
      <c r="B1780" s="1" t="s">
        <v>2067</v>
      </c>
      <c r="C1780" s="1" t="s">
        <v>33</v>
      </c>
      <c r="D1780" s="2" t="s">
        <v>2080</v>
      </c>
      <c r="E1780" s="2" t="s">
        <v>2081</v>
      </c>
      <c r="F1780" s="2" t="s">
        <v>11</v>
      </c>
      <c r="G1780" s="3" t="s">
        <v>2082</v>
      </c>
      <c r="H1780" s="1" t="s">
        <v>12</v>
      </c>
      <c r="I1780" s="1" t="s">
        <v>38</v>
      </c>
      <c r="J1780" s="1" t="s">
        <v>52</v>
      </c>
    </row>
    <row r="1781" spans="2:10" x14ac:dyDescent="0.3">
      <c r="B1781" s="1" t="s">
        <v>2067</v>
      </c>
      <c r="C1781" s="1" t="s">
        <v>29</v>
      </c>
      <c r="D1781" s="2" t="s">
        <v>836</v>
      </c>
      <c r="E1781" s="2" t="s">
        <v>836</v>
      </c>
      <c r="F1781" s="2" t="s">
        <v>11</v>
      </c>
      <c r="G1781" s="3" t="s">
        <v>2083</v>
      </c>
      <c r="H1781" s="1" t="s">
        <v>12</v>
      </c>
      <c r="I1781" s="1" t="s">
        <v>16</v>
      </c>
      <c r="J1781" s="1" t="s">
        <v>14</v>
      </c>
    </row>
    <row r="1782" spans="2:10" x14ac:dyDescent="0.3">
      <c r="B1782" s="1" t="s">
        <v>2067</v>
      </c>
      <c r="C1782" s="1" t="s">
        <v>24</v>
      </c>
      <c r="D1782" s="2" t="s">
        <v>686</v>
      </c>
      <c r="E1782" s="2" t="s">
        <v>686</v>
      </c>
      <c r="F1782" s="2" t="s">
        <v>11</v>
      </c>
      <c r="G1782" s="3" t="s">
        <v>2084</v>
      </c>
      <c r="H1782" s="1" t="s">
        <v>12</v>
      </c>
      <c r="I1782" s="1" t="s">
        <v>78</v>
      </c>
      <c r="J1782" s="1" t="s">
        <v>14</v>
      </c>
    </row>
    <row r="1783" spans="2:10" x14ac:dyDescent="0.3">
      <c r="B1783" s="1" t="s">
        <v>2067</v>
      </c>
      <c r="C1783" s="1" t="s">
        <v>41</v>
      </c>
      <c r="D1783" s="2" t="s">
        <v>244</v>
      </c>
      <c r="E1783" s="2" t="s">
        <v>244</v>
      </c>
      <c r="F1783" s="2" t="s">
        <v>11</v>
      </c>
      <c r="G1783" s="3" t="s">
        <v>2085</v>
      </c>
      <c r="H1783" s="1" t="s">
        <v>12</v>
      </c>
      <c r="I1783" s="1" t="s">
        <v>37</v>
      </c>
      <c r="J1783" s="1" t="s">
        <v>14</v>
      </c>
    </row>
    <row r="1784" spans="2:10" x14ac:dyDescent="0.3">
      <c r="B1784" s="1" t="s">
        <v>2067</v>
      </c>
      <c r="C1784" s="1" t="s">
        <v>38</v>
      </c>
      <c r="D1784" s="2" t="s">
        <v>214</v>
      </c>
      <c r="E1784" s="2" t="s">
        <v>214</v>
      </c>
      <c r="F1784" s="2" t="s">
        <v>11</v>
      </c>
      <c r="G1784" s="3" t="s">
        <v>2086</v>
      </c>
      <c r="H1784" s="1" t="s">
        <v>12</v>
      </c>
      <c r="I1784" s="1" t="s">
        <v>87</v>
      </c>
      <c r="J1784" s="1" t="s">
        <v>14</v>
      </c>
    </row>
    <row r="1785" spans="2:10" x14ac:dyDescent="0.3">
      <c r="B1785" s="1" t="s">
        <v>2067</v>
      </c>
      <c r="C1785" s="1" t="s">
        <v>35</v>
      </c>
      <c r="D1785" s="2" t="s">
        <v>268</v>
      </c>
      <c r="E1785" s="2" t="s">
        <v>268</v>
      </c>
      <c r="F1785" s="2" t="s">
        <v>11</v>
      </c>
      <c r="G1785" s="3" t="s">
        <v>1994</v>
      </c>
      <c r="H1785" s="1" t="s">
        <v>12</v>
      </c>
      <c r="I1785" s="1" t="s">
        <v>55</v>
      </c>
      <c r="J1785" s="1" t="s">
        <v>14</v>
      </c>
    </row>
    <row r="1786" spans="2:10" x14ac:dyDescent="0.3">
      <c r="B1786" s="1" t="s">
        <v>2087</v>
      </c>
      <c r="C1786" s="1" t="s">
        <v>10</v>
      </c>
      <c r="D1786" s="2" t="s">
        <v>458</v>
      </c>
      <c r="E1786" s="2" t="s">
        <v>458</v>
      </c>
      <c r="F1786" s="2" t="s">
        <v>11</v>
      </c>
      <c r="G1786" s="3" t="s">
        <v>1512</v>
      </c>
      <c r="H1786" s="1" t="s">
        <v>12</v>
      </c>
      <c r="I1786" s="1" t="s">
        <v>49</v>
      </c>
      <c r="J1786" s="1" t="s">
        <v>14</v>
      </c>
    </row>
    <row r="1787" spans="2:10" x14ac:dyDescent="0.3">
      <c r="B1787" s="1" t="s">
        <v>2087</v>
      </c>
      <c r="C1787" s="1" t="s">
        <v>43</v>
      </c>
      <c r="D1787" s="2" t="s">
        <v>438</v>
      </c>
      <c r="E1787" s="2" t="s">
        <v>438</v>
      </c>
      <c r="F1787" s="2" t="s">
        <v>11</v>
      </c>
      <c r="G1787" s="3" t="s">
        <v>2037</v>
      </c>
      <c r="H1787" s="1" t="s">
        <v>12</v>
      </c>
      <c r="I1787" s="1" t="s">
        <v>66</v>
      </c>
      <c r="J1787" s="1" t="s">
        <v>14</v>
      </c>
    </row>
    <row r="1788" spans="2:10" x14ac:dyDescent="0.3">
      <c r="B1788" s="1" t="s">
        <v>2087</v>
      </c>
      <c r="C1788" s="1" t="s">
        <v>28</v>
      </c>
      <c r="D1788" s="2" t="s">
        <v>584</v>
      </c>
      <c r="E1788" s="2" t="s">
        <v>584</v>
      </c>
      <c r="F1788" s="2" t="s">
        <v>11</v>
      </c>
      <c r="G1788" s="3" t="s">
        <v>2088</v>
      </c>
      <c r="H1788" s="1" t="s">
        <v>12</v>
      </c>
      <c r="I1788" s="1" t="s">
        <v>16</v>
      </c>
      <c r="J1788" s="1" t="s">
        <v>14</v>
      </c>
    </row>
    <row r="1789" spans="2:10" x14ac:dyDescent="0.3">
      <c r="B1789" s="1" t="s">
        <v>2087</v>
      </c>
      <c r="C1789" s="1" t="s">
        <v>45</v>
      </c>
      <c r="D1789" s="2" t="s">
        <v>438</v>
      </c>
      <c r="E1789" s="2" t="s">
        <v>438</v>
      </c>
      <c r="F1789" s="2" t="s">
        <v>11</v>
      </c>
      <c r="G1789" s="3" t="s">
        <v>1407</v>
      </c>
      <c r="H1789" s="1" t="s">
        <v>12</v>
      </c>
      <c r="I1789" s="1" t="s">
        <v>16</v>
      </c>
      <c r="J1789" s="1" t="s">
        <v>14</v>
      </c>
    </row>
    <row r="1790" spans="2:10" x14ac:dyDescent="0.3">
      <c r="B1790" s="1" t="s">
        <v>2087</v>
      </c>
      <c r="C1790" s="1" t="s">
        <v>21</v>
      </c>
      <c r="D1790" s="2" t="s">
        <v>438</v>
      </c>
      <c r="E1790" s="2" t="s">
        <v>438</v>
      </c>
      <c r="F1790" s="2" t="s">
        <v>11</v>
      </c>
      <c r="G1790" s="3" t="s">
        <v>2089</v>
      </c>
      <c r="H1790" s="1" t="s">
        <v>12</v>
      </c>
      <c r="I1790" s="1" t="s">
        <v>66</v>
      </c>
      <c r="J1790" s="1" t="s">
        <v>14</v>
      </c>
    </row>
    <row r="1791" spans="2:10" x14ac:dyDescent="0.3">
      <c r="B1791" s="1" t="s">
        <v>2087</v>
      </c>
      <c r="C1791" s="1" t="s">
        <v>26</v>
      </c>
      <c r="D1791" s="2" t="s">
        <v>584</v>
      </c>
      <c r="E1791" s="2" t="s">
        <v>584</v>
      </c>
      <c r="F1791" s="2" t="s">
        <v>11</v>
      </c>
      <c r="G1791" s="3" t="s">
        <v>2090</v>
      </c>
      <c r="H1791" s="1" t="s">
        <v>12</v>
      </c>
      <c r="I1791" s="1" t="s">
        <v>13</v>
      </c>
      <c r="J1791" s="1" t="s">
        <v>14</v>
      </c>
    </row>
    <row r="1792" spans="2:10" x14ac:dyDescent="0.3">
      <c r="B1792" s="1" t="s">
        <v>2087</v>
      </c>
      <c r="C1792" s="1" t="s">
        <v>19</v>
      </c>
      <c r="D1792" s="2" t="s">
        <v>696</v>
      </c>
      <c r="E1792" s="2" t="s">
        <v>696</v>
      </c>
      <c r="F1792" s="2" t="s">
        <v>11</v>
      </c>
      <c r="G1792" s="3" t="s">
        <v>806</v>
      </c>
      <c r="H1792" s="1" t="s">
        <v>12</v>
      </c>
      <c r="I1792" s="1" t="s">
        <v>80</v>
      </c>
      <c r="J1792" s="1" t="s">
        <v>14</v>
      </c>
    </row>
    <row r="1793" spans="2:10" x14ac:dyDescent="0.3">
      <c r="B1793" s="1" t="s">
        <v>2087</v>
      </c>
      <c r="C1793" s="1" t="s">
        <v>29</v>
      </c>
      <c r="D1793" s="2" t="s">
        <v>443</v>
      </c>
      <c r="E1793" s="2" t="s">
        <v>443</v>
      </c>
      <c r="F1793" s="2" t="s">
        <v>11</v>
      </c>
      <c r="G1793" s="3" t="s">
        <v>2091</v>
      </c>
      <c r="H1793" s="1" t="s">
        <v>12</v>
      </c>
      <c r="I1793" s="1" t="s">
        <v>20</v>
      </c>
      <c r="J1793" s="1" t="s">
        <v>14</v>
      </c>
    </row>
    <row r="1794" spans="2:10" x14ac:dyDescent="0.3">
      <c r="B1794" s="1" t="s">
        <v>2087</v>
      </c>
      <c r="C1794" s="1" t="s">
        <v>41</v>
      </c>
      <c r="D1794" s="2" t="s">
        <v>438</v>
      </c>
      <c r="E1794" s="2" t="s">
        <v>438</v>
      </c>
      <c r="F1794" s="2" t="s">
        <v>11</v>
      </c>
      <c r="G1794" s="3" t="s">
        <v>2092</v>
      </c>
      <c r="H1794" s="1" t="s">
        <v>12</v>
      </c>
      <c r="I1794" s="1" t="s">
        <v>116</v>
      </c>
      <c r="J1794" s="1" t="s">
        <v>14</v>
      </c>
    </row>
    <row r="1795" spans="2:10" x14ac:dyDescent="0.3">
      <c r="B1795" s="1" t="s">
        <v>2087</v>
      </c>
      <c r="C1795" s="1" t="s">
        <v>15</v>
      </c>
      <c r="D1795" s="2" t="s">
        <v>747</v>
      </c>
      <c r="E1795" s="2" t="s">
        <v>747</v>
      </c>
      <c r="F1795" s="2" t="s">
        <v>11</v>
      </c>
      <c r="G1795" s="3" t="s">
        <v>1832</v>
      </c>
      <c r="H1795" s="1" t="s">
        <v>12</v>
      </c>
      <c r="I1795" s="1" t="s">
        <v>16</v>
      </c>
      <c r="J1795" s="1" t="s">
        <v>14</v>
      </c>
    </row>
    <row r="1796" spans="2:10" x14ac:dyDescent="0.3">
      <c r="B1796" s="1" t="s">
        <v>2087</v>
      </c>
      <c r="C1796" s="1" t="s">
        <v>36</v>
      </c>
      <c r="D1796" s="2" t="s">
        <v>2093</v>
      </c>
      <c r="E1796" s="2" t="s">
        <v>2093</v>
      </c>
      <c r="F1796" s="2" t="s">
        <v>11</v>
      </c>
      <c r="G1796" s="3" t="s">
        <v>2094</v>
      </c>
      <c r="H1796" s="1" t="s">
        <v>12</v>
      </c>
      <c r="I1796" s="1" t="s">
        <v>54</v>
      </c>
      <c r="J1796" s="1" t="s">
        <v>14</v>
      </c>
    </row>
    <row r="1797" spans="2:10" x14ac:dyDescent="0.3">
      <c r="B1797" s="1" t="s">
        <v>2087</v>
      </c>
      <c r="C1797" s="1" t="s">
        <v>23</v>
      </c>
      <c r="D1797" s="2" t="s">
        <v>584</v>
      </c>
      <c r="E1797" s="2" t="s">
        <v>584</v>
      </c>
      <c r="F1797" s="2" t="s">
        <v>11</v>
      </c>
      <c r="G1797" s="3" t="s">
        <v>1008</v>
      </c>
      <c r="H1797" s="1" t="s">
        <v>12</v>
      </c>
      <c r="I1797" s="1" t="s">
        <v>18</v>
      </c>
      <c r="J1797" s="1" t="s">
        <v>14</v>
      </c>
    </row>
    <row r="1798" spans="2:10" x14ac:dyDescent="0.3">
      <c r="B1798" s="1" t="s">
        <v>2087</v>
      </c>
      <c r="C1798" s="1" t="s">
        <v>46</v>
      </c>
      <c r="D1798" s="2" t="s">
        <v>443</v>
      </c>
      <c r="E1798" s="2" t="s">
        <v>443</v>
      </c>
      <c r="F1798" s="2" t="s">
        <v>11</v>
      </c>
      <c r="G1798" s="3" t="s">
        <v>1318</v>
      </c>
      <c r="H1798" s="1" t="s">
        <v>12</v>
      </c>
      <c r="I1798" s="1" t="s">
        <v>32</v>
      </c>
      <c r="J1798" s="1" t="s">
        <v>14</v>
      </c>
    </row>
    <row r="1799" spans="2:10" x14ac:dyDescent="0.3">
      <c r="B1799" s="1" t="s">
        <v>2087</v>
      </c>
      <c r="C1799" s="1" t="s">
        <v>17</v>
      </c>
      <c r="D1799" s="2" t="s">
        <v>455</v>
      </c>
      <c r="E1799" s="2" t="s">
        <v>455</v>
      </c>
      <c r="F1799" s="2" t="s">
        <v>11</v>
      </c>
      <c r="G1799" s="3" t="s">
        <v>2095</v>
      </c>
      <c r="H1799" s="1" t="s">
        <v>12</v>
      </c>
      <c r="I1799" s="1" t="s">
        <v>34</v>
      </c>
      <c r="J1799" s="1" t="s">
        <v>14</v>
      </c>
    </row>
    <row r="1800" spans="2:10" x14ac:dyDescent="0.3">
      <c r="B1800" s="1" t="s">
        <v>2087</v>
      </c>
      <c r="C1800" s="1" t="s">
        <v>38</v>
      </c>
      <c r="D1800" s="2" t="s">
        <v>628</v>
      </c>
      <c r="E1800" s="2" t="s">
        <v>1080</v>
      </c>
      <c r="F1800" s="2" t="s">
        <v>11</v>
      </c>
      <c r="G1800" s="3" t="s">
        <v>2096</v>
      </c>
      <c r="H1800" s="1" t="s">
        <v>12</v>
      </c>
      <c r="I1800" s="1" t="s">
        <v>15</v>
      </c>
      <c r="J1800" s="1" t="s">
        <v>52</v>
      </c>
    </row>
    <row r="1801" spans="2:10" x14ac:dyDescent="0.3">
      <c r="B1801" s="1" t="s">
        <v>2087</v>
      </c>
      <c r="C1801" s="1" t="s">
        <v>39</v>
      </c>
      <c r="D1801" s="2" t="s">
        <v>185</v>
      </c>
      <c r="E1801" s="2" t="s">
        <v>185</v>
      </c>
      <c r="F1801" s="2" t="s">
        <v>11</v>
      </c>
      <c r="G1801" s="3" t="s">
        <v>2097</v>
      </c>
      <c r="H1801" s="1" t="s">
        <v>12</v>
      </c>
      <c r="I1801" s="1" t="s">
        <v>64</v>
      </c>
      <c r="J1801" s="1" t="s">
        <v>14</v>
      </c>
    </row>
    <row r="1802" spans="2:10" x14ac:dyDescent="0.3">
      <c r="B1802" s="1" t="s">
        <v>2087</v>
      </c>
      <c r="C1802" s="1" t="s">
        <v>24</v>
      </c>
      <c r="D1802" s="2" t="s">
        <v>875</v>
      </c>
      <c r="E1802" s="2" t="s">
        <v>875</v>
      </c>
      <c r="F1802" s="2" t="s">
        <v>11</v>
      </c>
      <c r="G1802" s="3" t="s">
        <v>812</v>
      </c>
      <c r="H1802" s="1" t="s">
        <v>12</v>
      </c>
      <c r="I1802" s="1" t="s">
        <v>64</v>
      </c>
      <c r="J1802" s="1" t="s">
        <v>14</v>
      </c>
    </row>
    <row r="1803" spans="2:10" x14ac:dyDescent="0.3">
      <c r="B1803" s="1" t="s">
        <v>2087</v>
      </c>
      <c r="C1803" s="1" t="s">
        <v>31</v>
      </c>
      <c r="D1803" s="2" t="s">
        <v>747</v>
      </c>
      <c r="E1803" s="2" t="s">
        <v>747</v>
      </c>
      <c r="F1803" s="2" t="s">
        <v>11</v>
      </c>
      <c r="G1803" s="3" t="s">
        <v>634</v>
      </c>
      <c r="H1803" s="1" t="s">
        <v>12</v>
      </c>
      <c r="I1803" s="1" t="s">
        <v>61</v>
      </c>
      <c r="J1803" s="1" t="s">
        <v>14</v>
      </c>
    </row>
    <row r="1804" spans="2:10" x14ac:dyDescent="0.3">
      <c r="B1804" s="1" t="s">
        <v>2087</v>
      </c>
      <c r="C1804" s="1" t="s">
        <v>33</v>
      </c>
      <c r="D1804" s="2" t="s">
        <v>624</v>
      </c>
      <c r="E1804" s="2" t="s">
        <v>624</v>
      </c>
      <c r="F1804" s="2" t="s">
        <v>11</v>
      </c>
      <c r="G1804" s="3" t="s">
        <v>2098</v>
      </c>
      <c r="H1804" s="1" t="s">
        <v>12</v>
      </c>
      <c r="I1804" s="1" t="s">
        <v>48</v>
      </c>
      <c r="J1804" s="1" t="s">
        <v>14</v>
      </c>
    </row>
    <row r="1805" spans="2:10" x14ac:dyDescent="0.3">
      <c r="B1805" s="1" t="s">
        <v>2087</v>
      </c>
      <c r="C1805" s="1" t="s">
        <v>35</v>
      </c>
      <c r="D1805" s="2" t="s">
        <v>458</v>
      </c>
      <c r="E1805" s="2" t="s">
        <v>458</v>
      </c>
      <c r="F1805" s="2" t="s">
        <v>11</v>
      </c>
      <c r="G1805" s="3" t="s">
        <v>259</v>
      </c>
      <c r="H1805" s="1" t="s">
        <v>12</v>
      </c>
      <c r="I1805" s="1" t="s">
        <v>76</v>
      </c>
      <c r="J1805" s="1" t="s">
        <v>14</v>
      </c>
    </row>
    <row r="1806" spans="2:10" x14ac:dyDescent="0.3">
      <c r="B1806" s="1" t="s">
        <v>2099</v>
      </c>
      <c r="C1806" s="1" t="s">
        <v>43</v>
      </c>
      <c r="D1806" s="2" t="s">
        <v>438</v>
      </c>
      <c r="E1806" s="2" t="s">
        <v>438</v>
      </c>
      <c r="F1806" s="2" t="s">
        <v>11</v>
      </c>
      <c r="G1806" s="3" t="s">
        <v>2100</v>
      </c>
      <c r="H1806" s="1" t="s">
        <v>12</v>
      </c>
      <c r="I1806" s="1" t="s">
        <v>29</v>
      </c>
      <c r="J1806" s="1" t="s">
        <v>14</v>
      </c>
    </row>
    <row r="1807" spans="2:10" x14ac:dyDescent="0.3">
      <c r="B1807" s="1" t="s">
        <v>2099</v>
      </c>
      <c r="C1807" s="1" t="s">
        <v>28</v>
      </c>
      <c r="D1807" s="2" t="s">
        <v>475</v>
      </c>
      <c r="E1807" s="2" t="s">
        <v>475</v>
      </c>
      <c r="F1807" s="2" t="s">
        <v>11</v>
      </c>
      <c r="G1807" s="3" t="s">
        <v>2101</v>
      </c>
      <c r="H1807" s="1" t="s">
        <v>12</v>
      </c>
      <c r="I1807" s="1" t="s">
        <v>58</v>
      </c>
      <c r="J1807" s="1" t="s">
        <v>14</v>
      </c>
    </row>
    <row r="1808" spans="2:10" x14ac:dyDescent="0.3">
      <c r="B1808" s="1" t="s">
        <v>2099</v>
      </c>
      <c r="C1808" s="1" t="s">
        <v>39</v>
      </c>
      <c r="D1808" s="2" t="s">
        <v>387</v>
      </c>
      <c r="E1808" s="2" t="s">
        <v>387</v>
      </c>
      <c r="F1808" s="2" t="s">
        <v>11</v>
      </c>
      <c r="G1808" s="3" t="s">
        <v>2102</v>
      </c>
      <c r="H1808" s="1" t="s">
        <v>12</v>
      </c>
      <c r="I1808" s="1" t="s">
        <v>106</v>
      </c>
      <c r="J1808" s="1" t="s">
        <v>14</v>
      </c>
    </row>
    <row r="1809" spans="2:10" x14ac:dyDescent="0.3">
      <c r="B1809" s="1" t="s">
        <v>2099</v>
      </c>
      <c r="C1809" s="1" t="s">
        <v>24</v>
      </c>
      <c r="D1809" s="2" t="s">
        <v>387</v>
      </c>
      <c r="E1809" s="2" t="s">
        <v>387</v>
      </c>
      <c r="F1809" s="2" t="s">
        <v>11</v>
      </c>
      <c r="G1809" s="3" t="s">
        <v>2103</v>
      </c>
      <c r="H1809" s="1" t="s">
        <v>12</v>
      </c>
      <c r="I1809" s="1" t="s">
        <v>74</v>
      </c>
      <c r="J1809" s="1" t="s">
        <v>14</v>
      </c>
    </row>
    <row r="1810" spans="2:10" x14ac:dyDescent="0.3">
      <c r="B1810" s="1" t="s">
        <v>2099</v>
      </c>
      <c r="C1810" s="1" t="s">
        <v>10</v>
      </c>
      <c r="D1810" s="2" t="s">
        <v>1471</v>
      </c>
      <c r="E1810" s="2" t="s">
        <v>1471</v>
      </c>
      <c r="F1810" s="2" t="s">
        <v>11</v>
      </c>
      <c r="G1810" s="3" t="s">
        <v>2104</v>
      </c>
      <c r="H1810" s="1" t="s">
        <v>12</v>
      </c>
      <c r="I1810" s="1" t="s">
        <v>64</v>
      </c>
      <c r="J1810" s="1" t="s">
        <v>14</v>
      </c>
    </row>
    <row r="1811" spans="2:10" x14ac:dyDescent="0.3">
      <c r="B1811" s="1" t="s">
        <v>2099</v>
      </c>
      <c r="C1811" s="1" t="s">
        <v>36</v>
      </c>
      <c r="D1811" s="2" t="s">
        <v>2105</v>
      </c>
      <c r="E1811" s="2" t="s">
        <v>2106</v>
      </c>
      <c r="F1811" s="2" t="s">
        <v>11</v>
      </c>
      <c r="G1811" s="3" t="s">
        <v>2107</v>
      </c>
      <c r="H1811" s="1" t="s">
        <v>12</v>
      </c>
      <c r="I1811" s="1" t="s">
        <v>63</v>
      </c>
      <c r="J1811" s="1" t="s">
        <v>52</v>
      </c>
    </row>
    <row r="1812" spans="2:10" x14ac:dyDescent="0.3">
      <c r="B1812" s="1" t="s">
        <v>2099</v>
      </c>
      <c r="C1812" s="1" t="s">
        <v>41</v>
      </c>
      <c r="D1812" s="2" t="s">
        <v>240</v>
      </c>
      <c r="E1812" s="2" t="s">
        <v>240</v>
      </c>
      <c r="F1812" s="2" t="s">
        <v>11</v>
      </c>
      <c r="G1812" s="3" t="s">
        <v>2108</v>
      </c>
      <c r="H1812" s="1" t="s">
        <v>12</v>
      </c>
      <c r="I1812" s="1" t="s">
        <v>49</v>
      </c>
      <c r="J1812" s="1" t="s">
        <v>14</v>
      </c>
    </row>
    <row r="1813" spans="2:10" x14ac:dyDescent="0.3">
      <c r="B1813" s="1" t="s">
        <v>2099</v>
      </c>
      <c r="C1813" s="1" t="s">
        <v>26</v>
      </c>
      <c r="D1813" s="2" t="s">
        <v>777</v>
      </c>
      <c r="E1813" s="2" t="s">
        <v>476</v>
      </c>
      <c r="F1813" s="2" t="s">
        <v>11</v>
      </c>
      <c r="G1813" s="3" t="s">
        <v>2109</v>
      </c>
      <c r="H1813" s="1" t="s">
        <v>12</v>
      </c>
      <c r="I1813" s="1" t="s">
        <v>46</v>
      </c>
      <c r="J1813" s="1" t="s">
        <v>52</v>
      </c>
    </row>
    <row r="1814" spans="2:10" x14ac:dyDescent="0.3">
      <c r="B1814" s="1" t="s">
        <v>2099</v>
      </c>
      <c r="C1814" s="1" t="s">
        <v>21</v>
      </c>
      <c r="D1814" s="2" t="s">
        <v>838</v>
      </c>
      <c r="E1814" s="2" t="s">
        <v>838</v>
      </c>
      <c r="F1814" s="2" t="s">
        <v>11</v>
      </c>
      <c r="G1814" s="3" t="s">
        <v>2110</v>
      </c>
      <c r="H1814" s="1" t="s">
        <v>12</v>
      </c>
      <c r="I1814" s="1" t="s">
        <v>79</v>
      </c>
      <c r="J1814" s="1" t="s">
        <v>14</v>
      </c>
    </row>
    <row r="1815" spans="2:10" x14ac:dyDescent="0.3">
      <c r="B1815" s="1" t="s">
        <v>2099</v>
      </c>
      <c r="C1815" s="1" t="s">
        <v>46</v>
      </c>
      <c r="D1815" s="2" t="s">
        <v>838</v>
      </c>
      <c r="E1815" s="2" t="s">
        <v>838</v>
      </c>
      <c r="F1815" s="2" t="s">
        <v>11</v>
      </c>
      <c r="G1815" s="3" t="s">
        <v>1784</v>
      </c>
      <c r="H1815" s="1" t="s">
        <v>12</v>
      </c>
      <c r="I1815" s="1" t="s">
        <v>18</v>
      </c>
      <c r="J1815" s="1" t="s">
        <v>14</v>
      </c>
    </row>
    <row r="1816" spans="2:10" x14ac:dyDescent="0.3">
      <c r="B1816" s="1" t="s">
        <v>2099</v>
      </c>
      <c r="C1816" s="1" t="s">
        <v>29</v>
      </c>
      <c r="D1816" s="2" t="s">
        <v>838</v>
      </c>
      <c r="E1816" s="2" t="s">
        <v>838</v>
      </c>
      <c r="F1816" s="2" t="s">
        <v>11</v>
      </c>
      <c r="G1816" s="3" t="s">
        <v>2111</v>
      </c>
      <c r="H1816" s="1" t="s">
        <v>12</v>
      </c>
      <c r="I1816" s="1" t="s">
        <v>25</v>
      </c>
      <c r="J1816" s="1" t="s">
        <v>14</v>
      </c>
    </row>
    <row r="1817" spans="2:10" x14ac:dyDescent="0.3">
      <c r="B1817" s="1" t="s">
        <v>2099</v>
      </c>
      <c r="C1817" s="1" t="s">
        <v>15</v>
      </c>
      <c r="D1817" s="2" t="s">
        <v>836</v>
      </c>
      <c r="E1817" s="2" t="s">
        <v>836</v>
      </c>
      <c r="F1817" s="2" t="s">
        <v>11</v>
      </c>
      <c r="G1817" s="3" t="s">
        <v>2112</v>
      </c>
      <c r="H1817" s="1" t="s">
        <v>12</v>
      </c>
      <c r="I1817" s="1" t="s">
        <v>57</v>
      </c>
      <c r="J1817" s="1" t="s">
        <v>14</v>
      </c>
    </row>
    <row r="1818" spans="2:10" x14ac:dyDescent="0.3">
      <c r="B1818" s="1" t="s">
        <v>2099</v>
      </c>
      <c r="C1818" s="1" t="s">
        <v>35</v>
      </c>
      <c r="D1818" s="2" t="s">
        <v>387</v>
      </c>
      <c r="E1818" s="2" t="s">
        <v>387</v>
      </c>
      <c r="F1818" s="2" t="s">
        <v>11</v>
      </c>
      <c r="G1818" s="3" t="s">
        <v>2113</v>
      </c>
      <c r="H1818" s="1" t="s">
        <v>12</v>
      </c>
      <c r="I1818" s="1" t="s">
        <v>13</v>
      </c>
      <c r="J1818" s="1" t="s">
        <v>14</v>
      </c>
    </row>
    <row r="1819" spans="2:10" x14ac:dyDescent="0.3">
      <c r="B1819" s="1" t="s">
        <v>2099</v>
      </c>
      <c r="C1819" s="1" t="s">
        <v>19</v>
      </c>
      <c r="D1819" s="2" t="s">
        <v>842</v>
      </c>
      <c r="E1819" s="2" t="s">
        <v>842</v>
      </c>
      <c r="F1819" s="2" t="s">
        <v>11</v>
      </c>
      <c r="G1819" s="3" t="s">
        <v>2114</v>
      </c>
      <c r="H1819" s="1" t="s">
        <v>12</v>
      </c>
      <c r="I1819" s="1" t="s">
        <v>64</v>
      </c>
      <c r="J1819" s="1" t="s">
        <v>14</v>
      </c>
    </row>
    <row r="1820" spans="2:10" x14ac:dyDescent="0.3">
      <c r="B1820" s="1" t="s">
        <v>2099</v>
      </c>
      <c r="C1820" s="1" t="s">
        <v>23</v>
      </c>
      <c r="D1820" s="2" t="s">
        <v>766</v>
      </c>
      <c r="E1820" s="2" t="s">
        <v>766</v>
      </c>
      <c r="F1820" s="2" t="s">
        <v>11</v>
      </c>
      <c r="G1820" s="3" t="s">
        <v>2115</v>
      </c>
      <c r="H1820" s="1" t="s">
        <v>12</v>
      </c>
      <c r="I1820" s="1" t="s">
        <v>18</v>
      </c>
      <c r="J1820" s="1" t="s">
        <v>14</v>
      </c>
    </row>
    <row r="1821" spans="2:10" x14ac:dyDescent="0.3">
      <c r="B1821" s="1" t="s">
        <v>2099</v>
      </c>
      <c r="C1821" s="1" t="s">
        <v>17</v>
      </c>
      <c r="D1821" s="2" t="s">
        <v>529</v>
      </c>
      <c r="E1821" s="2" t="s">
        <v>529</v>
      </c>
      <c r="F1821" s="2" t="s">
        <v>11</v>
      </c>
      <c r="G1821" s="3" t="s">
        <v>2116</v>
      </c>
      <c r="H1821" s="1" t="s">
        <v>12</v>
      </c>
      <c r="I1821" s="1" t="s">
        <v>58</v>
      </c>
      <c r="J1821" s="1" t="s">
        <v>14</v>
      </c>
    </row>
    <row r="1822" spans="2:10" x14ac:dyDescent="0.3">
      <c r="B1822" s="1" t="s">
        <v>2099</v>
      </c>
      <c r="C1822" s="1" t="s">
        <v>45</v>
      </c>
      <c r="D1822" s="2" t="s">
        <v>838</v>
      </c>
      <c r="E1822" s="2" t="s">
        <v>838</v>
      </c>
      <c r="F1822" s="2" t="s">
        <v>11</v>
      </c>
      <c r="G1822" s="3" t="s">
        <v>2108</v>
      </c>
      <c r="H1822" s="1" t="s">
        <v>12</v>
      </c>
      <c r="I1822" s="1" t="s">
        <v>27</v>
      </c>
      <c r="J1822" s="1" t="s">
        <v>14</v>
      </c>
    </row>
    <row r="1823" spans="2:10" x14ac:dyDescent="0.3">
      <c r="B1823" s="1" t="s">
        <v>2099</v>
      </c>
      <c r="C1823" s="1" t="s">
        <v>38</v>
      </c>
      <c r="D1823" s="2" t="s">
        <v>838</v>
      </c>
      <c r="E1823" s="2" t="s">
        <v>838</v>
      </c>
      <c r="F1823" s="2" t="s">
        <v>11</v>
      </c>
      <c r="G1823" s="3" t="s">
        <v>2117</v>
      </c>
      <c r="H1823" s="1" t="s">
        <v>12</v>
      </c>
      <c r="I1823" s="1" t="s">
        <v>25</v>
      </c>
      <c r="J1823" s="1" t="s">
        <v>14</v>
      </c>
    </row>
    <row r="1824" spans="2:10" x14ac:dyDescent="0.3">
      <c r="B1824" s="1" t="s">
        <v>2099</v>
      </c>
      <c r="C1824" s="1" t="s">
        <v>31</v>
      </c>
      <c r="D1824" s="2" t="s">
        <v>836</v>
      </c>
      <c r="E1824" s="2" t="s">
        <v>836</v>
      </c>
      <c r="F1824" s="2" t="s">
        <v>11</v>
      </c>
      <c r="G1824" s="3" t="s">
        <v>2118</v>
      </c>
      <c r="H1824" s="1" t="s">
        <v>12</v>
      </c>
      <c r="I1824" s="1" t="s">
        <v>51</v>
      </c>
      <c r="J1824" s="1" t="s">
        <v>14</v>
      </c>
    </row>
    <row r="1825" spans="2:10" x14ac:dyDescent="0.3">
      <c r="B1825" s="1" t="s">
        <v>2099</v>
      </c>
      <c r="C1825" s="1" t="s">
        <v>33</v>
      </c>
      <c r="D1825" s="2" t="s">
        <v>779</v>
      </c>
      <c r="E1825" s="2" t="s">
        <v>779</v>
      </c>
      <c r="F1825" s="2" t="s">
        <v>11</v>
      </c>
      <c r="G1825" s="3" t="s">
        <v>2119</v>
      </c>
      <c r="H1825" s="1" t="s">
        <v>12</v>
      </c>
      <c r="I1825" s="1" t="s">
        <v>76</v>
      </c>
      <c r="J1825" s="1" t="s">
        <v>14</v>
      </c>
    </row>
    <row r="1826" spans="2:10" x14ac:dyDescent="0.3">
      <c r="B1826" s="1" t="s">
        <v>2120</v>
      </c>
      <c r="C1826" s="1" t="s">
        <v>38</v>
      </c>
      <c r="D1826" s="2" t="s">
        <v>443</v>
      </c>
      <c r="E1826" s="2" t="s">
        <v>443</v>
      </c>
      <c r="F1826" s="2" t="s">
        <v>11</v>
      </c>
      <c r="G1826" s="3" t="s">
        <v>2121</v>
      </c>
      <c r="H1826" s="1" t="s">
        <v>12</v>
      </c>
      <c r="I1826" s="1" t="s">
        <v>49</v>
      </c>
      <c r="J1826" s="1" t="s">
        <v>14</v>
      </c>
    </row>
    <row r="1827" spans="2:10" x14ac:dyDescent="0.3">
      <c r="B1827" s="1" t="s">
        <v>2120</v>
      </c>
      <c r="C1827" s="1" t="s">
        <v>33</v>
      </c>
      <c r="D1827" s="2" t="s">
        <v>190</v>
      </c>
      <c r="E1827" s="2" t="s">
        <v>190</v>
      </c>
      <c r="F1827" s="2" t="s">
        <v>11</v>
      </c>
      <c r="G1827" s="3" t="s">
        <v>2122</v>
      </c>
      <c r="H1827" s="1" t="s">
        <v>12</v>
      </c>
      <c r="I1827" s="1" t="s">
        <v>51</v>
      </c>
      <c r="J1827" s="1" t="s">
        <v>14</v>
      </c>
    </row>
    <row r="1828" spans="2:10" x14ac:dyDescent="0.3">
      <c r="B1828" s="1" t="s">
        <v>2120</v>
      </c>
      <c r="C1828" s="1" t="s">
        <v>15</v>
      </c>
      <c r="D1828" s="2" t="s">
        <v>439</v>
      </c>
      <c r="E1828" s="2" t="s">
        <v>439</v>
      </c>
      <c r="F1828" s="2" t="s">
        <v>11</v>
      </c>
      <c r="G1828" s="3" t="s">
        <v>1781</v>
      </c>
      <c r="H1828" s="1" t="s">
        <v>12</v>
      </c>
      <c r="I1828" s="1" t="s">
        <v>89</v>
      </c>
      <c r="J1828" s="1" t="s">
        <v>14</v>
      </c>
    </row>
    <row r="1829" spans="2:10" x14ac:dyDescent="0.3">
      <c r="B1829" s="1" t="s">
        <v>2120</v>
      </c>
      <c r="C1829" s="1" t="s">
        <v>29</v>
      </c>
      <c r="D1829" s="2" t="s">
        <v>2123</v>
      </c>
      <c r="E1829" s="2" t="s">
        <v>972</v>
      </c>
      <c r="F1829" s="2" t="s">
        <v>11</v>
      </c>
      <c r="G1829" s="3" t="s">
        <v>2124</v>
      </c>
      <c r="H1829" s="1" t="s">
        <v>12</v>
      </c>
      <c r="I1829" s="1" t="s">
        <v>15</v>
      </c>
      <c r="J1829" s="1" t="s">
        <v>52</v>
      </c>
    </row>
    <row r="1830" spans="2:10" x14ac:dyDescent="0.3">
      <c r="B1830" s="1" t="s">
        <v>2120</v>
      </c>
      <c r="C1830" s="1" t="s">
        <v>41</v>
      </c>
      <c r="D1830" s="2" t="s">
        <v>438</v>
      </c>
      <c r="E1830" s="2" t="s">
        <v>438</v>
      </c>
      <c r="F1830" s="2" t="s">
        <v>11</v>
      </c>
      <c r="G1830" s="3" t="s">
        <v>1254</v>
      </c>
      <c r="H1830" s="1" t="s">
        <v>12</v>
      </c>
      <c r="I1830" s="1" t="s">
        <v>66</v>
      </c>
      <c r="J1830" s="1" t="s">
        <v>14</v>
      </c>
    </row>
    <row r="1831" spans="2:10" x14ac:dyDescent="0.3">
      <c r="B1831" s="1" t="s">
        <v>2120</v>
      </c>
      <c r="C1831" s="1" t="s">
        <v>35</v>
      </c>
      <c r="D1831" s="2" t="s">
        <v>443</v>
      </c>
      <c r="E1831" s="2" t="s">
        <v>443</v>
      </c>
      <c r="F1831" s="2" t="s">
        <v>11</v>
      </c>
      <c r="G1831" s="3" t="s">
        <v>2125</v>
      </c>
      <c r="H1831" s="1" t="s">
        <v>12</v>
      </c>
      <c r="I1831" s="1" t="s">
        <v>44</v>
      </c>
      <c r="J1831" s="1" t="s">
        <v>14</v>
      </c>
    </row>
    <row r="1832" spans="2:10" x14ac:dyDescent="0.3">
      <c r="B1832" s="1" t="s">
        <v>2120</v>
      </c>
      <c r="C1832" s="1" t="s">
        <v>46</v>
      </c>
      <c r="D1832" s="2" t="s">
        <v>443</v>
      </c>
      <c r="E1832" s="2" t="s">
        <v>443</v>
      </c>
      <c r="F1832" s="2" t="s">
        <v>11</v>
      </c>
      <c r="G1832" s="3" t="s">
        <v>2126</v>
      </c>
      <c r="H1832" s="1" t="s">
        <v>12</v>
      </c>
      <c r="I1832" s="1" t="s">
        <v>13</v>
      </c>
      <c r="J1832" s="1" t="s">
        <v>14</v>
      </c>
    </row>
    <row r="1833" spans="2:10" x14ac:dyDescent="0.3">
      <c r="B1833" s="1" t="s">
        <v>2120</v>
      </c>
      <c r="C1833" s="1" t="s">
        <v>45</v>
      </c>
      <c r="D1833" s="2" t="s">
        <v>439</v>
      </c>
      <c r="E1833" s="2" t="s">
        <v>439</v>
      </c>
      <c r="F1833" s="2" t="s">
        <v>11</v>
      </c>
      <c r="G1833" s="3" t="s">
        <v>2127</v>
      </c>
      <c r="H1833" s="1" t="s">
        <v>12</v>
      </c>
      <c r="I1833" s="1" t="s">
        <v>34</v>
      </c>
      <c r="J1833" s="1" t="s">
        <v>14</v>
      </c>
    </row>
    <row r="1834" spans="2:10" x14ac:dyDescent="0.3">
      <c r="B1834" s="1" t="s">
        <v>2120</v>
      </c>
      <c r="C1834" s="1" t="s">
        <v>28</v>
      </c>
      <c r="D1834" s="2" t="s">
        <v>584</v>
      </c>
      <c r="E1834" s="2" t="s">
        <v>584</v>
      </c>
      <c r="F1834" s="2" t="s">
        <v>11</v>
      </c>
      <c r="G1834" s="3" t="s">
        <v>2128</v>
      </c>
      <c r="H1834" s="1" t="s">
        <v>12</v>
      </c>
      <c r="I1834" s="1" t="s">
        <v>55</v>
      </c>
      <c r="J1834" s="1" t="s">
        <v>14</v>
      </c>
    </row>
    <row r="1835" spans="2:10" x14ac:dyDescent="0.3">
      <c r="B1835" s="1" t="s">
        <v>2120</v>
      </c>
      <c r="C1835" s="1" t="s">
        <v>21</v>
      </c>
      <c r="D1835" s="2" t="s">
        <v>443</v>
      </c>
      <c r="E1835" s="2" t="s">
        <v>443</v>
      </c>
      <c r="F1835" s="2" t="s">
        <v>11</v>
      </c>
      <c r="G1835" s="3" t="s">
        <v>2129</v>
      </c>
      <c r="H1835" s="1" t="s">
        <v>12</v>
      </c>
      <c r="I1835" s="1" t="s">
        <v>30</v>
      </c>
      <c r="J1835" s="1" t="s">
        <v>14</v>
      </c>
    </row>
    <row r="1836" spans="2:10" x14ac:dyDescent="0.3">
      <c r="B1836" s="1" t="s">
        <v>2120</v>
      </c>
      <c r="C1836" s="1" t="s">
        <v>36</v>
      </c>
      <c r="D1836" s="2" t="s">
        <v>439</v>
      </c>
      <c r="E1836" s="2" t="s">
        <v>439</v>
      </c>
      <c r="F1836" s="2" t="s">
        <v>11</v>
      </c>
      <c r="G1836" s="3" t="s">
        <v>2130</v>
      </c>
      <c r="H1836" s="1" t="s">
        <v>12</v>
      </c>
      <c r="I1836" s="1" t="s">
        <v>66</v>
      </c>
      <c r="J1836" s="1" t="s">
        <v>14</v>
      </c>
    </row>
    <row r="1837" spans="2:10" x14ac:dyDescent="0.3">
      <c r="B1837" s="1" t="s">
        <v>2120</v>
      </c>
      <c r="C1837" s="1" t="s">
        <v>17</v>
      </c>
      <c r="D1837" s="2" t="s">
        <v>439</v>
      </c>
      <c r="E1837" s="2" t="s">
        <v>439</v>
      </c>
      <c r="F1837" s="2" t="s">
        <v>11</v>
      </c>
      <c r="G1837" s="3" t="s">
        <v>2131</v>
      </c>
      <c r="H1837" s="1" t="s">
        <v>12</v>
      </c>
      <c r="I1837" s="1" t="s">
        <v>76</v>
      </c>
      <c r="J1837" s="1" t="s">
        <v>14</v>
      </c>
    </row>
    <row r="1838" spans="2:10" x14ac:dyDescent="0.3">
      <c r="B1838" s="1" t="s">
        <v>2120</v>
      </c>
      <c r="C1838" s="1" t="s">
        <v>43</v>
      </c>
      <c r="D1838" s="2" t="s">
        <v>439</v>
      </c>
      <c r="E1838" s="2" t="s">
        <v>439</v>
      </c>
      <c r="F1838" s="2" t="s">
        <v>11</v>
      </c>
      <c r="G1838" s="3" t="s">
        <v>474</v>
      </c>
      <c r="H1838" s="1" t="s">
        <v>12</v>
      </c>
      <c r="I1838" s="1" t="s">
        <v>22</v>
      </c>
      <c r="J1838" s="1" t="s">
        <v>14</v>
      </c>
    </row>
    <row r="1839" spans="2:10" x14ac:dyDescent="0.3">
      <c r="B1839" s="1" t="s">
        <v>2120</v>
      </c>
      <c r="C1839" s="1" t="s">
        <v>23</v>
      </c>
      <c r="D1839" s="2" t="s">
        <v>433</v>
      </c>
      <c r="E1839" s="2" t="s">
        <v>433</v>
      </c>
      <c r="F1839" s="2" t="s">
        <v>11</v>
      </c>
      <c r="G1839" s="3" t="s">
        <v>2132</v>
      </c>
      <c r="H1839" s="1" t="s">
        <v>12</v>
      </c>
      <c r="I1839" s="1" t="s">
        <v>48</v>
      </c>
      <c r="J1839" s="1" t="s">
        <v>14</v>
      </c>
    </row>
    <row r="1840" spans="2:10" x14ac:dyDescent="0.3">
      <c r="B1840" s="1" t="s">
        <v>2120</v>
      </c>
      <c r="C1840" s="1" t="s">
        <v>39</v>
      </c>
      <c r="D1840" s="2" t="s">
        <v>443</v>
      </c>
      <c r="E1840" s="2" t="s">
        <v>443</v>
      </c>
      <c r="F1840" s="2" t="s">
        <v>11</v>
      </c>
      <c r="G1840" s="3" t="s">
        <v>1295</v>
      </c>
      <c r="H1840" s="1" t="s">
        <v>12</v>
      </c>
      <c r="I1840" s="1" t="s">
        <v>61</v>
      </c>
      <c r="J1840" s="1" t="s">
        <v>14</v>
      </c>
    </row>
    <row r="1841" spans="2:10" x14ac:dyDescent="0.3">
      <c r="B1841" s="1" t="s">
        <v>2120</v>
      </c>
      <c r="C1841" s="1" t="s">
        <v>24</v>
      </c>
      <c r="D1841" s="2" t="s">
        <v>316</v>
      </c>
      <c r="E1841" s="2" t="s">
        <v>316</v>
      </c>
      <c r="F1841" s="2" t="s">
        <v>11</v>
      </c>
      <c r="G1841" s="3" t="s">
        <v>2133</v>
      </c>
      <c r="H1841" s="1" t="s">
        <v>12</v>
      </c>
      <c r="I1841" s="1" t="s">
        <v>30</v>
      </c>
      <c r="J1841" s="1" t="s">
        <v>14</v>
      </c>
    </row>
    <row r="1842" spans="2:10" x14ac:dyDescent="0.3">
      <c r="B1842" s="1" t="s">
        <v>2120</v>
      </c>
      <c r="C1842" s="1" t="s">
        <v>19</v>
      </c>
      <c r="D1842" s="2" t="s">
        <v>758</v>
      </c>
      <c r="E1842" s="2" t="s">
        <v>240</v>
      </c>
      <c r="F1842" s="2" t="s">
        <v>11</v>
      </c>
      <c r="G1842" s="3" t="s">
        <v>2134</v>
      </c>
      <c r="H1842" s="1" t="s">
        <v>12</v>
      </c>
      <c r="I1842" s="1" t="s">
        <v>46</v>
      </c>
      <c r="J1842" s="1" t="s">
        <v>52</v>
      </c>
    </row>
    <row r="1843" spans="2:10" x14ac:dyDescent="0.3">
      <c r="B1843" s="1" t="s">
        <v>2120</v>
      </c>
      <c r="C1843" s="1" t="s">
        <v>26</v>
      </c>
      <c r="D1843" s="2" t="s">
        <v>751</v>
      </c>
      <c r="E1843" s="2" t="s">
        <v>751</v>
      </c>
      <c r="F1843" s="2" t="s">
        <v>11</v>
      </c>
      <c r="G1843" s="3" t="s">
        <v>2135</v>
      </c>
      <c r="H1843" s="1" t="s">
        <v>12</v>
      </c>
      <c r="I1843" s="1" t="s">
        <v>50</v>
      </c>
      <c r="J1843" s="1" t="s">
        <v>14</v>
      </c>
    </row>
    <row r="1844" spans="2:10" x14ac:dyDescent="0.3">
      <c r="B1844" s="1" t="s">
        <v>2120</v>
      </c>
      <c r="C1844" s="1" t="s">
        <v>10</v>
      </c>
      <c r="D1844" s="2" t="s">
        <v>458</v>
      </c>
      <c r="E1844" s="2" t="s">
        <v>458</v>
      </c>
      <c r="F1844" s="2" t="s">
        <v>11</v>
      </c>
      <c r="G1844" s="3" t="s">
        <v>2136</v>
      </c>
      <c r="H1844" s="1" t="s">
        <v>12</v>
      </c>
      <c r="I1844" s="1" t="s">
        <v>64</v>
      </c>
      <c r="J1844" s="1" t="s">
        <v>14</v>
      </c>
    </row>
    <row r="1845" spans="2:10" x14ac:dyDescent="0.3">
      <c r="B1845" s="1" t="s">
        <v>2120</v>
      </c>
      <c r="C1845" s="1" t="s">
        <v>31</v>
      </c>
      <c r="D1845" s="2" t="s">
        <v>433</v>
      </c>
      <c r="E1845" s="2" t="s">
        <v>433</v>
      </c>
      <c r="F1845" s="2" t="s">
        <v>11</v>
      </c>
      <c r="G1845" s="3" t="s">
        <v>2137</v>
      </c>
      <c r="H1845" s="1" t="s">
        <v>12</v>
      </c>
      <c r="I1845" s="1" t="s">
        <v>56</v>
      </c>
      <c r="J1845" s="1" t="s">
        <v>14</v>
      </c>
    </row>
    <row r="1846" spans="2:10" x14ac:dyDescent="0.3">
      <c r="B1846" s="1" t="s">
        <v>2138</v>
      </c>
      <c r="C1846" s="1" t="s">
        <v>26</v>
      </c>
      <c r="D1846" s="2" t="s">
        <v>1495</v>
      </c>
      <c r="E1846" s="2" t="s">
        <v>1495</v>
      </c>
      <c r="F1846" s="2" t="s">
        <v>11</v>
      </c>
      <c r="G1846" s="3" t="s">
        <v>2139</v>
      </c>
      <c r="H1846" s="1" t="s">
        <v>12</v>
      </c>
      <c r="I1846" s="1" t="s">
        <v>69</v>
      </c>
      <c r="J1846" s="1" t="s">
        <v>14</v>
      </c>
    </row>
    <row r="1847" spans="2:10" x14ac:dyDescent="0.3">
      <c r="B1847" s="1" t="s">
        <v>2138</v>
      </c>
      <c r="C1847" s="1" t="s">
        <v>31</v>
      </c>
      <c r="D1847" s="2" t="s">
        <v>1495</v>
      </c>
      <c r="E1847" s="2" t="s">
        <v>1495</v>
      </c>
      <c r="F1847" s="2" t="s">
        <v>11</v>
      </c>
      <c r="G1847" s="3" t="s">
        <v>2140</v>
      </c>
      <c r="H1847" s="1" t="s">
        <v>12</v>
      </c>
      <c r="I1847" s="1" t="s">
        <v>22</v>
      </c>
      <c r="J1847" s="1" t="s">
        <v>14</v>
      </c>
    </row>
    <row r="1848" spans="2:10" x14ac:dyDescent="0.3">
      <c r="B1848" s="1" t="s">
        <v>2138</v>
      </c>
      <c r="C1848" s="1" t="s">
        <v>10</v>
      </c>
      <c r="D1848" s="2" t="s">
        <v>214</v>
      </c>
      <c r="E1848" s="2" t="s">
        <v>499</v>
      </c>
      <c r="F1848" s="2" t="s">
        <v>11</v>
      </c>
      <c r="G1848" s="3" t="s">
        <v>2141</v>
      </c>
      <c r="H1848" s="1" t="s">
        <v>12</v>
      </c>
      <c r="I1848" s="1" t="s">
        <v>15</v>
      </c>
      <c r="J1848" s="1" t="s">
        <v>52</v>
      </c>
    </row>
    <row r="1849" spans="2:10" x14ac:dyDescent="0.3">
      <c r="B1849" s="1" t="s">
        <v>2138</v>
      </c>
      <c r="C1849" s="1" t="s">
        <v>35</v>
      </c>
      <c r="D1849" s="2" t="s">
        <v>380</v>
      </c>
      <c r="E1849" s="2" t="s">
        <v>380</v>
      </c>
      <c r="F1849" s="2" t="s">
        <v>11</v>
      </c>
      <c r="G1849" s="3" t="s">
        <v>1813</v>
      </c>
      <c r="H1849" s="1" t="s">
        <v>12</v>
      </c>
      <c r="I1849" s="1" t="s">
        <v>62</v>
      </c>
      <c r="J1849" s="1" t="s">
        <v>14</v>
      </c>
    </row>
    <row r="1850" spans="2:10" x14ac:dyDescent="0.3">
      <c r="B1850" s="1" t="s">
        <v>2138</v>
      </c>
      <c r="C1850" s="1" t="s">
        <v>19</v>
      </c>
      <c r="D1850" s="2" t="s">
        <v>1495</v>
      </c>
      <c r="E1850" s="2" t="s">
        <v>1495</v>
      </c>
      <c r="F1850" s="2" t="s">
        <v>11</v>
      </c>
      <c r="G1850" s="3" t="s">
        <v>2142</v>
      </c>
      <c r="H1850" s="1" t="s">
        <v>12</v>
      </c>
      <c r="I1850" s="1" t="s">
        <v>50</v>
      </c>
      <c r="J1850" s="1" t="s">
        <v>14</v>
      </c>
    </row>
    <row r="1851" spans="2:10" x14ac:dyDescent="0.3">
      <c r="B1851" s="1" t="s">
        <v>2138</v>
      </c>
      <c r="C1851" s="1" t="s">
        <v>21</v>
      </c>
      <c r="D1851" s="2" t="s">
        <v>1495</v>
      </c>
      <c r="E1851" s="2" t="s">
        <v>1495</v>
      </c>
      <c r="F1851" s="2" t="s">
        <v>11</v>
      </c>
      <c r="G1851" s="3" t="s">
        <v>948</v>
      </c>
      <c r="H1851" s="1" t="s">
        <v>12</v>
      </c>
      <c r="I1851" s="1" t="s">
        <v>22</v>
      </c>
      <c r="J1851" s="1" t="s">
        <v>14</v>
      </c>
    </row>
    <row r="1852" spans="2:10" x14ac:dyDescent="0.3">
      <c r="B1852" s="1" t="s">
        <v>2138</v>
      </c>
      <c r="C1852" s="1" t="s">
        <v>24</v>
      </c>
      <c r="D1852" s="2" t="s">
        <v>1495</v>
      </c>
      <c r="E1852" s="2" t="s">
        <v>1495</v>
      </c>
      <c r="F1852" s="2" t="s">
        <v>11</v>
      </c>
      <c r="G1852" s="3" t="s">
        <v>2143</v>
      </c>
      <c r="H1852" s="1" t="s">
        <v>12</v>
      </c>
      <c r="I1852" s="1" t="s">
        <v>62</v>
      </c>
      <c r="J1852" s="1" t="s">
        <v>14</v>
      </c>
    </row>
    <row r="1853" spans="2:10" x14ac:dyDescent="0.3">
      <c r="B1853" s="1" t="s">
        <v>2138</v>
      </c>
      <c r="C1853" s="1" t="s">
        <v>23</v>
      </c>
      <c r="D1853" s="2" t="s">
        <v>2144</v>
      </c>
      <c r="E1853" s="2" t="s">
        <v>2144</v>
      </c>
      <c r="F1853" s="2" t="s">
        <v>11</v>
      </c>
      <c r="G1853" s="3" t="s">
        <v>981</v>
      </c>
      <c r="H1853" s="1" t="s">
        <v>12</v>
      </c>
      <c r="I1853" s="1" t="s">
        <v>60</v>
      </c>
      <c r="J1853" s="1" t="s">
        <v>14</v>
      </c>
    </row>
    <row r="1854" spans="2:10" x14ac:dyDescent="0.3">
      <c r="B1854" s="1" t="s">
        <v>2138</v>
      </c>
      <c r="C1854" s="1" t="s">
        <v>45</v>
      </c>
      <c r="D1854" s="2" t="s">
        <v>380</v>
      </c>
      <c r="E1854" s="2" t="s">
        <v>380</v>
      </c>
      <c r="F1854" s="2" t="s">
        <v>11</v>
      </c>
      <c r="G1854" s="3" t="s">
        <v>1694</v>
      </c>
      <c r="H1854" s="1" t="s">
        <v>12</v>
      </c>
      <c r="I1854" s="1" t="s">
        <v>16</v>
      </c>
      <c r="J1854" s="1" t="s">
        <v>14</v>
      </c>
    </row>
    <row r="1855" spans="2:10" x14ac:dyDescent="0.3">
      <c r="B1855" s="1" t="s">
        <v>2138</v>
      </c>
      <c r="C1855" s="1" t="s">
        <v>15</v>
      </c>
      <c r="D1855" s="2" t="s">
        <v>380</v>
      </c>
      <c r="E1855" s="2" t="s">
        <v>380</v>
      </c>
      <c r="F1855" s="2" t="s">
        <v>11</v>
      </c>
      <c r="G1855" s="3" t="s">
        <v>2145</v>
      </c>
      <c r="H1855" s="1" t="s">
        <v>12</v>
      </c>
      <c r="I1855" s="1" t="s">
        <v>30</v>
      </c>
      <c r="J1855" s="1" t="s">
        <v>14</v>
      </c>
    </row>
    <row r="1856" spans="2:10" x14ac:dyDescent="0.3">
      <c r="B1856" s="1" t="s">
        <v>2138</v>
      </c>
      <c r="C1856" s="1" t="s">
        <v>38</v>
      </c>
      <c r="D1856" s="2" t="s">
        <v>380</v>
      </c>
      <c r="E1856" s="2" t="s">
        <v>380</v>
      </c>
      <c r="F1856" s="2" t="s">
        <v>11</v>
      </c>
      <c r="G1856" s="3" t="s">
        <v>1127</v>
      </c>
      <c r="H1856" s="1" t="s">
        <v>12</v>
      </c>
      <c r="I1856" s="1" t="s">
        <v>25</v>
      </c>
      <c r="J1856" s="1" t="s">
        <v>14</v>
      </c>
    </row>
    <row r="1857" spans="2:10" x14ac:dyDescent="0.3">
      <c r="B1857" s="1" t="s">
        <v>2138</v>
      </c>
      <c r="C1857" s="1" t="s">
        <v>17</v>
      </c>
      <c r="D1857" s="2" t="s">
        <v>1003</v>
      </c>
      <c r="E1857" s="2" t="s">
        <v>1003</v>
      </c>
      <c r="F1857" s="2" t="s">
        <v>11</v>
      </c>
      <c r="G1857" s="3" t="s">
        <v>2146</v>
      </c>
      <c r="H1857" s="1" t="s">
        <v>12</v>
      </c>
      <c r="I1857" s="1" t="s">
        <v>47</v>
      </c>
      <c r="J1857" s="1" t="s">
        <v>14</v>
      </c>
    </row>
    <row r="1858" spans="2:10" x14ac:dyDescent="0.3">
      <c r="B1858" s="1" t="s">
        <v>2138</v>
      </c>
      <c r="C1858" s="1" t="s">
        <v>41</v>
      </c>
      <c r="D1858" s="2" t="s">
        <v>1495</v>
      </c>
      <c r="E1858" s="2" t="s">
        <v>1495</v>
      </c>
      <c r="F1858" s="2" t="s">
        <v>11</v>
      </c>
      <c r="G1858" s="3" t="s">
        <v>2147</v>
      </c>
      <c r="H1858" s="1" t="s">
        <v>12</v>
      </c>
      <c r="I1858" s="1" t="s">
        <v>47</v>
      </c>
      <c r="J1858" s="1" t="s">
        <v>14</v>
      </c>
    </row>
    <row r="1859" spans="2:10" x14ac:dyDescent="0.3">
      <c r="B1859" s="1" t="s">
        <v>2138</v>
      </c>
      <c r="C1859" s="1" t="s">
        <v>36</v>
      </c>
      <c r="D1859" s="2" t="s">
        <v>1003</v>
      </c>
      <c r="E1859" s="2" t="s">
        <v>1003</v>
      </c>
      <c r="F1859" s="2" t="s">
        <v>11</v>
      </c>
      <c r="G1859" s="3" t="s">
        <v>2148</v>
      </c>
      <c r="H1859" s="1" t="s">
        <v>12</v>
      </c>
      <c r="I1859" s="1" t="s">
        <v>1309</v>
      </c>
      <c r="J1859" s="1" t="s">
        <v>14</v>
      </c>
    </row>
    <row r="1860" spans="2:10" x14ac:dyDescent="0.3">
      <c r="B1860" s="1" t="s">
        <v>2138</v>
      </c>
      <c r="C1860" s="1" t="s">
        <v>28</v>
      </c>
      <c r="D1860" s="2" t="s">
        <v>1003</v>
      </c>
      <c r="E1860" s="2" t="s">
        <v>1003</v>
      </c>
      <c r="F1860" s="2" t="s">
        <v>11</v>
      </c>
      <c r="G1860" s="3" t="s">
        <v>2149</v>
      </c>
      <c r="H1860" s="1" t="s">
        <v>12</v>
      </c>
      <c r="I1860" s="1" t="s">
        <v>21</v>
      </c>
      <c r="J1860" s="1" t="s">
        <v>14</v>
      </c>
    </row>
    <row r="1861" spans="2:10" x14ac:dyDescent="0.3">
      <c r="B1861" s="1" t="s">
        <v>2138</v>
      </c>
      <c r="C1861" s="1" t="s">
        <v>46</v>
      </c>
      <c r="D1861" s="2" t="s">
        <v>1003</v>
      </c>
      <c r="E1861" s="2" t="s">
        <v>1003</v>
      </c>
      <c r="F1861" s="2" t="s">
        <v>11</v>
      </c>
      <c r="G1861" s="3" t="s">
        <v>2150</v>
      </c>
      <c r="H1861" s="1" t="s">
        <v>12</v>
      </c>
      <c r="I1861" s="1" t="s">
        <v>29</v>
      </c>
      <c r="J1861" s="1" t="s">
        <v>14</v>
      </c>
    </row>
    <row r="1862" spans="2:10" x14ac:dyDescent="0.3">
      <c r="B1862" s="1" t="s">
        <v>2138</v>
      </c>
      <c r="C1862" s="1" t="s">
        <v>29</v>
      </c>
      <c r="D1862" s="2" t="s">
        <v>1495</v>
      </c>
      <c r="E1862" s="2" t="s">
        <v>1495</v>
      </c>
      <c r="F1862" s="2" t="s">
        <v>11</v>
      </c>
      <c r="G1862" s="3" t="s">
        <v>2151</v>
      </c>
      <c r="H1862" s="1" t="s">
        <v>12</v>
      </c>
      <c r="I1862" s="1" t="s">
        <v>27</v>
      </c>
      <c r="J1862" s="1" t="s">
        <v>14</v>
      </c>
    </row>
    <row r="1863" spans="2:10" x14ac:dyDescent="0.3">
      <c r="B1863" s="1" t="s">
        <v>2138</v>
      </c>
      <c r="C1863" s="1" t="s">
        <v>33</v>
      </c>
      <c r="D1863" s="2" t="s">
        <v>1003</v>
      </c>
      <c r="E1863" s="2" t="s">
        <v>1003</v>
      </c>
      <c r="F1863" s="2" t="s">
        <v>11</v>
      </c>
      <c r="G1863" s="3" t="s">
        <v>2152</v>
      </c>
      <c r="H1863" s="1" t="s">
        <v>12</v>
      </c>
      <c r="I1863" s="1" t="s">
        <v>50</v>
      </c>
      <c r="J1863" s="1" t="s">
        <v>14</v>
      </c>
    </row>
    <row r="1864" spans="2:10" x14ac:dyDescent="0.3">
      <c r="B1864" s="1" t="s">
        <v>2138</v>
      </c>
      <c r="C1864" s="1" t="s">
        <v>43</v>
      </c>
      <c r="D1864" s="2" t="s">
        <v>1003</v>
      </c>
      <c r="E1864" s="2" t="s">
        <v>1003</v>
      </c>
      <c r="F1864" s="2" t="s">
        <v>11</v>
      </c>
      <c r="G1864" s="3" t="s">
        <v>2153</v>
      </c>
      <c r="H1864" s="1" t="s">
        <v>12</v>
      </c>
      <c r="I1864" s="1" t="s">
        <v>36</v>
      </c>
      <c r="J1864" s="1" t="s">
        <v>14</v>
      </c>
    </row>
    <row r="1865" spans="2:10" x14ac:dyDescent="0.3">
      <c r="B1865" s="1" t="s">
        <v>2138</v>
      </c>
      <c r="C1865" s="1" t="s">
        <v>39</v>
      </c>
      <c r="D1865" s="2" t="s">
        <v>1003</v>
      </c>
      <c r="E1865" s="2" t="s">
        <v>1003</v>
      </c>
      <c r="F1865" s="2" t="s">
        <v>11</v>
      </c>
      <c r="G1865" s="3" t="s">
        <v>1455</v>
      </c>
      <c r="H1865" s="1" t="s">
        <v>12</v>
      </c>
      <c r="I1865" s="1" t="s">
        <v>27</v>
      </c>
      <c r="J1865" s="1" t="s">
        <v>14</v>
      </c>
    </row>
    <row r="1866" spans="2:10" x14ac:dyDescent="0.3">
      <c r="B1866" s="1" t="s">
        <v>2154</v>
      </c>
      <c r="C1866" s="1" t="s">
        <v>17</v>
      </c>
      <c r="D1866" s="2" t="s">
        <v>475</v>
      </c>
      <c r="E1866" s="2" t="s">
        <v>475</v>
      </c>
      <c r="F1866" s="2" t="s">
        <v>11</v>
      </c>
      <c r="G1866" s="3" t="s">
        <v>2155</v>
      </c>
      <c r="H1866" s="1" t="s">
        <v>12</v>
      </c>
      <c r="I1866" s="1" t="s">
        <v>13</v>
      </c>
      <c r="J1866" s="1" t="s">
        <v>14</v>
      </c>
    </row>
    <row r="1867" spans="2:10" x14ac:dyDescent="0.3">
      <c r="B1867" s="1" t="s">
        <v>2154</v>
      </c>
      <c r="C1867" s="1" t="s">
        <v>31</v>
      </c>
      <c r="D1867" s="2" t="s">
        <v>529</v>
      </c>
      <c r="E1867" s="2" t="s">
        <v>529</v>
      </c>
      <c r="F1867" s="2" t="s">
        <v>11</v>
      </c>
      <c r="G1867" s="3" t="s">
        <v>1209</v>
      </c>
      <c r="H1867" s="1" t="s">
        <v>12</v>
      </c>
      <c r="I1867" s="1" t="s">
        <v>62</v>
      </c>
      <c r="J1867" s="1" t="s">
        <v>14</v>
      </c>
    </row>
    <row r="1868" spans="2:10" x14ac:dyDescent="0.3">
      <c r="B1868" s="1" t="s">
        <v>2154</v>
      </c>
      <c r="C1868" s="1" t="s">
        <v>15</v>
      </c>
      <c r="D1868" s="2" t="s">
        <v>398</v>
      </c>
      <c r="E1868" s="2" t="s">
        <v>398</v>
      </c>
      <c r="F1868" s="2" t="s">
        <v>11</v>
      </c>
      <c r="G1868" s="3" t="s">
        <v>2156</v>
      </c>
      <c r="H1868" s="1" t="s">
        <v>12</v>
      </c>
      <c r="I1868" s="1" t="s">
        <v>94</v>
      </c>
      <c r="J1868" s="1" t="s">
        <v>14</v>
      </c>
    </row>
    <row r="1869" spans="2:10" x14ac:dyDescent="0.3">
      <c r="B1869" s="1" t="s">
        <v>2154</v>
      </c>
      <c r="C1869" s="1" t="s">
        <v>35</v>
      </c>
      <c r="D1869" s="2" t="s">
        <v>491</v>
      </c>
      <c r="E1869" s="2" t="s">
        <v>491</v>
      </c>
      <c r="F1869" s="2" t="s">
        <v>11</v>
      </c>
      <c r="G1869" s="3" t="s">
        <v>348</v>
      </c>
      <c r="H1869" s="1" t="s">
        <v>12</v>
      </c>
      <c r="I1869" s="1" t="s">
        <v>65</v>
      </c>
      <c r="J1869" s="1" t="s">
        <v>14</v>
      </c>
    </row>
    <row r="1870" spans="2:10" x14ac:dyDescent="0.3">
      <c r="B1870" s="1" t="s">
        <v>2154</v>
      </c>
      <c r="C1870" s="1" t="s">
        <v>24</v>
      </c>
      <c r="D1870" s="2" t="s">
        <v>256</v>
      </c>
      <c r="E1870" s="2" t="s">
        <v>256</v>
      </c>
      <c r="F1870" s="2" t="s">
        <v>11</v>
      </c>
      <c r="G1870" s="3" t="s">
        <v>2157</v>
      </c>
      <c r="H1870" s="1" t="s">
        <v>12</v>
      </c>
      <c r="I1870" s="1" t="s">
        <v>101</v>
      </c>
      <c r="J1870" s="1" t="s">
        <v>14</v>
      </c>
    </row>
    <row r="1871" spans="2:10" x14ac:dyDescent="0.3">
      <c r="B1871" s="1" t="s">
        <v>2154</v>
      </c>
      <c r="C1871" s="1" t="s">
        <v>21</v>
      </c>
      <c r="D1871" s="2" t="s">
        <v>491</v>
      </c>
      <c r="E1871" s="2" t="s">
        <v>491</v>
      </c>
      <c r="F1871" s="2" t="s">
        <v>11</v>
      </c>
      <c r="G1871" s="3" t="s">
        <v>2158</v>
      </c>
      <c r="H1871" s="1" t="s">
        <v>12</v>
      </c>
      <c r="I1871" s="1" t="s">
        <v>64</v>
      </c>
      <c r="J1871" s="1" t="s">
        <v>14</v>
      </c>
    </row>
    <row r="1872" spans="2:10" x14ac:dyDescent="0.3">
      <c r="B1872" s="1" t="s">
        <v>2154</v>
      </c>
      <c r="C1872" s="1" t="s">
        <v>28</v>
      </c>
      <c r="D1872" s="2" t="s">
        <v>475</v>
      </c>
      <c r="E1872" s="2" t="s">
        <v>475</v>
      </c>
      <c r="F1872" s="2" t="s">
        <v>11</v>
      </c>
      <c r="G1872" s="3" t="s">
        <v>2159</v>
      </c>
      <c r="H1872" s="1" t="s">
        <v>12</v>
      </c>
      <c r="I1872" s="1" t="s">
        <v>13</v>
      </c>
      <c r="J1872" s="1" t="s">
        <v>14</v>
      </c>
    </row>
    <row r="1873" spans="2:10" x14ac:dyDescent="0.3">
      <c r="B1873" s="1" t="s">
        <v>2154</v>
      </c>
      <c r="C1873" s="1" t="s">
        <v>46</v>
      </c>
      <c r="D1873" s="2" t="s">
        <v>390</v>
      </c>
      <c r="E1873" s="2" t="s">
        <v>390</v>
      </c>
      <c r="F1873" s="2" t="s">
        <v>11</v>
      </c>
      <c r="G1873" s="3" t="s">
        <v>562</v>
      </c>
      <c r="H1873" s="1" t="s">
        <v>12</v>
      </c>
      <c r="I1873" s="1" t="s">
        <v>25</v>
      </c>
      <c r="J1873" s="1" t="s">
        <v>14</v>
      </c>
    </row>
    <row r="1874" spans="2:10" x14ac:dyDescent="0.3">
      <c r="B1874" s="1" t="s">
        <v>2154</v>
      </c>
      <c r="C1874" s="1" t="s">
        <v>10</v>
      </c>
      <c r="D1874" s="2" t="s">
        <v>491</v>
      </c>
      <c r="E1874" s="2" t="s">
        <v>491</v>
      </c>
      <c r="F1874" s="2" t="s">
        <v>11</v>
      </c>
      <c r="G1874" s="3" t="s">
        <v>2160</v>
      </c>
      <c r="H1874" s="1" t="s">
        <v>12</v>
      </c>
      <c r="I1874" s="1" t="s">
        <v>40</v>
      </c>
      <c r="J1874" s="1" t="s">
        <v>14</v>
      </c>
    </row>
    <row r="1875" spans="2:10" x14ac:dyDescent="0.3">
      <c r="B1875" s="1" t="s">
        <v>2154</v>
      </c>
      <c r="C1875" s="1" t="s">
        <v>41</v>
      </c>
      <c r="D1875" s="2" t="s">
        <v>390</v>
      </c>
      <c r="E1875" s="2" t="s">
        <v>390</v>
      </c>
      <c r="F1875" s="2" t="s">
        <v>11</v>
      </c>
      <c r="G1875" s="3" t="s">
        <v>1831</v>
      </c>
      <c r="H1875" s="1" t="s">
        <v>12</v>
      </c>
      <c r="I1875" s="1" t="s">
        <v>16</v>
      </c>
      <c r="J1875" s="1" t="s">
        <v>14</v>
      </c>
    </row>
    <row r="1876" spans="2:10" x14ac:dyDescent="0.3">
      <c r="B1876" s="1" t="s">
        <v>2154</v>
      </c>
      <c r="C1876" s="1" t="s">
        <v>39</v>
      </c>
      <c r="D1876" s="2" t="s">
        <v>836</v>
      </c>
      <c r="E1876" s="2" t="s">
        <v>836</v>
      </c>
      <c r="F1876" s="2" t="s">
        <v>11</v>
      </c>
      <c r="G1876" s="3" t="s">
        <v>2161</v>
      </c>
      <c r="H1876" s="1" t="s">
        <v>12</v>
      </c>
      <c r="I1876" s="1" t="s">
        <v>47</v>
      </c>
      <c r="J1876" s="1" t="s">
        <v>14</v>
      </c>
    </row>
    <row r="1877" spans="2:10" x14ac:dyDescent="0.3">
      <c r="B1877" s="1" t="s">
        <v>2154</v>
      </c>
      <c r="C1877" s="1" t="s">
        <v>43</v>
      </c>
      <c r="D1877" s="2" t="s">
        <v>390</v>
      </c>
      <c r="E1877" s="2" t="s">
        <v>390</v>
      </c>
      <c r="F1877" s="2" t="s">
        <v>11</v>
      </c>
      <c r="G1877" s="3" t="s">
        <v>1751</v>
      </c>
      <c r="H1877" s="1" t="s">
        <v>12</v>
      </c>
      <c r="I1877" s="1" t="s">
        <v>47</v>
      </c>
      <c r="J1877" s="1" t="s">
        <v>14</v>
      </c>
    </row>
    <row r="1878" spans="2:10" x14ac:dyDescent="0.3">
      <c r="B1878" s="1" t="s">
        <v>2154</v>
      </c>
      <c r="C1878" s="1" t="s">
        <v>36</v>
      </c>
      <c r="D1878" s="2" t="s">
        <v>398</v>
      </c>
      <c r="E1878" s="2" t="s">
        <v>398</v>
      </c>
      <c r="F1878" s="2" t="s">
        <v>11</v>
      </c>
      <c r="G1878" s="3" t="s">
        <v>2162</v>
      </c>
      <c r="H1878" s="1" t="s">
        <v>12</v>
      </c>
      <c r="I1878" s="1" t="s">
        <v>50</v>
      </c>
      <c r="J1878" s="1" t="s">
        <v>14</v>
      </c>
    </row>
    <row r="1879" spans="2:10" x14ac:dyDescent="0.3">
      <c r="B1879" s="1" t="s">
        <v>2154</v>
      </c>
      <c r="C1879" s="1" t="s">
        <v>29</v>
      </c>
      <c r="D1879" s="2" t="s">
        <v>390</v>
      </c>
      <c r="E1879" s="2" t="s">
        <v>390</v>
      </c>
      <c r="F1879" s="2" t="s">
        <v>11</v>
      </c>
      <c r="G1879" s="3" t="s">
        <v>2163</v>
      </c>
      <c r="H1879" s="1" t="s">
        <v>12</v>
      </c>
      <c r="I1879" s="1" t="s">
        <v>56</v>
      </c>
      <c r="J1879" s="1" t="s">
        <v>14</v>
      </c>
    </row>
    <row r="1880" spans="2:10" x14ac:dyDescent="0.3">
      <c r="B1880" s="1" t="s">
        <v>2154</v>
      </c>
      <c r="C1880" s="1" t="s">
        <v>19</v>
      </c>
      <c r="D1880" s="2" t="s">
        <v>836</v>
      </c>
      <c r="E1880" s="2" t="s">
        <v>836</v>
      </c>
      <c r="F1880" s="2" t="s">
        <v>11</v>
      </c>
      <c r="G1880" s="3" t="s">
        <v>1060</v>
      </c>
      <c r="H1880" s="1" t="s">
        <v>12</v>
      </c>
      <c r="I1880" s="1" t="s">
        <v>64</v>
      </c>
      <c r="J1880" s="1" t="s">
        <v>14</v>
      </c>
    </row>
    <row r="1881" spans="2:10" x14ac:dyDescent="0.3">
      <c r="B1881" s="1" t="s">
        <v>2154</v>
      </c>
      <c r="C1881" s="1" t="s">
        <v>26</v>
      </c>
      <c r="D1881" s="2" t="s">
        <v>693</v>
      </c>
      <c r="E1881" s="2" t="s">
        <v>693</v>
      </c>
      <c r="F1881" s="2" t="s">
        <v>11</v>
      </c>
      <c r="G1881" s="3" t="s">
        <v>2164</v>
      </c>
      <c r="H1881" s="1" t="s">
        <v>12</v>
      </c>
      <c r="I1881" s="1" t="s">
        <v>25</v>
      </c>
      <c r="J1881" s="1" t="s">
        <v>14</v>
      </c>
    </row>
    <row r="1882" spans="2:10" x14ac:dyDescent="0.3">
      <c r="B1882" s="1" t="s">
        <v>2154</v>
      </c>
      <c r="C1882" s="1" t="s">
        <v>23</v>
      </c>
      <c r="D1882" s="2" t="s">
        <v>836</v>
      </c>
      <c r="E1882" s="2" t="s">
        <v>836</v>
      </c>
      <c r="F1882" s="2" t="s">
        <v>11</v>
      </c>
      <c r="G1882" s="3" t="s">
        <v>2165</v>
      </c>
      <c r="H1882" s="1" t="s">
        <v>12</v>
      </c>
      <c r="I1882" s="1" t="s">
        <v>18</v>
      </c>
      <c r="J1882" s="1" t="s">
        <v>14</v>
      </c>
    </row>
    <row r="1883" spans="2:10" x14ac:dyDescent="0.3">
      <c r="B1883" s="1" t="s">
        <v>2154</v>
      </c>
      <c r="C1883" s="1" t="s">
        <v>33</v>
      </c>
      <c r="D1883" s="2" t="s">
        <v>390</v>
      </c>
      <c r="E1883" s="2" t="s">
        <v>390</v>
      </c>
      <c r="F1883" s="2" t="s">
        <v>11</v>
      </c>
      <c r="G1883" s="3" t="s">
        <v>1069</v>
      </c>
      <c r="H1883" s="1" t="s">
        <v>12</v>
      </c>
      <c r="I1883" s="1" t="s">
        <v>64</v>
      </c>
      <c r="J1883" s="1" t="s">
        <v>14</v>
      </c>
    </row>
    <row r="1884" spans="2:10" x14ac:dyDescent="0.3">
      <c r="B1884" s="1" t="s">
        <v>2154</v>
      </c>
      <c r="C1884" s="1" t="s">
        <v>38</v>
      </c>
      <c r="D1884" s="2" t="s">
        <v>254</v>
      </c>
      <c r="E1884" s="2" t="s">
        <v>254</v>
      </c>
      <c r="F1884" s="2" t="s">
        <v>11</v>
      </c>
      <c r="G1884" s="3" t="s">
        <v>1105</v>
      </c>
      <c r="H1884" s="1" t="s">
        <v>12</v>
      </c>
      <c r="I1884" s="1" t="s">
        <v>66</v>
      </c>
      <c r="J1884" s="1" t="s">
        <v>14</v>
      </c>
    </row>
    <row r="1885" spans="2:10" x14ac:dyDescent="0.3">
      <c r="B1885" s="1" t="s">
        <v>2154</v>
      </c>
      <c r="C1885" s="1" t="s">
        <v>45</v>
      </c>
      <c r="D1885" s="2" t="s">
        <v>182</v>
      </c>
      <c r="E1885" s="2" t="s">
        <v>182</v>
      </c>
      <c r="F1885" s="2" t="s">
        <v>11</v>
      </c>
      <c r="G1885" s="3" t="s">
        <v>2166</v>
      </c>
      <c r="H1885" s="1" t="s">
        <v>12</v>
      </c>
      <c r="I1885" s="1" t="s">
        <v>34</v>
      </c>
      <c r="J1885" s="1" t="s">
        <v>14</v>
      </c>
    </row>
    <row r="1886" spans="2:10" x14ac:dyDescent="0.3">
      <c r="B1886" s="1" t="s">
        <v>2167</v>
      </c>
      <c r="C1886" s="1" t="s">
        <v>46</v>
      </c>
      <c r="D1886" s="2" t="s">
        <v>1180</v>
      </c>
      <c r="E1886" s="2" t="s">
        <v>1180</v>
      </c>
      <c r="F1886" s="2" t="s">
        <v>11</v>
      </c>
      <c r="G1886" s="3" t="s">
        <v>2161</v>
      </c>
      <c r="H1886" s="1" t="s">
        <v>12</v>
      </c>
      <c r="I1886" s="1" t="s">
        <v>25</v>
      </c>
      <c r="J1886" s="1" t="s">
        <v>14</v>
      </c>
    </row>
    <row r="1887" spans="2:10" x14ac:dyDescent="0.3">
      <c r="B1887" s="1" t="s">
        <v>2167</v>
      </c>
      <c r="C1887" s="1" t="s">
        <v>36</v>
      </c>
      <c r="D1887" s="2" t="s">
        <v>1180</v>
      </c>
      <c r="E1887" s="2" t="s">
        <v>1180</v>
      </c>
      <c r="F1887" s="2" t="s">
        <v>11</v>
      </c>
      <c r="G1887" s="3" t="s">
        <v>2168</v>
      </c>
      <c r="H1887" s="1" t="s">
        <v>12</v>
      </c>
      <c r="I1887" s="1" t="s">
        <v>13</v>
      </c>
      <c r="J1887" s="1" t="s">
        <v>14</v>
      </c>
    </row>
    <row r="1888" spans="2:10" x14ac:dyDescent="0.3">
      <c r="B1888" s="1" t="s">
        <v>2167</v>
      </c>
      <c r="C1888" s="1" t="s">
        <v>26</v>
      </c>
      <c r="D1888" s="2" t="s">
        <v>376</v>
      </c>
      <c r="E1888" s="2" t="s">
        <v>376</v>
      </c>
      <c r="F1888" s="2" t="s">
        <v>11</v>
      </c>
      <c r="G1888" s="3" t="s">
        <v>2169</v>
      </c>
      <c r="H1888" s="1" t="s">
        <v>12</v>
      </c>
      <c r="I1888" s="1" t="s">
        <v>27</v>
      </c>
      <c r="J1888" s="1" t="s">
        <v>14</v>
      </c>
    </row>
    <row r="1889" spans="2:10" x14ac:dyDescent="0.3">
      <c r="B1889" s="1" t="s">
        <v>2167</v>
      </c>
      <c r="C1889" s="1" t="s">
        <v>28</v>
      </c>
      <c r="D1889" s="2" t="s">
        <v>242</v>
      </c>
      <c r="E1889" s="2" t="s">
        <v>242</v>
      </c>
      <c r="F1889" s="2" t="s">
        <v>11</v>
      </c>
      <c r="G1889" s="3" t="s">
        <v>347</v>
      </c>
      <c r="H1889" s="1" t="s">
        <v>12</v>
      </c>
      <c r="I1889" s="1" t="s">
        <v>76</v>
      </c>
      <c r="J1889" s="1" t="s">
        <v>14</v>
      </c>
    </row>
    <row r="1890" spans="2:10" x14ac:dyDescent="0.3">
      <c r="B1890" s="1" t="s">
        <v>2167</v>
      </c>
      <c r="C1890" s="1" t="s">
        <v>45</v>
      </c>
      <c r="D1890" s="2" t="s">
        <v>254</v>
      </c>
      <c r="E1890" s="2" t="s">
        <v>254</v>
      </c>
      <c r="F1890" s="2" t="s">
        <v>11</v>
      </c>
      <c r="G1890" s="3" t="s">
        <v>1134</v>
      </c>
      <c r="H1890" s="1" t="s">
        <v>12</v>
      </c>
      <c r="I1890" s="1" t="s">
        <v>72</v>
      </c>
      <c r="J1890" s="1" t="s">
        <v>14</v>
      </c>
    </row>
    <row r="1891" spans="2:10" x14ac:dyDescent="0.3">
      <c r="B1891" s="1" t="s">
        <v>2167</v>
      </c>
      <c r="C1891" s="1" t="s">
        <v>10</v>
      </c>
      <c r="D1891" s="2" t="s">
        <v>227</v>
      </c>
      <c r="E1891" s="2" t="s">
        <v>227</v>
      </c>
      <c r="F1891" s="2" t="s">
        <v>11</v>
      </c>
      <c r="G1891" s="3" t="s">
        <v>2170</v>
      </c>
      <c r="H1891" s="1" t="s">
        <v>12</v>
      </c>
      <c r="I1891" s="1" t="s">
        <v>50</v>
      </c>
      <c r="J1891" s="1" t="s">
        <v>14</v>
      </c>
    </row>
    <row r="1892" spans="2:10" x14ac:dyDescent="0.3">
      <c r="B1892" s="1" t="s">
        <v>2167</v>
      </c>
      <c r="C1892" s="1" t="s">
        <v>21</v>
      </c>
      <c r="D1892" s="2" t="s">
        <v>242</v>
      </c>
      <c r="E1892" s="2" t="s">
        <v>242</v>
      </c>
      <c r="F1892" s="2" t="s">
        <v>11</v>
      </c>
      <c r="G1892" s="3" t="s">
        <v>2171</v>
      </c>
      <c r="H1892" s="1" t="s">
        <v>12</v>
      </c>
      <c r="I1892" s="1" t="s">
        <v>29</v>
      </c>
      <c r="J1892" s="1" t="s">
        <v>14</v>
      </c>
    </row>
    <row r="1893" spans="2:10" x14ac:dyDescent="0.3">
      <c r="B1893" s="1" t="s">
        <v>2167</v>
      </c>
      <c r="C1893" s="1" t="s">
        <v>39</v>
      </c>
      <c r="D1893" s="2" t="s">
        <v>224</v>
      </c>
      <c r="E1893" s="2" t="s">
        <v>224</v>
      </c>
      <c r="F1893" s="2" t="s">
        <v>11</v>
      </c>
      <c r="G1893" s="3" t="s">
        <v>2172</v>
      </c>
      <c r="H1893" s="1" t="s">
        <v>12</v>
      </c>
      <c r="I1893" s="1" t="s">
        <v>47</v>
      </c>
      <c r="J1893" s="1" t="s">
        <v>115</v>
      </c>
    </row>
    <row r="1894" spans="2:10" x14ac:dyDescent="0.3">
      <c r="B1894" s="1" t="s">
        <v>2167</v>
      </c>
      <c r="C1894" s="1" t="s">
        <v>17</v>
      </c>
      <c r="D1894" s="2" t="s">
        <v>254</v>
      </c>
      <c r="E1894" s="2" t="s">
        <v>254</v>
      </c>
      <c r="F1894" s="2" t="s">
        <v>11</v>
      </c>
      <c r="G1894" s="3" t="s">
        <v>2173</v>
      </c>
      <c r="H1894" s="1" t="s">
        <v>12</v>
      </c>
      <c r="I1894" s="1" t="s">
        <v>64</v>
      </c>
      <c r="J1894" s="1" t="s">
        <v>14</v>
      </c>
    </row>
    <row r="1895" spans="2:10" x14ac:dyDescent="0.3">
      <c r="B1895" s="1" t="s">
        <v>2167</v>
      </c>
      <c r="C1895" s="1" t="s">
        <v>15</v>
      </c>
      <c r="D1895" s="2" t="s">
        <v>522</v>
      </c>
      <c r="E1895" s="2" t="s">
        <v>522</v>
      </c>
      <c r="F1895" s="2" t="s">
        <v>11</v>
      </c>
      <c r="G1895" s="3" t="s">
        <v>2174</v>
      </c>
      <c r="H1895" s="1" t="s">
        <v>12</v>
      </c>
      <c r="I1895" s="1" t="s">
        <v>30</v>
      </c>
      <c r="J1895" s="1" t="s">
        <v>14</v>
      </c>
    </row>
    <row r="1896" spans="2:10" x14ac:dyDescent="0.3">
      <c r="B1896" s="1" t="s">
        <v>2167</v>
      </c>
      <c r="C1896" s="1" t="s">
        <v>29</v>
      </c>
      <c r="D1896" s="2" t="s">
        <v>227</v>
      </c>
      <c r="E1896" s="2" t="s">
        <v>227</v>
      </c>
      <c r="F1896" s="2" t="s">
        <v>11</v>
      </c>
      <c r="G1896" s="3" t="s">
        <v>139</v>
      </c>
      <c r="H1896" s="1" t="s">
        <v>12</v>
      </c>
      <c r="I1896" s="1" t="s">
        <v>66</v>
      </c>
      <c r="J1896" s="1" t="s">
        <v>14</v>
      </c>
    </row>
    <row r="1897" spans="2:10" x14ac:dyDescent="0.3">
      <c r="B1897" s="1" t="s">
        <v>2167</v>
      </c>
      <c r="C1897" s="1" t="s">
        <v>43</v>
      </c>
      <c r="D1897" s="2" t="s">
        <v>1180</v>
      </c>
      <c r="E1897" s="2" t="s">
        <v>1180</v>
      </c>
      <c r="F1897" s="2" t="s">
        <v>11</v>
      </c>
      <c r="G1897" s="3" t="s">
        <v>162</v>
      </c>
      <c r="H1897" s="1" t="s">
        <v>12</v>
      </c>
      <c r="I1897" s="1" t="s">
        <v>79</v>
      </c>
      <c r="J1897" s="1" t="s">
        <v>14</v>
      </c>
    </row>
    <row r="1898" spans="2:10" x14ac:dyDescent="0.3">
      <c r="B1898" s="1" t="s">
        <v>2167</v>
      </c>
      <c r="C1898" s="1" t="s">
        <v>35</v>
      </c>
      <c r="D1898" s="2" t="s">
        <v>227</v>
      </c>
      <c r="E1898" s="2" t="s">
        <v>227</v>
      </c>
      <c r="F1898" s="2" t="s">
        <v>11</v>
      </c>
      <c r="G1898" s="3" t="s">
        <v>323</v>
      </c>
      <c r="H1898" s="1" t="s">
        <v>12</v>
      </c>
      <c r="I1898" s="1" t="s">
        <v>49</v>
      </c>
      <c r="J1898" s="1" t="s">
        <v>14</v>
      </c>
    </row>
    <row r="1899" spans="2:10" x14ac:dyDescent="0.3">
      <c r="B1899" s="1" t="s">
        <v>2167</v>
      </c>
      <c r="C1899" s="1" t="s">
        <v>38</v>
      </c>
      <c r="D1899" s="2" t="s">
        <v>224</v>
      </c>
      <c r="E1899" s="2" t="s">
        <v>224</v>
      </c>
      <c r="F1899" s="2" t="s">
        <v>11</v>
      </c>
      <c r="G1899" s="3" t="s">
        <v>2175</v>
      </c>
      <c r="H1899" s="1" t="s">
        <v>12</v>
      </c>
      <c r="I1899" s="1" t="s">
        <v>1309</v>
      </c>
      <c r="J1899" s="1" t="s">
        <v>14</v>
      </c>
    </row>
    <row r="1900" spans="2:10" x14ac:dyDescent="0.3">
      <c r="B1900" s="1" t="s">
        <v>2167</v>
      </c>
      <c r="C1900" s="1" t="s">
        <v>31</v>
      </c>
      <c r="D1900" s="2" t="s">
        <v>1180</v>
      </c>
      <c r="E1900" s="2" t="s">
        <v>1180</v>
      </c>
      <c r="F1900" s="2" t="s">
        <v>11</v>
      </c>
      <c r="G1900" s="3" t="s">
        <v>2176</v>
      </c>
      <c r="H1900" s="1" t="s">
        <v>12</v>
      </c>
      <c r="I1900" s="1" t="s">
        <v>69</v>
      </c>
      <c r="J1900" s="1" t="s">
        <v>14</v>
      </c>
    </row>
    <row r="1901" spans="2:10" x14ac:dyDescent="0.3">
      <c r="B1901" s="1" t="s">
        <v>2167</v>
      </c>
      <c r="C1901" s="1" t="s">
        <v>33</v>
      </c>
      <c r="D1901" s="2" t="s">
        <v>1180</v>
      </c>
      <c r="E1901" s="2" t="s">
        <v>1180</v>
      </c>
      <c r="F1901" s="2" t="s">
        <v>11</v>
      </c>
      <c r="G1901" s="3" t="s">
        <v>2177</v>
      </c>
      <c r="H1901" s="1" t="s">
        <v>12</v>
      </c>
      <c r="I1901" s="1" t="s">
        <v>25</v>
      </c>
      <c r="J1901" s="1" t="s">
        <v>14</v>
      </c>
    </row>
    <row r="1902" spans="2:10" x14ac:dyDescent="0.3">
      <c r="B1902" s="1" t="s">
        <v>2167</v>
      </c>
      <c r="C1902" s="1" t="s">
        <v>41</v>
      </c>
      <c r="D1902" s="2" t="s">
        <v>227</v>
      </c>
      <c r="E1902" s="2" t="s">
        <v>227</v>
      </c>
      <c r="F1902" s="2" t="s">
        <v>11</v>
      </c>
      <c r="G1902" s="3" t="s">
        <v>2178</v>
      </c>
      <c r="H1902" s="1" t="s">
        <v>12</v>
      </c>
      <c r="I1902" s="1" t="s">
        <v>77</v>
      </c>
      <c r="J1902" s="1" t="s">
        <v>14</v>
      </c>
    </row>
    <row r="1903" spans="2:10" x14ac:dyDescent="0.3">
      <c r="B1903" s="1" t="s">
        <v>2167</v>
      </c>
      <c r="C1903" s="1" t="s">
        <v>24</v>
      </c>
      <c r="D1903" s="2" t="s">
        <v>227</v>
      </c>
      <c r="E1903" s="2" t="s">
        <v>227</v>
      </c>
      <c r="F1903" s="2" t="s">
        <v>11</v>
      </c>
      <c r="G1903" s="3" t="s">
        <v>2179</v>
      </c>
      <c r="H1903" s="1" t="s">
        <v>12</v>
      </c>
      <c r="I1903" s="1" t="s">
        <v>60</v>
      </c>
      <c r="J1903" s="1" t="s">
        <v>14</v>
      </c>
    </row>
    <row r="1904" spans="2:10" x14ac:dyDescent="0.3">
      <c r="B1904" s="1" t="s">
        <v>2167</v>
      </c>
      <c r="C1904" s="1" t="s">
        <v>19</v>
      </c>
      <c r="D1904" s="2" t="s">
        <v>397</v>
      </c>
      <c r="E1904" s="2" t="s">
        <v>397</v>
      </c>
      <c r="F1904" s="2" t="s">
        <v>11</v>
      </c>
      <c r="G1904" s="3" t="s">
        <v>1200</v>
      </c>
      <c r="H1904" s="1" t="s">
        <v>12</v>
      </c>
      <c r="I1904" s="1" t="s">
        <v>16</v>
      </c>
      <c r="J1904" s="1" t="s">
        <v>14</v>
      </c>
    </row>
    <row r="1905" spans="2:10" x14ac:dyDescent="0.3">
      <c r="B1905" s="1" t="s">
        <v>2167</v>
      </c>
      <c r="C1905" s="1" t="s">
        <v>23</v>
      </c>
      <c r="D1905" s="2" t="s">
        <v>522</v>
      </c>
      <c r="E1905" s="2" t="s">
        <v>522</v>
      </c>
      <c r="F1905" s="2" t="s">
        <v>11</v>
      </c>
      <c r="G1905" s="3" t="s">
        <v>565</v>
      </c>
      <c r="H1905" s="1" t="s">
        <v>12</v>
      </c>
      <c r="I1905" s="1" t="s">
        <v>66</v>
      </c>
      <c r="J1905" s="1" t="s">
        <v>14</v>
      </c>
    </row>
    <row r="1906" spans="2:10" x14ac:dyDescent="0.3">
      <c r="B1906" s="1" t="s">
        <v>2180</v>
      </c>
      <c r="C1906" s="1" t="s">
        <v>35</v>
      </c>
      <c r="D1906" s="2" t="s">
        <v>1070</v>
      </c>
      <c r="E1906" s="2" t="s">
        <v>1070</v>
      </c>
      <c r="F1906" s="2" t="s">
        <v>11</v>
      </c>
      <c r="G1906" s="3" t="s">
        <v>1536</v>
      </c>
      <c r="H1906" s="1" t="s">
        <v>12</v>
      </c>
      <c r="I1906" s="1" t="s">
        <v>69</v>
      </c>
      <c r="J1906" s="1" t="s">
        <v>14</v>
      </c>
    </row>
    <row r="1907" spans="2:10" x14ac:dyDescent="0.3">
      <c r="B1907" s="1" t="s">
        <v>2180</v>
      </c>
      <c r="C1907" s="1" t="s">
        <v>17</v>
      </c>
      <c r="D1907" s="2" t="s">
        <v>1070</v>
      </c>
      <c r="E1907" s="2" t="s">
        <v>1070</v>
      </c>
      <c r="F1907" s="2" t="s">
        <v>11</v>
      </c>
      <c r="G1907" s="3" t="s">
        <v>2181</v>
      </c>
      <c r="H1907" s="1" t="s">
        <v>12</v>
      </c>
      <c r="I1907" s="1" t="s">
        <v>51</v>
      </c>
      <c r="J1907" s="1" t="s">
        <v>14</v>
      </c>
    </row>
    <row r="1908" spans="2:10" x14ac:dyDescent="0.3">
      <c r="B1908" s="1" t="s">
        <v>2180</v>
      </c>
      <c r="C1908" s="1" t="s">
        <v>31</v>
      </c>
      <c r="D1908" s="2" t="s">
        <v>2182</v>
      </c>
      <c r="E1908" s="2" t="s">
        <v>554</v>
      </c>
      <c r="F1908" s="2" t="s">
        <v>11</v>
      </c>
      <c r="G1908" s="3" t="s">
        <v>2183</v>
      </c>
      <c r="H1908" s="1" t="s">
        <v>12</v>
      </c>
      <c r="I1908" s="1" t="s">
        <v>23</v>
      </c>
      <c r="J1908" s="1" t="s">
        <v>52</v>
      </c>
    </row>
    <row r="1909" spans="2:10" x14ac:dyDescent="0.3">
      <c r="B1909" s="1" t="s">
        <v>2180</v>
      </c>
      <c r="C1909" s="1" t="s">
        <v>41</v>
      </c>
      <c r="D1909" s="2" t="s">
        <v>1070</v>
      </c>
      <c r="E1909" s="2" t="s">
        <v>1070</v>
      </c>
      <c r="F1909" s="2" t="s">
        <v>11</v>
      </c>
      <c r="G1909" s="3" t="s">
        <v>440</v>
      </c>
      <c r="H1909" s="1" t="s">
        <v>12</v>
      </c>
      <c r="I1909" s="1" t="s">
        <v>58</v>
      </c>
      <c r="J1909" s="1" t="s">
        <v>14</v>
      </c>
    </row>
    <row r="1910" spans="2:10" x14ac:dyDescent="0.3">
      <c r="B1910" s="1" t="s">
        <v>2180</v>
      </c>
      <c r="C1910" s="1" t="s">
        <v>15</v>
      </c>
      <c r="D1910" s="2" t="s">
        <v>628</v>
      </c>
      <c r="E1910" s="2" t="s">
        <v>628</v>
      </c>
      <c r="F1910" s="2" t="s">
        <v>11</v>
      </c>
      <c r="G1910" s="3" t="s">
        <v>2184</v>
      </c>
      <c r="H1910" s="1" t="s">
        <v>12</v>
      </c>
      <c r="I1910" s="1" t="s">
        <v>16</v>
      </c>
      <c r="J1910" s="1" t="s">
        <v>14</v>
      </c>
    </row>
    <row r="1911" spans="2:10" x14ac:dyDescent="0.3">
      <c r="B1911" s="1" t="s">
        <v>2180</v>
      </c>
      <c r="C1911" s="1" t="s">
        <v>33</v>
      </c>
      <c r="D1911" s="2" t="s">
        <v>1070</v>
      </c>
      <c r="E1911" s="2" t="s">
        <v>1070</v>
      </c>
      <c r="F1911" s="2" t="s">
        <v>11</v>
      </c>
      <c r="G1911" s="3" t="s">
        <v>2185</v>
      </c>
      <c r="H1911" s="1" t="s">
        <v>12</v>
      </c>
      <c r="I1911" s="1" t="s">
        <v>93</v>
      </c>
      <c r="J1911" s="1" t="s">
        <v>14</v>
      </c>
    </row>
    <row r="1912" spans="2:10" x14ac:dyDescent="0.3">
      <c r="B1912" s="1" t="s">
        <v>2180</v>
      </c>
      <c r="C1912" s="1" t="s">
        <v>24</v>
      </c>
      <c r="D1912" s="2" t="s">
        <v>572</v>
      </c>
      <c r="E1912" s="2" t="s">
        <v>572</v>
      </c>
      <c r="F1912" s="2" t="s">
        <v>11</v>
      </c>
      <c r="G1912" s="3" t="s">
        <v>2186</v>
      </c>
      <c r="H1912" s="1" t="s">
        <v>12</v>
      </c>
      <c r="I1912" s="1" t="s">
        <v>56</v>
      </c>
      <c r="J1912" s="1" t="s">
        <v>14</v>
      </c>
    </row>
    <row r="1913" spans="2:10" x14ac:dyDescent="0.3">
      <c r="B1913" s="1" t="s">
        <v>2180</v>
      </c>
      <c r="C1913" s="1" t="s">
        <v>46</v>
      </c>
      <c r="D1913" s="2" t="s">
        <v>1693</v>
      </c>
      <c r="E1913" s="2" t="s">
        <v>1693</v>
      </c>
      <c r="F1913" s="2" t="s">
        <v>11</v>
      </c>
      <c r="G1913" s="3" t="s">
        <v>2187</v>
      </c>
      <c r="H1913" s="1" t="s">
        <v>12</v>
      </c>
      <c r="I1913" s="1" t="s">
        <v>48</v>
      </c>
      <c r="J1913" s="1" t="s">
        <v>14</v>
      </c>
    </row>
    <row r="1914" spans="2:10" x14ac:dyDescent="0.3">
      <c r="B1914" s="1" t="s">
        <v>2180</v>
      </c>
      <c r="C1914" s="1" t="s">
        <v>10</v>
      </c>
      <c r="D1914" s="2" t="s">
        <v>1693</v>
      </c>
      <c r="E1914" s="2" t="s">
        <v>1693</v>
      </c>
      <c r="F1914" s="2" t="s">
        <v>11</v>
      </c>
      <c r="G1914" s="3" t="s">
        <v>2188</v>
      </c>
      <c r="H1914" s="1" t="s">
        <v>12</v>
      </c>
      <c r="I1914" s="1" t="s">
        <v>50</v>
      </c>
      <c r="J1914" s="1" t="s">
        <v>14</v>
      </c>
    </row>
    <row r="1915" spans="2:10" x14ac:dyDescent="0.3">
      <c r="B1915" s="1" t="s">
        <v>2180</v>
      </c>
      <c r="C1915" s="1" t="s">
        <v>21</v>
      </c>
      <c r="D1915" s="2" t="s">
        <v>1070</v>
      </c>
      <c r="E1915" s="2" t="s">
        <v>1070</v>
      </c>
      <c r="F1915" s="2" t="s">
        <v>11</v>
      </c>
      <c r="G1915" s="3" t="s">
        <v>2189</v>
      </c>
      <c r="H1915" s="1" t="s">
        <v>12</v>
      </c>
      <c r="I1915" s="1" t="s">
        <v>56</v>
      </c>
      <c r="J1915" s="1" t="s">
        <v>14</v>
      </c>
    </row>
    <row r="1916" spans="2:10" x14ac:dyDescent="0.3">
      <c r="B1916" s="1" t="s">
        <v>2180</v>
      </c>
      <c r="C1916" s="1" t="s">
        <v>29</v>
      </c>
      <c r="D1916" s="2" t="s">
        <v>1693</v>
      </c>
      <c r="E1916" s="2" t="s">
        <v>1693</v>
      </c>
      <c r="F1916" s="2" t="s">
        <v>11</v>
      </c>
      <c r="G1916" s="3" t="s">
        <v>2190</v>
      </c>
      <c r="H1916" s="1" t="s">
        <v>12</v>
      </c>
      <c r="I1916" s="1" t="s">
        <v>116</v>
      </c>
      <c r="J1916" s="1" t="s">
        <v>14</v>
      </c>
    </row>
    <row r="1917" spans="2:10" x14ac:dyDescent="0.3">
      <c r="B1917" s="1" t="s">
        <v>2180</v>
      </c>
      <c r="C1917" s="1" t="s">
        <v>39</v>
      </c>
      <c r="D1917" s="2" t="s">
        <v>1174</v>
      </c>
      <c r="E1917" s="2" t="s">
        <v>1174</v>
      </c>
      <c r="F1917" s="2" t="s">
        <v>11</v>
      </c>
      <c r="G1917" s="3" t="s">
        <v>1747</v>
      </c>
      <c r="H1917" s="1" t="s">
        <v>12</v>
      </c>
      <c r="I1917" s="1" t="s">
        <v>13</v>
      </c>
      <c r="J1917" s="1" t="s">
        <v>14</v>
      </c>
    </row>
    <row r="1918" spans="2:10" x14ac:dyDescent="0.3">
      <c r="B1918" s="1" t="s">
        <v>2180</v>
      </c>
      <c r="C1918" s="1" t="s">
        <v>26</v>
      </c>
      <c r="D1918" s="2" t="s">
        <v>1070</v>
      </c>
      <c r="E1918" s="2" t="s">
        <v>1070</v>
      </c>
      <c r="F1918" s="2" t="s">
        <v>11</v>
      </c>
      <c r="G1918" s="3" t="s">
        <v>2191</v>
      </c>
      <c r="H1918" s="1" t="s">
        <v>12</v>
      </c>
      <c r="I1918" s="1" t="s">
        <v>65</v>
      </c>
      <c r="J1918" s="1" t="s">
        <v>14</v>
      </c>
    </row>
    <row r="1919" spans="2:10" x14ac:dyDescent="0.3">
      <c r="B1919" s="1" t="s">
        <v>2180</v>
      </c>
      <c r="C1919" s="1" t="s">
        <v>36</v>
      </c>
      <c r="D1919" s="2" t="s">
        <v>972</v>
      </c>
      <c r="E1919" s="2" t="s">
        <v>972</v>
      </c>
      <c r="F1919" s="2" t="s">
        <v>11</v>
      </c>
      <c r="G1919" s="3" t="s">
        <v>2192</v>
      </c>
      <c r="H1919" s="1" t="s">
        <v>12</v>
      </c>
      <c r="I1919" s="1" t="s">
        <v>27</v>
      </c>
      <c r="J1919" s="1" t="s">
        <v>14</v>
      </c>
    </row>
    <row r="1920" spans="2:10" x14ac:dyDescent="0.3">
      <c r="B1920" s="1" t="s">
        <v>2180</v>
      </c>
      <c r="C1920" s="1" t="s">
        <v>19</v>
      </c>
      <c r="D1920" s="2" t="s">
        <v>1070</v>
      </c>
      <c r="E1920" s="2" t="s">
        <v>1070</v>
      </c>
      <c r="F1920" s="2" t="s">
        <v>11</v>
      </c>
      <c r="G1920" s="3" t="s">
        <v>2193</v>
      </c>
      <c r="H1920" s="1" t="s">
        <v>12</v>
      </c>
      <c r="I1920" s="1" t="s">
        <v>84</v>
      </c>
      <c r="J1920" s="1" t="s">
        <v>14</v>
      </c>
    </row>
    <row r="1921" spans="2:10" x14ac:dyDescent="0.3">
      <c r="B1921" s="1" t="s">
        <v>2180</v>
      </c>
      <c r="C1921" s="1" t="s">
        <v>28</v>
      </c>
      <c r="D1921" s="2" t="s">
        <v>628</v>
      </c>
      <c r="E1921" s="2" t="s">
        <v>628</v>
      </c>
      <c r="F1921" s="2" t="s">
        <v>11</v>
      </c>
      <c r="G1921" s="3" t="s">
        <v>948</v>
      </c>
      <c r="H1921" s="1" t="s">
        <v>12</v>
      </c>
      <c r="I1921" s="1" t="s">
        <v>27</v>
      </c>
      <c r="J1921" s="1" t="s">
        <v>14</v>
      </c>
    </row>
    <row r="1922" spans="2:10" x14ac:dyDescent="0.3">
      <c r="B1922" s="1" t="s">
        <v>2180</v>
      </c>
      <c r="C1922" s="1" t="s">
        <v>43</v>
      </c>
      <c r="D1922" s="2" t="s">
        <v>2194</v>
      </c>
      <c r="E1922" s="2" t="s">
        <v>2195</v>
      </c>
      <c r="F1922" s="2" t="s">
        <v>11</v>
      </c>
      <c r="G1922" s="3" t="s">
        <v>641</v>
      </c>
      <c r="H1922" s="1" t="s">
        <v>12</v>
      </c>
      <c r="I1922" s="1" t="s">
        <v>55</v>
      </c>
      <c r="J1922" s="1" t="s">
        <v>52</v>
      </c>
    </row>
    <row r="1923" spans="2:10" x14ac:dyDescent="0.3">
      <c r="B1923" s="1" t="s">
        <v>2180</v>
      </c>
      <c r="C1923" s="1" t="s">
        <v>23</v>
      </c>
      <c r="D1923" s="2" t="s">
        <v>1080</v>
      </c>
      <c r="E1923" s="2" t="s">
        <v>1080</v>
      </c>
      <c r="F1923" s="2" t="s">
        <v>11</v>
      </c>
      <c r="G1923" s="3" t="s">
        <v>1935</v>
      </c>
      <c r="H1923" s="1" t="s">
        <v>12</v>
      </c>
      <c r="I1923" s="1" t="s">
        <v>16</v>
      </c>
      <c r="J1923" s="1" t="s">
        <v>14</v>
      </c>
    </row>
    <row r="1924" spans="2:10" x14ac:dyDescent="0.3">
      <c r="B1924" s="1" t="s">
        <v>2180</v>
      </c>
      <c r="C1924" s="1" t="s">
        <v>45</v>
      </c>
      <c r="D1924" s="2" t="s">
        <v>1693</v>
      </c>
      <c r="E1924" s="2" t="s">
        <v>1693</v>
      </c>
      <c r="F1924" s="2" t="s">
        <v>11</v>
      </c>
      <c r="G1924" s="3" t="s">
        <v>2196</v>
      </c>
      <c r="H1924" s="1" t="s">
        <v>12</v>
      </c>
      <c r="I1924" s="1" t="s">
        <v>40</v>
      </c>
      <c r="J1924" s="1" t="s">
        <v>14</v>
      </c>
    </row>
    <row r="1925" spans="2:10" x14ac:dyDescent="0.3">
      <c r="B1925" s="1" t="s">
        <v>2180</v>
      </c>
      <c r="C1925" s="1" t="s">
        <v>38</v>
      </c>
      <c r="D1925" s="2" t="s">
        <v>1070</v>
      </c>
      <c r="E1925" s="2" t="s">
        <v>1070</v>
      </c>
      <c r="F1925" s="2" t="s">
        <v>11</v>
      </c>
      <c r="G1925" s="3" t="s">
        <v>718</v>
      </c>
      <c r="H1925" s="1" t="s">
        <v>12</v>
      </c>
      <c r="I1925" s="1" t="s">
        <v>48</v>
      </c>
      <c r="J1925" s="1" t="s">
        <v>14</v>
      </c>
    </row>
    <row r="1926" spans="2:10" x14ac:dyDescent="0.3">
      <c r="B1926" s="1" t="s">
        <v>2197</v>
      </c>
      <c r="C1926" s="1" t="s">
        <v>17</v>
      </c>
      <c r="D1926" s="2" t="s">
        <v>838</v>
      </c>
      <c r="E1926" s="2" t="s">
        <v>838</v>
      </c>
      <c r="F1926" s="2" t="s">
        <v>11</v>
      </c>
      <c r="G1926" s="3" t="s">
        <v>2198</v>
      </c>
      <c r="H1926" s="1" t="s">
        <v>12</v>
      </c>
      <c r="I1926" s="1" t="s">
        <v>76</v>
      </c>
      <c r="J1926" s="1" t="s">
        <v>14</v>
      </c>
    </row>
    <row r="1927" spans="2:10" x14ac:dyDescent="0.3">
      <c r="B1927" s="1" t="s">
        <v>2197</v>
      </c>
      <c r="C1927" s="1" t="s">
        <v>19</v>
      </c>
      <c r="D1927" s="2" t="s">
        <v>692</v>
      </c>
      <c r="E1927" s="2" t="s">
        <v>692</v>
      </c>
      <c r="F1927" s="2" t="s">
        <v>11</v>
      </c>
      <c r="G1927" s="3" t="s">
        <v>2199</v>
      </c>
      <c r="H1927" s="1" t="s">
        <v>12</v>
      </c>
      <c r="I1927" s="1" t="s">
        <v>67</v>
      </c>
      <c r="J1927" s="1" t="s">
        <v>14</v>
      </c>
    </row>
    <row r="1928" spans="2:10" x14ac:dyDescent="0.3">
      <c r="B1928" s="1" t="s">
        <v>2197</v>
      </c>
      <c r="C1928" s="1" t="s">
        <v>15</v>
      </c>
      <c r="D1928" s="2" t="s">
        <v>244</v>
      </c>
      <c r="E1928" s="2" t="s">
        <v>244</v>
      </c>
      <c r="F1928" s="2" t="s">
        <v>11</v>
      </c>
      <c r="G1928" s="3" t="s">
        <v>2200</v>
      </c>
      <c r="H1928" s="1" t="s">
        <v>12</v>
      </c>
      <c r="I1928" s="1" t="s">
        <v>50</v>
      </c>
      <c r="J1928" s="1" t="s">
        <v>14</v>
      </c>
    </row>
    <row r="1929" spans="2:10" x14ac:dyDescent="0.3">
      <c r="B1929" s="1" t="s">
        <v>2197</v>
      </c>
      <c r="C1929" s="1" t="s">
        <v>43</v>
      </c>
      <c r="D1929" s="2" t="s">
        <v>686</v>
      </c>
      <c r="E1929" s="2" t="s">
        <v>686</v>
      </c>
      <c r="F1929" s="2" t="s">
        <v>11</v>
      </c>
      <c r="G1929" s="3" t="s">
        <v>357</v>
      </c>
      <c r="H1929" s="1" t="s">
        <v>12</v>
      </c>
      <c r="I1929" s="1" t="s">
        <v>27</v>
      </c>
      <c r="J1929" s="1" t="s">
        <v>14</v>
      </c>
    </row>
    <row r="1930" spans="2:10" x14ac:dyDescent="0.3">
      <c r="B1930" s="1" t="s">
        <v>2197</v>
      </c>
      <c r="C1930" s="1" t="s">
        <v>33</v>
      </c>
      <c r="D1930" s="2" t="s">
        <v>248</v>
      </c>
      <c r="E1930" s="2" t="s">
        <v>248</v>
      </c>
      <c r="F1930" s="2" t="s">
        <v>11</v>
      </c>
      <c r="G1930" s="3" t="s">
        <v>787</v>
      </c>
      <c r="H1930" s="1" t="s">
        <v>12</v>
      </c>
      <c r="I1930" s="1" t="s">
        <v>66</v>
      </c>
      <c r="J1930" s="1" t="s">
        <v>14</v>
      </c>
    </row>
    <row r="1931" spans="2:10" x14ac:dyDescent="0.3">
      <c r="B1931" s="1" t="s">
        <v>2197</v>
      </c>
      <c r="C1931" s="1" t="s">
        <v>36</v>
      </c>
      <c r="D1931" s="2" t="s">
        <v>499</v>
      </c>
      <c r="E1931" s="2" t="s">
        <v>499</v>
      </c>
      <c r="F1931" s="2" t="s">
        <v>11</v>
      </c>
      <c r="G1931" s="3" t="s">
        <v>2201</v>
      </c>
      <c r="H1931" s="1" t="s">
        <v>12</v>
      </c>
      <c r="I1931" s="1" t="s">
        <v>48</v>
      </c>
      <c r="J1931" s="1" t="s">
        <v>14</v>
      </c>
    </row>
    <row r="1932" spans="2:10" x14ac:dyDescent="0.3">
      <c r="B1932" s="1" t="s">
        <v>2197</v>
      </c>
      <c r="C1932" s="1" t="s">
        <v>41</v>
      </c>
      <c r="D1932" s="2" t="s">
        <v>220</v>
      </c>
      <c r="E1932" s="2" t="s">
        <v>220</v>
      </c>
      <c r="F1932" s="2" t="s">
        <v>11</v>
      </c>
      <c r="G1932" s="3" t="s">
        <v>2202</v>
      </c>
      <c r="H1932" s="1" t="s">
        <v>12</v>
      </c>
      <c r="I1932" s="1" t="s">
        <v>42</v>
      </c>
      <c r="J1932" s="1" t="s">
        <v>14</v>
      </c>
    </row>
    <row r="1933" spans="2:10" x14ac:dyDescent="0.3">
      <c r="B1933" s="1" t="s">
        <v>2197</v>
      </c>
      <c r="C1933" s="1" t="s">
        <v>45</v>
      </c>
      <c r="D1933" s="2" t="s">
        <v>2203</v>
      </c>
      <c r="E1933" s="2" t="s">
        <v>2204</v>
      </c>
      <c r="F1933" s="2" t="s">
        <v>11</v>
      </c>
      <c r="G1933" s="3" t="s">
        <v>745</v>
      </c>
      <c r="H1933" s="1" t="s">
        <v>12</v>
      </c>
      <c r="I1933" s="1" t="s">
        <v>17</v>
      </c>
      <c r="J1933" s="1" t="s">
        <v>52</v>
      </c>
    </row>
    <row r="1934" spans="2:10" x14ac:dyDescent="0.3">
      <c r="B1934" s="1" t="s">
        <v>2197</v>
      </c>
      <c r="C1934" s="1" t="s">
        <v>24</v>
      </c>
      <c r="D1934" s="2" t="s">
        <v>390</v>
      </c>
      <c r="E1934" s="2" t="s">
        <v>390</v>
      </c>
      <c r="F1934" s="2" t="s">
        <v>11</v>
      </c>
      <c r="G1934" s="3" t="s">
        <v>2205</v>
      </c>
      <c r="H1934" s="1" t="s">
        <v>12</v>
      </c>
      <c r="I1934" s="1" t="s">
        <v>70</v>
      </c>
      <c r="J1934" s="1" t="s">
        <v>14</v>
      </c>
    </row>
    <row r="1935" spans="2:10" x14ac:dyDescent="0.3">
      <c r="B1935" s="1" t="s">
        <v>2197</v>
      </c>
      <c r="C1935" s="1" t="s">
        <v>29</v>
      </c>
      <c r="D1935" s="2" t="s">
        <v>692</v>
      </c>
      <c r="E1935" s="2" t="s">
        <v>692</v>
      </c>
      <c r="F1935" s="2" t="s">
        <v>11</v>
      </c>
      <c r="G1935" s="3" t="s">
        <v>2206</v>
      </c>
      <c r="H1935" s="1" t="s">
        <v>12</v>
      </c>
      <c r="I1935" s="1" t="s">
        <v>42</v>
      </c>
      <c r="J1935" s="1" t="s">
        <v>14</v>
      </c>
    </row>
    <row r="1936" spans="2:10" x14ac:dyDescent="0.3">
      <c r="B1936" s="1" t="s">
        <v>2197</v>
      </c>
      <c r="C1936" s="1" t="s">
        <v>23</v>
      </c>
      <c r="D1936" s="2" t="s">
        <v>248</v>
      </c>
      <c r="E1936" s="2" t="s">
        <v>248</v>
      </c>
      <c r="F1936" s="2" t="s">
        <v>11</v>
      </c>
      <c r="G1936" s="3" t="s">
        <v>2207</v>
      </c>
      <c r="H1936" s="1" t="s">
        <v>12</v>
      </c>
      <c r="I1936" s="1" t="s">
        <v>76</v>
      </c>
      <c r="J1936" s="1" t="s">
        <v>14</v>
      </c>
    </row>
    <row r="1937" spans="2:10" x14ac:dyDescent="0.3">
      <c r="B1937" s="1" t="s">
        <v>2197</v>
      </c>
      <c r="C1937" s="1" t="s">
        <v>35</v>
      </c>
      <c r="D1937" s="2" t="s">
        <v>464</v>
      </c>
      <c r="E1937" s="2" t="s">
        <v>464</v>
      </c>
      <c r="F1937" s="2" t="s">
        <v>11</v>
      </c>
      <c r="G1937" s="3" t="s">
        <v>384</v>
      </c>
      <c r="H1937" s="1" t="s">
        <v>12</v>
      </c>
      <c r="I1937" s="1" t="s">
        <v>25</v>
      </c>
      <c r="J1937" s="1" t="s">
        <v>14</v>
      </c>
    </row>
    <row r="1938" spans="2:10" x14ac:dyDescent="0.3">
      <c r="B1938" s="1" t="s">
        <v>2197</v>
      </c>
      <c r="C1938" s="1" t="s">
        <v>31</v>
      </c>
      <c r="D1938" s="2" t="s">
        <v>244</v>
      </c>
      <c r="E1938" s="2" t="s">
        <v>244</v>
      </c>
      <c r="F1938" s="2" t="s">
        <v>11</v>
      </c>
      <c r="G1938" s="3" t="s">
        <v>1288</v>
      </c>
      <c r="H1938" s="1" t="s">
        <v>12</v>
      </c>
      <c r="I1938" s="1" t="s">
        <v>13</v>
      </c>
      <c r="J1938" s="1" t="s">
        <v>14</v>
      </c>
    </row>
    <row r="1939" spans="2:10" x14ac:dyDescent="0.3">
      <c r="B1939" s="1" t="s">
        <v>2197</v>
      </c>
      <c r="C1939" s="1" t="s">
        <v>38</v>
      </c>
      <c r="D1939" s="2" t="s">
        <v>475</v>
      </c>
      <c r="E1939" s="2" t="s">
        <v>475</v>
      </c>
      <c r="F1939" s="2" t="s">
        <v>11</v>
      </c>
      <c r="G1939" s="3" t="s">
        <v>802</v>
      </c>
      <c r="H1939" s="1" t="s">
        <v>12</v>
      </c>
      <c r="I1939" s="1" t="s">
        <v>42</v>
      </c>
      <c r="J1939" s="1" t="s">
        <v>14</v>
      </c>
    </row>
    <row r="1940" spans="2:10" x14ac:dyDescent="0.3">
      <c r="B1940" s="1" t="s">
        <v>2197</v>
      </c>
      <c r="C1940" s="1" t="s">
        <v>26</v>
      </c>
      <c r="D1940" s="2" t="s">
        <v>686</v>
      </c>
      <c r="E1940" s="2" t="s">
        <v>686</v>
      </c>
      <c r="F1940" s="2" t="s">
        <v>11</v>
      </c>
      <c r="G1940" s="3" t="s">
        <v>2208</v>
      </c>
      <c r="H1940" s="1" t="s">
        <v>12</v>
      </c>
      <c r="I1940" s="1" t="s">
        <v>32</v>
      </c>
      <c r="J1940" s="1" t="s">
        <v>14</v>
      </c>
    </row>
    <row r="1941" spans="2:10" x14ac:dyDescent="0.3">
      <c r="B1941" s="1" t="s">
        <v>2197</v>
      </c>
      <c r="C1941" s="1" t="s">
        <v>21</v>
      </c>
      <c r="D1941" s="2" t="s">
        <v>464</v>
      </c>
      <c r="E1941" s="2" t="s">
        <v>464</v>
      </c>
      <c r="F1941" s="2" t="s">
        <v>11</v>
      </c>
      <c r="G1941" s="3" t="s">
        <v>2209</v>
      </c>
      <c r="H1941" s="1" t="s">
        <v>12</v>
      </c>
      <c r="I1941" s="1" t="s">
        <v>66</v>
      </c>
      <c r="J1941" s="1" t="s">
        <v>14</v>
      </c>
    </row>
    <row r="1942" spans="2:10" x14ac:dyDescent="0.3">
      <c r="B1942" s="1" t="s">
        <v>2197</v>
      </c>
      <c r="C1942" s="1" t="s">
        <v>46</v>
      </c>
      <c r="D1942" s="2" t="s">
        <v>464</v>
      </c>
      <c r="E1942" s="2" t="s">
        <v>464</v>
      </c>
      <c r="F1942" s="2" t="s">
        <v>11</v>
      </c>
      <c r="G1942" s="3" t="s">
        <v>817</v>
      </c>
      <c r="H1942" s="1" t="s">
        <v>12</v>
      </c>
      <c r="I1942" s="1" t="s">
        <v>47</v>
      </c>
      <c r="J1942" s="1" t="s">
        <v>14</v>
      </c>
    </row>
    <row r="1943" spans="2:10" x14ac:dyDescent="0.3">
      <c r="B1943" s="1" t="s">
        <v>2197</v>
      </c>
      <c r="C1943" s="1" t="s">
        <v>39</v>
      </c>
      <c r="D1943" s="2" t="s">
        <v>220</v>
      </c>
      <c r="E1943" s="2" t="s">
        <v>220</v>
      </c>
      <c r="F1943" s="2" t="s">
        <v>11</v>
      </c>
      <c r="G1943" s="3" t="s">
        <v>2210</v>
      </c>
      <c r="H1943" s="1" t="s">
        <v>12</v>
      </c>
      <c r="I1943" s="1" t="s">
        <v>29</v>
      </c>
      <c r="J1943" s="1" t="s">
        <v>14</v>
      </c>
    </row>
    <row r="1944" spans="2:10" x14ac:dyDescent="0.3">
      <c r="B1944" s="1" t="s">
        <v>2197</v>
      </c>
      <c r="C1944" s="1" t="s">
        <v>10</v>
      </c>
      <c r="D1944" s="2" t="s">
        <v>464</v>
      </c>
      <c r="E1944" s="2" t="s">
        <v>464</v>
      </c>
      <c r="F1944" s="2" t="s">
        <v>11</v>
      </c>
      <c r="G1944" s="3" t="s">
        <v>2211</v>
      </c>
      <c r="H1944" s="1" t="s">
        <v>12</v>
      </c>
      <c r="I1944" s="1" t="s">
        <v>58</v>
      </c>
      <c r="J1944" s="1" t="s">
        <v>14</v>
      </c>
    </row>
    <row r="1945" spans="2:10" x14ac:dyDescent="0.3">
      <c r="B1945" s="1" t="s">
        <v>2197</v>
      </c>
      <c r="C1945" s="1" t="s">
        <v>28</v>
      </c>
      <c r="D1945" s="2" t="s">
        <v>836</v>
      </c>
      <c r="E1945" s="2" t="s">
        <v>836</v>
      </c>
      <c r="F1945" s="2" t="s">
        <v>11</v>
      </c>
      <c r="G1945" s="3" t="s">
        <v>2212</v>
      </c>
      <c r="H1945" s="1" t="s">
        <v>12</v>
      </c>
      <c r="I1945" s="1" t="s">
        <v>140</v>
      </c>
      <c r="J1945" s="1" t="s">
        <v>14</v>
      </c>
    </row>
    <row r="1946" spans="2:10" x14ac:dyDescent="0.3">
      <c r="B1946" s="1" t="s">
        <v>2213</v>
      </c>
      <c r="C1946" s="1" t="s">
        <v>35</v>
      </c>
      <c r="D1946" s="2" t="s">
        <v>244</v>
      </c>
      <c r="E1946" s="2" t="s">
        <v>244</v>
      </c>
      <c r="F1946" s="2" t="s">
        <v>11</v>
      </c>
      <c r="G1946" s="3" t="s">
        <v>2214</v>
      </c>
      <c r="H1946" s="1" t="s">
        <v>12</v>
      </c>
      <c r="I1946" s="1" t="s">
        <v>30</v>
      </c>
      <c r="J1946" s="1" t="s">
        <v>14</v>
      </c>
    </row>
    <row r="1947" spans="2:10" x14ac:dyDescent="0.3">
      <c r="B1947" s="1" t="s">
        <v>2213</v>
      </c>
      <c r="C1947" s="1" t="s">
        <v>28</v>
      </c>
      <c r="D1947" s="2" t="s">
        <v>476</v>
      </c>
      <c r="E1947" s="2" t="s">
        <v>476</v>
      </c>
      <c r="F1947" s="2" t="s">
        <v>11</v>
      </c>
      <c r="G1947" s="3" t="s">
        <v>2215</v>
      </c>
      <c r="H1947" s="1" t="s">
        <v>12</v>
      </c>
      <c r="I1947" s="1" t="s">
        <v>49</v>
      </c>
      <c r="J1947" s="1" t="s">
        <v>14</v>
      </c>
    </row>
    <row r="1948" spans="2:10" x14ac:dyDescent="0.3">
      <c r="B1948" s="1" t="s">
        <v>2213</v>
      </c>
      <c r="C1948" s="1" t="s">
        <v>10</v>
      </c>
      <c r="D1948" s="2" t="s">
        <v>251</v>
      </c>
      <c r="E1948" s="2" t="s">
        <v>251</v>
      </c>
      <c r="F1948" s="2" t="s">
        <v>11</v>
      </c>
      <c r="G1948" s="3" t="s">
        <v>2216</v>
      </c>
      <c r="H1948" s="1" t="s">
        <v>12</v>
      </c>
      <c r="I1948" s="1" t="s">
        <v>30</v>
      </c>
      <c r="J1948" s="1" t="s">
        <v>14</v>
      </c>
    </row>
    <row r="1949" spans="2:10" x14ac:dyDescent="0.3">
      <c r="B1949" s="1" t="s">
        <v>2213</v>
      </c>
      <c r="C1949" s="1" t="s">
        <v>41</v>
      </c>
      <c r="D1949" s="2" t="s">
        <v>779</v>
      </c>
      <c r="E1949" s="2" t="s">
        <v>779</v>
      </c>
      <c r="F1949" s="2" t="s">
        <v>11</v>
      </c>
      <c r="G1949" s="3" t="s">
        <v>2217</v>
      </c>
      <c r="H1949" s="1" t="s">
        <v>12</v>
      </c>
      <c r="I1949" s="1" t="s">
        <v>18</v>
      </c>
      <c r="J1949" s="1" t="s">
        <v>14</v>
      </c>
    </row>
    <row r="1950" spans="2:10" x14ac:dyDescent="0.3">
      <c r="B1950" s="1" t="s">
        <v>2213</v>
      </c>
      <c r="C1950" s="1" t="s">
        <v>33</v>
      </c>
      <c r="D1950" s="2" t="s">
        <v>397</v>
      </c>
      <c r="E1950" s="2" t="s">
        <v>397</v>
      </c>
      <c r="F1950" s="2" t="s">
        <v>11</v>
      </c>
      <c r="G1950" s="3" t="s">
        <v>1235</v>
      </c>
      <c r="H1950" s="1" t="s">
        <v>12</v>
      </c>
      <c r="I1950" s="1" t="s">
        <v>20</v>
      </c>
      <c r="J1950" s="1" t="s">
        <v>14</v>
      </c>
    </row>
    <row r="1951" spans="2:10" x14ac:dyDescent="0.3">
      <c r="B1951" s="1" t="s">
        <v>2213</v>
      </c>
      <c r="C1951" s="1" t="s">
        <v>17</v>
      </c>
      <c r="D1951" s="2" t="s">
        <v>397</v>
      </c>
      <c r="E1951" s="2" t="s">
        <v>397</v>
      </c>
      <c r="F1951" s="2" t="s">
        <v>11</v>
      </c>
      <c r="G1951" s="3" t="s">
        <v>2218</v>
      </c>
      <c r="H1951" s="1" t="s">
        <v>12</v>
      </c>
      <c r="I1951" s="1" t="s">
        <v>66</v>
      </c>
      <c r="J1951" s="1" t="s">
        <v>14</v>
      </c>
    </row>
    <row r="1952" spans="2:10" x14ac:dyDescent="0.3">
      <c r="B1952" s="1" t="s">
        <v>2213</v>
      </c>
      <c r="C1952" s="1" t="s">
        <v>21</v>
      </c>
      <c r="D1952" s="2" t="s">
        <v>387</v>
      </c>
      <c r="E1952" s="2" t="s">
        <v>387</v>
      </c>
      <c r="F1952" s="2" t="s">
        <v>11</v>
      </c>
      <c r="G1952" s="3" t="s">
        <v>2219</v>
      </c>
      <c r="H1952" s="1" t="s">
        <v>12</v>
      </c>
      <c r="I1952" s="1" t="s">
        <v>21</v>
      </c>
      <c r="J1952" s="1" t="s">
        <v>14</v>
      </c>
    </row>
    <row r="1953" spans="2:10" x14ac:dyDescent="0.3">
      <c r="B1953" s="1" t="s">
        <v>2213</v>
      </c>
      <c r="C1953" s="1" t="s">
        <v>26</v>
      </c>
      <c r="D1953" s="2" t="s">
        <v>244</v>
      </c>
      <c r="E1953" s="2" t="s">
        <v>244</v>
      </c>
      <c r="F1953" s="2" t="s">
        <v>11</v>
      </c>
      <c r="G1953" s="3" t="s">
        <v>757</v>
      </c>
      <c r="H1953" s="1" t="s">
        <v>12</v>
      </c>
      <c r="I1953" s="1" t="s">
        <v>51</v>
      </c>
      <c r="J1953" s="1" t="s">
        <v>14</v>
      </c>
    </row>
    <row r="1954" spans="2:10" x14ac:dyDescent="0.3">
      <c r="B1954" s="1" t="s">
        <v>2213</v>
      </c>
      <c r="C1954" s="1" t="s">
        <v>23</v>
      </c>
      <c r="D1954" s="2" t="s">
        <v>693</v>
      </c>
      <c r="E1954" s="2" t="s">
        <v>693</v>
      </c>
      <c r="F1954" s="2" t="s">
        <v>11</v>
      </c>
      <c r="G1954" s="3" t="s">
        <v>2220</v>
      </c>
      <c r="H1954" s="1" t="s">
        <v>12</v>
      </c>
      <c r="I1954" s="1" t="s">
        <v>53</v>
      </c>
      <c r="J1954" s="1" t="s">
        <v>14</v>
      </c>
    </row>
    <row r="1955" spans="2:10" x14ac:dyDescent="0.3">
      <c r="B1955" s="1" t="s">
        <v>2213</v>
      </c>
      <c r="C1955" s="1" t="s">
        <v>15</v>
      </c>
      <c r="D1955" s="2" t="s">
        <v>777</v>
      </c>
      <c r="E1955" s="2" t="s">
        <v>777</v>
      </c>
      <c r="F1955" s="2" t="s">
        <v>11</v>
      </c>
      <c r="G1955" s="3" t="s">
        <v>2221</v>
      </c>
      <c r="H1955" s="1" t="s">
        <v>12</v>
      </c>
      <c r="I1955" s="1" t="s">
        <v>55</v>
      </c>
      <c r="J1955" s="1" t="s">
        <v>14</v>
      </c>
    </row>
    <row r="1956" spans="2:10" x14ac:dyDescent="0.3">
      <c r="B1956" s="1" t="s">
        <v>2213</v>
      </c>
      <c r="C1956" s="1" t="s">
        <v>36</v>
      </c>
      <c r="D1956" s="2" t="s">
        <v>397</v>
      </c>
      <c r="E1956" s="2" t="s">
        <v>397</v>
      </c>
      <c r="F1956" s="2" t="s">
        <v>11</v>
      </c>
      <c r="G1956" s="3" t="s">
        <v>357</v>
      </c>
      <c r="H1956" s="1" t="s">
        <v>12</v>
      </c>
      <c r="I1956" s="1" t="s">
        <v>22</v>
      </c>
      <c r="J1956" s="1" t="s">
        <v>14</v>
      </c>
    </row>
    <row r="1957" spans="2:10" x14ac:dyDescent="0.3">
      <c r="B1957" s="1" t="s">
        <v>2213</v>
      </c>
      <c r="C1957" s="1" t="s">
        <v>43</v>
      </c>
      <c r="D1957" s="2" t="s">
        <v>397</v>
      </c>
      <c r="E1957" s="2" t="s">
        <v>397</v>
      </c>
      <c r="F1957" s="2" t="s">
        <v>11</v>
      </c>
      <c r="G1957" s="3" t="s">
        <v>553</v>
      </c>
      <c r="H1957" s="1" t="s">
        <v>12</v>
      </c>
      <c r="I1957" s="1" t="s">
        <v>13</v>
      </c>
      <c r="J1957" s="1" t="s">
        <v>14</v>
      </c>
    </row>
    <row r="1958" spans="2:10" x14ac:dyDescent="0.3">
      <c r="B1958" s="1" t="s">
        <v>2213</v>
      </c>
      <c r="C1958" s="1" t="s">
        <v>29</v>
      </c>
      <c r="D1958" s="2" t="s">
        <v>397</v>
      </c>
      <c r="E1958" s="2" t="s">
        <v>397</v>
      </c>
      <c r="F1958" s="2" t="s">
        <v>11</v>
      </c>
      <c r="G1958" s="3" t="s">
        <v>2222</v>
      </c>
      <c r="H1958" s="1" t="s">
        <v>12</v>
      </c>
      <c r="I1958" s="1" t="s">
        <v>18</v>
      </c>
      <c r="J1958" s="1" t="s">
        <v>14</v>
      </c>
    </row>
    <row r="1959" spans="2:10" x14ac:dyDescent="0.3">
      <c r="B1959" s="1" t="s">
        <v>2213</v>
      </c>
      <c r="C1959" s="1" t="s">
        <v>45</v>
      </c>
      <c r="D1959" s="2" t="s">
        <v>268</v>
      </c>
      <c r="E1959" s="2" t="s">
        <v>268</v>
      </c>
      <c r="F1959" s="2" t="s">
        <v>11</v>
      </c>
      <c r="G1959" s="3" t="s">
        <v>2223</v>
      </c>
      <c r="H1959" s="1" t="s">
        <v>12</v>
      </c>
      <c r="I1959" s="1" t="s">
        <v>27</v>
      </c>
      <c r="J1959" s="1" t="s">
        <v>14</v>
      </c>
    </row>
    <row r="1960" spans="2:10" x14ac:dyDescent="0.3">
      <c r="B1960" s="1" t="s">
        <v>2213</v>
      </c>
      <c r="C1960" s="1" t="s">
        <v>31</v>
      </c>
      <c r="D1960" s="2" t="s">
        <v>397</v>
      </c>
      <c r="E1960" s="2" t="s">
        <v>397</v>
      </c>
      <c r="F1960" s="2" t="s">
        <v>11</v>
      </c>
      <c r="G1960" s="3" t="s">
        <v>1184</v>
      </c>
      <c r="H1960" s="1" t="s">
        <v>12</v>
      </c>
      <c r="I1960" s="1" t="s">
        <v>22</v>
      </c>
      <c r="J1960" s="1" t="s">
        <v>14</v>
      </c>
    </row>
    <row r="1961" spans="2:10" x14ac:dyDescent="0.3">
      <c r="B1961" s="1" t="s">
        <v>2213</v>
      </c>
      <c r="C1961" s="1" t="s">
        <v>24</v>
      </c>
      <c r="D1961" s="2" t="s">
        <v>387</v>
      </c>
      <c r="E1961" s="2" t="s">
        <v>387</v>
      </c>
      <c r="F1961" s="2" t="s">
        <v>11</v>
      </c>
      <c r="G1961" s="3" t="s">
        <v>1146</v>
      </c>
      <c r="H1961" s="1" t="s">
        <v>12</v>
      </c>
      <c r="I1961" s="1" t="s">
        <v>78</v>
      </c>
      <c r="J1961" s="1" t="s">
        <v>14</v>
      </c>
    </row>
    <row r="1962" spans="2:10" x14ac:dyDescent="0.3">
      <c r="B1962" s="1" t="s">
        <v>2213</v>
      </c>
      <c r="C1962" s="1" t="s">
        <v>39</v>
      </c>
      <c r="D1962" s="2" t="s">
        <v>244</v>
      </c>
      <c r="E1962" s="2" t="s">
        <v>244</v>
      </c>
      <c r="F1962" s="2" t="s">
        <v>11</v>
      </c>
      <c r="G1962" s="3" t="s">
        <v>2224</v>
      </c>
      <c r="H1962" s="1" t="s">
        <v>12</v>
      </c>
      <c r="I1962" s="1" t="s">
        <v>51</v>
      </c>
      <c r="J1962" s="1" t="s">
        <v>14</v>
      </c>
    </row>
    <row r="1963" spans="2:10" x14ac:dyDescent="0.3">
      <c r="B1963" s="1" t="s">
        <v>2213</v>
      </c>
      <c r="C1963" s="1" t="s">
        <v>19</v>
      </c>
      <c r="D1963" s="2" t="s">
        <v>244</v>
      </c>
      <c r="E1963" s="2" t="s">
        <v>244</v>
      </c>
      <c r="F1963" s="2" t="s">
        <v>11</v>
      </c>
      <c r="G1963" s="3" t="s">
        <v>1452</v>
      </c>
      <c r="H1963" s="1" t="s">
        <v>12</v>
      </c>
      <c r="I1963" s="1" t="s">
        <v>63</v>
      </c>
      <c r="J1963" s="1" t="s">
        <v>14</v>
      </c>
    </row>
    <row r="1964" spans="2:10" x14ac:dyDescent="0.3">
      <c r="B1964" s="1" t="s">
        <v>2213</v>
      </c>
      <c r="C1964" s="1" t="s">
        <v>46</v>
      </c>
      <c r="D1964" s="2" t="s">
        <v>244</v>
      </c>
      <c r="E1964" s="2" t="s">
        <v>244</v>
      </c>
      <c r="F1964" s="2" t="s">
        <v>11</v>
      </c>
      <c r="G1964" s="3" t="s">
        <v>2225</v>
      </c>
      <c r="H1964" s="1" t="s">
        <v>12</v>
      </c>
      <c r="I1964" s="1" t="s">
        <v>62</v>
      </c>
      <c r="J1964" s="1" t="s">
        <v>14</v>
      </c>
    </row>
    <row r="1965" spans="2:10" x14ac:dyDescent="0.3">
      <c r="B1965" s="1" t="s">
        <v>2213</v>
      </c>
      <c r="C1965" s="1" t="s">
        <v>38</v>
      </c>
      <c r="D1965" s="2" t="s">
        <v>244</v>
      </c>
      <c r="E1965" s="2" t="s">
        <v>244</v>
      </c>
      <c r="F1965" s="2" t="s">
        <v>11</v>
      </c>
      <c r="G1965" s="3" t="s">
        <v>977</v>
      </c>
      <c r="H1965" s="1" t="s">
        <v>12</v>
      </c>
      <c r="I1965" s="1" t="s">
        <v>25</v>
      </c>
      <c r="J1965" s="1" t="s">
        <v>14</v>
      </c>
    </row>
    <row r="1966" spans="2:10" x14ac:dyDescent="0.3">
      <c r="B1966" s="1" t="s">
        <v>2226</v>
      </c>
      <c r="C1966" s="1" t="s">
        <v>36</v>
      </c>
      <c r="D1966" s="2" t="s">
        <v>2227</v>
      </c>
      <c r="E1966" s="2" t="s">
        <v>2228</v>
      </c>
      <c r="F1966" s="2" t="s">
        <v>11</v>
      </c>
      <c r="G1966" s="3" t="s">
        <v>2229</v>
      </c>
      <c r="H1966" s="1" t="s">
        <v>12</v>
      </c>
      <c r="I1966" s="1" t="s">
        <v>15</v>
      </c>
      <c r="J1966" s="1" t="s">
        <v>52</v>
      </c>
    </row>
    <row r="1967" spans="2:10" x14ac:dyDescent="0.3">
      <c r="B1967" s="1" t="s">
        <v>2226</v>
      </c>
      <c r="C1967" s="1" t="s">
        <v>24</v>
      </c>
      <c r="D1967" s="2" t="s">
        <v>251</v>
      </c>
      <c r="E1967" s="2" t="s">
        <v>251</v>
      </c>
      <c r="F1967" s="2" t="s">
        <v>11</v>
      </c>
      <c r="G1967" s="3" t="s">
        <v>2230</v>
      </c>
      <c r="H1967" s="1" t="s">
        <v>12</v>
      </c>
      <c r="I1967" s="1" t="s">
        <v>49</v>
      </c>
      <c r="J1967" s="1" t="s">
        <v>14</v>
      </c>
    </row>
    <row r="1968" spans="2:10" x14ac:dyDescent="0.3">
      <c r="B1968" s="1" t="s">
        <v>2226</v>
      </c>
      <c r="C1968" s="1" t="s">
        <v>43</v>
      </c>
      <c r="D1968" s="2" t="s">
        <v>529</v>
      </c>
      <c r="E1968" s="2" t="s">
        <v>529</v>
      </c>
      <c r="F1968" s="2" t="s">
        <v>11</v>
      </c>
      <c r="G1968" s="3" t="s">
        <v>141</v>
      </c>
      <c r="H1968" s="1" t="s">
        <v>12</v>
      </c>
      <c r="I1968" s="1" t="s">
        <v>111</v>
      </c>
      <c r="J1968" s="1" t="s">
        <v>14</v>
      </c>
    </row>
    <row r="1969" spans="2:10" x14ac:dyDescent="0.3">
      <c r="B1969" s="1" t="s">
        <v>2226</v>
      </c>
      <c r="C1969" s="1" t="s">
        <v>39</v>
      </c>
      <c r="D1969" s="2" t="s">
        <v>625</v>
      </c>
      <c r="E1969" s="2" t="s">
        <v>625</v>
      </c>
      <c r="F1969" s="2" t="s">
        <v>11</v>
      </c>
      <c r="G1969" s="3" t="s">
        <v>1171</v>
      </c>
      <c r="H1969" s="1" t="s">
        <v>12</v>
      </c>
      <c r="I1969" s="1" t="s">
        <v>18</v>
      </c>
      <c r="J1969" s="1" t="s">
        <v>14</v>
      </c>
    </row>
    <row r="1970" spans="2:10" x14ac:dyDescent="0.3">
      <c r="B1970" s="1" t="s">
        <v>2226</v>
      </c>
      <c r="C1970" s="1" t="s">
        <v>19</v>
      </c>
      <c r="D1970" s="2" t="s">
        <v>337</v>
      </c>
      <c r="E1970" s="2" t="s">
        <v>337</v>
      </c>
      <c r="F1970" s="2" t="s">
        <v>11</v>
      </c>
      <c r="G1970" s="3" t="s">
        <v>2231</v>
      </c>
      <c r="H1970" s="1" t="s">
        <v>12</v>
      </c>
      <c r="I1970" s="1" t="s">
        <v>51</v>
      </c>
      <c r="J1970" s="1" t="s">
        <v>14</v>
      </c>
    </row>
    <row r="1971" spans="2:10" x14ac:dyDescent="0.3">
      <c r="B1971" s="1" t="s">
        <v>2226</v>
      </c>
      <c r="C1971" s="1" t="s">
        <v>41</v>
      </c>
      <c r="D1971" s="2" t="s">
        <v>187</v>
      </c>
      <c r="E1971" s="2" t="s">
        <v>187</v>
      </c>
      <c r="F1971" s="2" t="s">
        <v>11</v>
      </c>
      <c r="G1971" s="3" t="s">
        <v>2232</v>
      </c>
      <c r="H1971" s="1" t="s">
        <v>12</v>
      </c>
      <c r="I1971" s="1" t="s">
        <v>106</v>
      </c>
      <c r="J1971" s="1" t="s">
        <v>14</v>
      </c>
    </row>
    <row r="1972" spans="2:10" x14ac:dyDescent="0.3">
      <c r="B1972" s="1" t="s">
        <v>2226</v>
      </c>
      <c r="C1972" s="1" t="s">
        <v>28</v>
      </c>
      <c r="D1972" s="2" t="s">
        <v>529</v>
      </c>
      <c r="E1972" s="2" t="s">
        <v>529</v>
      </c>
      <c r="F1972" s="2" t="s">
        <v>11</v>
      </c>
      <c r="G1972" s="3" t="s">
        <v>2233</v>
      </c>
      <c r="H1972" s="1" t="s">
        <v>12</v>
      </c>
      <c r="I1972" s="1" t="s">
        <v>34</v>
      </c>
      <c r="J1972" s="1" t="s">
        <v>14</v>
      </c>
    </row>
    <row r="1973" spans="2:10" x14ac:dyDescent="0.3">
      <c r="B1973" s="1" t="s">
        <v>2226</v>
      </c>
      <c r="C1973" s="1" t="s">
        <v>15</v>
      </c>
      <c r="D1973" s="2" t="s">
        <v>529</v>
      </c>
      <c r="E1973" s="2" t="s">
        <v>529</v>
      </c>
      <c r="F1973" s="2" t="s">
        <v>11</v>
      </c>
      <c r="G1973" s="3" t="s">
        <v>2234</v>
      </c>
      <c r="H1973" s="1" t="s">
        <v>12</v>
      </c>
      <c r="I1973" s="1" t="s">
        <v>2235</v>
      </c>
      <c r="J1973" s="1" t="s">
        <v>14</v>
      </c>
    </row>
    <row r="1974" spans="2:10" x14ac:dyDescent="0.3">
      <c r="B1974" s="1" t="s">
        <v>2226</v>
      </c>
      <c r="C1974" s="1" t="s">
        <v>17</v>
      </c>
      <c r="D1974" s="2" t="s">
        <v>529</v>
      </c>
      <c r="E1974" s="2" t="s">
        <v>529</v>
      </c>
      <c r="F1974" s="2" t="s">
        <v>11</v>
      </c>
      <c r="G1974" s="3" t="s">
        <v>2236</v>
      </c>
      <c r="H1974" s="1" t="s">
        <v>12</v>
      </c>
      <c r="I1974" s="1" t="s">
        <v>68</v>
      </c>
      <c r="J1974" s="1" t="s">
        <v>14</v>
      </c>
    </row>
    <row r="1975" spans="2:10" x14ac:dyDescent="0.3">
      <c r="B1975" s="1" t="s">
        <v>2226</v>
      </c>
      <c r="C1975" s="1" t="s">
        <v>26</v>
      </c>
      <c r="D1975" s="2" t="s">
        <v>529</v>
      </c>
      <c r="E1975" s="2" t="s">
        <v>529</v>
      </c>
      <c r="F1975" s="2" t="s">
        <v>11</v>
      </c>
      <c r="G1975" s="3" t="s">
        <v>2032</v>
      </c>
      <c r="H1975" s="1" t="s">
        <v>12</v>
      </c>
      <c r="I1975" s="1" t="s">
        <v>27</v>
      </c>
      <c r="J1975" s="1" t="s">
        <v>14</v>
      </c>
    </row>
    <row r="1976" spans="2:10" x14ac:dyDescent="0.3">
      <c r="B1976" s="1" t="s">
        <v>2226</v>
      </c>
      <c r="C1976" s="1" t="s">
        <v>23</v>
      </c>
      <c r="D1976" s="2" t="s">
        <v>240</v>
      </c>
      <c r="E1976" s="2" t="s">
        <v>240</v>
      </c>
      <c r="F1976" s="2" t="s">
        <v>11</v>
      </c>
      <c r="G1976" s="3" t="s">
        <v>1722</v>
      </c>
      <c r="H1976" s="1" t="s">
        <v>12</v>
      </c>
      <c r="I1976" s="1" t="s">
        <v>80</v>
      </c>
      <c r="J1976" s="1" t="s">
        <v>14</v>
      </c>
    </row>
    <row r="1977" spans="2:10" x14ac:dyDescent="0.3">
      <c r="B1977" s="1" t="s">
        <v>2226</v>
      </c>
      <c r="C1977" s="1" t="s">
        <v>38</v>
      </c>
      <c r="D1977" s="2" t="s">
        <v>448</v>
      </c>
      <c r="E1977" s="2" t="s">
        <v>448</v>
      </c>
      <c r="F1977" s="2" t="s">
        <v>11</v>
      </c>
      <c r="G1977" s="3" t="s">
        <v>2018</v>
      </c>
      <c r="H1977" s="1" t="s">
        <v>12</v>
      </c>
      <c r="I1977" s="1" t="s">
        <v>66</v>
      </c>
      <c r="J1977" s="1" t="s">
        <v>14</v>
      </c>
    </row>
    <row r="1978" spans="2:10" x14ac:dyDescent="0.3">
      <c r="B1978" s="1" t="s">
        <v>2226</v>
      </c>
      <c r="C1978" s="1" t="s">
        <v>31</v>
      </c>
      <c r="D1978" s="2" t="s">
        <v>251</v>
      </c>
      <c r="E1978" s="2" t="s">
        <v>251</v>
      </c>
      <c r="F1978" s="2" t="s">
        <v>11</v>
      </c>
      <c r="G1978" s="3" t="s">
        <v>1256</v>
      </c>
      <c r="H1978" s="1" t="s">
        <v>12</v>
      </c>
      <c r="I1978" s="1" t="s">
        <v>30</v>
      </c>
      <c r="J1978" s="1" t="s">
        <v>14</v>
      </c>
    </row>
    <row r="1979" spans="2:10" x14ac:dyDescent="0.3">
      <c r="B1979" s="1" t="s">
        <v>2226</v>
      </c>
      <c r="C1979" s="1" t="s">
        <v>29</v>
      </c>
      <c r="D1979" s="2" t="s">
        <v>251</v>
      </c>
      <c r="E1979" s="2" t="s">
        <v>251</v>
      </c>
      <c r="F1979" s="2" t="s">
        <v>11</v>
      </c>
      <c r="G1979" s="3" t="s">
        <v>1927</v>
      </c>
      <c r="H1979" s="1" t="s">
        <v>12</v>
      </c>
      <c r="I1979" s="1" t="s">
        <v>16</v>
      </c>
      <c r="J1979" s="1" t="s">
        <v>14</v>
      </c>
    </row>
    <row r="1980" spans="2:10" x14ac:dyDescent="0.3">
      <c r="B1980" s="1" t="s">
        <v>2226</v>
      </c>
      <c r="C1980" s="1" t="s">
        <v>21</v>
      </c>
      <c r="D1980" s="2" t="s">
        <v>2237</v>
      </c>
      <c r="E1980" s="2" t="s">
        <v>2238</v>
      </c>
      <c r="F1980" s="2" t="s">
        <v>11</v>
      </c>
      <c r="G1980" s="3" t="s">
        <v>2239</v>
      </c>
      <c r="H1980" s="1" t="s">
        <v>12</v>
      </c>
      <c r="I1980" s="1" t="s">
        <v>35</v>
      </c>
      <c r="J1980" s="1" t="s">
        <v>52</v>
      </c>
    </row>
    <row r="1981" spans="2:10" x14ac:dyDescent="0.3">
      <c r="B1981" s="1" t="s">
        <v>2226</v>
      </c>
      <c r="C1981" s="1" t="s">
        <v>46</v>
      </c>
      <c r="D1981" s="2" t="s">
        <v>251</v>
      </c>
      <c r="E1981" s="2" t="s">
        <v>251</v>
      </c>
      <c r="F1981" s="2" t="s">
        <v>11</v>
      </c>
      <c r="G1981" s="3" t="s">
        <v>1223</v>
      </c>
      <c r="H1981" s="1" t="s">
        <v>12</v>
      </c>
      <c r="I1981" s="1" t="s">
        <v>76</v>
      </c>
      <c r="J1981" s="1" t="s">
        <v>14</v>
      </c>
    </row>
    <row r="1982" spans="2:10" x14ac:dyDescent="0.3">
      <c r="B1982" s="1" t="s">
        <v>2226</v>
      </c>
      <c r="C1982" s="1" t="s">
        <v>35</v>
      </c>
      <c r="D1982" s="2" t="s">
        <v>251</v>
      </c>
      <c r="E1982" s="2" t="s">
        <v>251</v>
      </c>
      <c r="F1982" s="2" t="s">
        <v>11</v>
      </c>
      <c r="G1982" s="3" t="s">
        <v>2240</v>
      </c>
      <c r="H1982" s="1" t="s">
        <v>12</v>
      </c>
      <c r="I1982" s="1" t="s">
        <v>34</v>
      </c>
      <c r="J1982" s="1" t="s">
        <v>14</v>
      </c>
    </row>
    <row r="1983" spans="2:10" x14ac:dyDescent="0.3">
      <c r="B1983" s="1" t="s">
        <v>2226</v>
      </c>
      <c r="C1983" s="1" t="s">
        <v>45</v>
      </c>
      <c r="D1983" s="2" t="s">
        <v>251</v>
      </c>
      <c r="E1983" s="2" t="s">
        <v>251</v>
      </c>
      <c r="F1983" s="2" t="s">
        <v>11</v>
      </c>
      <c r="G1983" s="3" t="s">
        <v>2241</v>
      </c>
      <c r="H1983" s="1" t="s">
        <v>12</v>
      </c>
      <c r="I1983" s="1" t="s">
        <v>22</v>
      </c>
      <c r="J1983" s="1" t="s">
        <v>14</v>
      </c>
    </row>
    <row r="1984" spans="2:10" x14ac:dyDescent="0.3">
      <c r="B1984" s="1" t="s">
        <v>2226</v>
      </c>
      <c r="C1984" s="1" t="s">
        <v>33</v>
      </c>
      <c r="D1984" s="2" t="s">
        <v>251</v>
      </c>
      <c r="E1984" s="2" t="s">
        <v>251</v>
      </c>
      <c r="F1984" s="2" t="s">
        <v>11</v>
      </c>
      <c r="G1984" s="3" t="s">
        <v>2242</v>
      </c>
      <c r="H1984" s="1" t="s">
        <v>12</v>
      </c>
      <c r="I1984" s="1" t="s">
        <v>30</v>
      </c>
      <c r="J1984" s="1" t="s">
        <v>14</v>
      </c>
    </row>
    <row r="1985" spans="2:10" x14ac:dyDescent="0.3">
      <c r="B1985" s="1" t="s">
        <v>2226</v>
      </c>
      <c r="C1985" s="1" t="s">
        <v>10</v>
      </c>
      <c r="D1985" s="2" t="s">
        <v>316</v>
      </c>
      <c r="E1985" s="2" t="s">
        <v>316</v>
      </c>
      <c r="F1985" s="2" t="s">
        <v>11</v>
      </c>
      <c r="G1985" s="3" t="s">
        <v>802</v>
      </c>
      <c r="H1985" s="1" t="s">
        <v>12</v>
      </c>
      <c r="I1985" s="1" t="s">
        <v>44</v>
      </c>
      <c r="J1985" s="1" t="s">
        <v>14</v>
      </c>
    </row>
    <row r="1986" spans="2:10" x14ac:dyDescent="0.3">
      <c r="B1986" s="1" t="s">
        <v>2243</v>
      </c>
      <c r="C1986" s="1" t="s">
        <v>10</v>
      </c>
      <c r="D1986" s="2" t="s">
        <v>1471</v>
      </c>
      <c r="E1986" s="2" t="s">
        <v>1471</v>
      </c>
      <c r="F1986" s="2" t="s">
        <v>11</v>
      </c>
      <c r="G1986" s="3" t="s">
        <v>2244</v>
      </c>
      <c r="H1986" s="1" t="s">
        <v>12</v>
      </c>
      <c r="I1986" s="1" t="s">
        <v>49</v>
      </c>
      <c r="J1986" s="1" t="s">
        <v>14</v>
      </c>
    </row>
    <row r="1987" spans="2:10" x14ac:dyDescent="0.3">
      <c r="B1987" s="1" t="s">
        <v>2243</v>
      </c>
      <c r="C1987" s="1" t="s">
        <v>28</v>
      </c>
      <c r="D1987" s="2" t="s">
        <v>747</v>
      </c>
      <c r="E1987" s="2" t="s">
        <v>747</v>
      </c>
      <c r="F1987" s="2" t="s">
        <v>11</v>
      </c>
      <c r="G1987" s="3" t="s">
        <v>2245</v>
      </c>
      <c r="H1987" s="1" t="s">
        <v>12</v>
      </c>
      <c r="I1987" s="1" t="s">
        <v>29</v>
      </c>
      <c r="J1987" s="1" t="s">
        <v>14</v>
      </c>
    </row>
    <row r="1988" spans="2:10" x14ac:dyDescent="0.3">
      <c r="B1988" s="1" t="s">
        <v>2243</v>
      </c>
      <c r="C1988" s="1" t="s">
        <v>29</v>
      </c>
      <c r="D1988" s="2" t="s">
        <v>1456</v>
      </c>
      <c r="E1988" s="2" t="s">
        <v>1456</v>
      </c>
      <c r="F1988" s="2" t="s">
        <v>11</v>
      </c>
      <c r="G1988" s="3" t="s">
        <v>1499</v>
      </c>
      <c r="H1988" s="1" t="s">
        <v>12</v>
      </c>
      <c r="I1988" s="1" t="s">
        <v>30</v>
      </c>
      <c r="J1988" s="1" t="s">
        <v>14</v>
      </c>
    </row>
    <row r="1989" spans="2:10" x14ac:dyDescent="0.3">
      <c r="B1989" s="1" t="s">
        <v>2243</v>
      </c>
      <c r="C1989" s="1" t="s">
        <v>15</v>
      </c>
      <c r="D1989" s="2" t="s">
        <v>1456</v>
      </c>
      <c r="E1989" s="2" t="s">
        <v>1456</v>
      </c>
      <c r="F1989" s="2" t="s">
        <v>11</v>
      </c>
      <c r="G1989" s="3" t="s">
        <v>1399</v>
      </c>
      <c r="H1989" s="1" t="s">
        <v>12</v>
      </c>
      <c r="I1989" s="1" t="s">
        <v>47</v>
      </c>
      <c r="J1989" s="1" t="s">
        <v>14</v>
      </c>
    </row>
    <row r="1990" spans="2:10" x14ac:dyDescent="0.3">
      <c r="B1990" s="1" t="s">
        <v>2243</v>
      </c>
      <c r="C1990" s="1" t="s">
        <v>31</v>
      </c>
      <c r="D1990" s="2" t="s">
        <v>632</v>
      </c>
      <c r="E1990" s="2" t="s">
        <v>632</v>
      </c>
      <c r="F1990" s="2" t="s">
        <v>11</v>
      </c>
      <c r="G1990" s="3" t="s">
        <v>2246</v>
      </c>
      <c r="H1990" s="1" t="s">
        <v>12</v>
      </c>
      <c r="I1990" s="1" t="s">
        <v>142</v>
      </c>
      <c r="J1990" s="1" t="s">
        <v>14</v>
      </c>
    </row>
    <row r="1991" spans="2:10" x14ac:dyDescent="0.3">
      <c r="B1991" s="1" t="s">
        <v>2243</v>
      </c>
      <c r="C1991" s="1" t="s">
        <v>41</v>
      </c>
      <c r="D1991" s="2" t="s">
        <v>766</v>
      </c>
      <c r="E1991" s="2" t="s">
        <v>766</v>
      </c>
      <c r="F1991" s="2" t="s">
        <v>11</v>
      </c>
      <c r="G1991" s="3" t="s">
        <v>2008</v>
      </c>
      <c r="H1991" s="1" t="s">
        <v>12</v>
      </c>
      <c r="I1991" s="1" t="s">
        <v>62</v>
      </c>
      <c r="J1991" s="1" t="s">
        <v>14</v>
      </c>
    </row>
    <row r="1992" spans="2:10" x14ac:dyDescent="0.3">
      <c r="B1992" s="1" t="s">
        <v>2243</v>
      </c>
      <c r="C1992" s="1" t="s">
        <v>39</v>
      </c>
      <c r="D1992" s="2" t="s">
        <v>251</v>
      </c>
      <c r="E1992" s="2" t="s">
        <v>314</v>
      </c>
      <c r="F1992" s="2" t="s">
        <v>11</v>
      </c>
      <c r="G1992" s="3" t="s">
        <v>531</v>
      </c>
      <c r="H1992" s="1" t="s">
        <v>12</v>
      </c>
      <c r="I1992" s="1" t="s">
        <v>15</v>
      </c>
      <c r="J1992" s="1" t="s">
        <v>52</v>
      </c>
    </row>
    <row r="1993" spans="2:10" x14ac:dyDescent="0.3">
      <c r="B1993" s="1" t="s">
        <v>2243</v>
      </c>
      <c r="C1993" s="1" t="s">
        <v>21</v>
      </c>
      <c r="D1993" s="2" t="s">
        <v>766</v>
      </c>
      <c r="E1993" s="2" t="s">
        <v>766</v>
      </c>
      <c r="F1993" s="2" t="s">
        <v>11</v>
      </c>
      <c r="G1993" s="3" t="s">
        <v>2247</v>
      </c>
      <c r="H1993" s="1" t="s">
        <v>12</v>
      </c>
      <c r="I1993" s="1" t="s">
        <v>51</v>
      </c>
      <c r="J1993" s="1" t="s">
        <v>14</v>
      </c>
    </row>
    <row r="1994" spans="2:10" x14ac:dyDescent="0.3">
      <c r="B1994" s="1" t="s">
        <v>2243</v>
      </c>
      <c r="C1994" s="1" t="s">
        <v>45</v>
      </c>
      <c r="D1994" s="2" t="s">
        <v>443</v>
      </c>
      <c r="E1994" s="2" t="s">
        <v>443</v>
      </c>
      <c r="F1994" s="2" t="s">
        <v>11</v>
      </c>
      <c r="G1994" s="3" t="s">
        <v>1669</v>
      </c>
      <c r="H1994" s="1" t="s">
        <v>12</v>
      </c>
      <c r="I1994" s="1" t="s">
        <v>67</v>
      </c>
      <c r="J1994" s="1" t="s">
        <v>14</v>
      </c>
    </row>
    <row r="1995" spans="2:10" x14ac:dyDescent="0.3">
      <c r="B1995" s="1" t="s">
        <v>2243</v>
      </c>
      <c r="C1995" s="1" t="s">
        <v>26</v>
      </c>
      <c r="D1995" s="2" t="s">
        <v>1456</v>
      </c>
      <c r="E1995" s="2" t="s">
        <v>1456</v>
      </c>
      <c r="F1995" s="2" t="s">
        <v>11</v>
      </c>
      <c r="G1995" s="3" t="s">
        <v>1409</v>
      </c>
      <c r="H1995" s="1" t="s">
        <v>12</v>
      </c>
      <c r="I1995" s="1" t="s">
        <v>60</v>
      </c>
      <c r="J1995" s="1" t="s">
        <v>14</v>
      </c>
    </row>
    <row r="1996" spans="2:10" x14ac:dyDescent="0.3">
      <c r="B1996" s="1" t="s">
        <v>2243</v>
      </c>
      <c r="C1996" s="1" t="s">
        <v>43</v>
      </c>
      <c r="D1996" s="2" t="s">
        <v>1456</v>
      </c>
      <c r="E1996" s="2" t="s">
        <v>1456</v>
      </c>
      <c r="F1996" s="2" t="s">
        <v>11</v>
      </c>
      <c r="G1996" s="3" t="s">
        <v>971</v>
      </c>
      <c r="H1996" s="1" t="s">
        <v>12</v>
      </c>
      <c r="I1996" s="1" t="s">
        <v>55</v>
      </c>
      <c r="J1996" s="1" t="s">
        <v>14</v>
      </c>
    </row>
    <row r="1997" spans="2:10" x14ac:dyDescent="0.3">
      <c r="B1997" s="1" t="s">
        <v>2243</v>
      </c>
      <c r="C1997" s="1" t="s">
        <v>33</v>
      </c>
      <c r="D1997" s="2" t="s">
        <v>1456</v>
      </c>
      <c r="E1997" s="2" t="s">
        <v>1456</v>
      </c>
      <c r="F1997" s="2" t="s">
        <v>11</v>
      </c>
      <c r="G1997" s="3" t="s">
        <v>2248</v>
      </c>
      <c r="H1997" s="1" t="s">
        <v>12</v>
      </c>
      <c r="I1997" s="1" t="s">
        <v>42</v>
      </c>
      <c r="J1997" s="1" t="s">
        <v>14</v>
      </c>
    </row>
    <row r="1998" spans="2:10" x14ac:dyDescent="0.3">
      <c r="B1998" s="1" t="s">
        <v>2243</v>
      </c>
      <c r="C1998" s="1" t="s">
        <v>23</v>
      </c>
      <c r="D1998" s="2" t="s">
        <v>766</v>
      </c>
      <c r="E1998" s="2" t="s">
        <v>766</v>
      </c>
      <c r="F1998" s="2" t="s">
        <v>11</v>
      </c>
      <c r="G1998" s="3" t="s">
        <v>1650</v>
      </c>
      <c r="H1998" s="1" t="s">
        <v>12</v>
      </c>
      <c r="I1998" s="1" t="s">
        <v>59</v>
      </c>
      <c r="J1998" s="1" t="s">
        <v>14</v>
      </c>
    </row>
    <row r="1999" spans="2:10" x14ac:dyDescent="0.3">
      <c r="B1999" s="1" t="s">
        <v>2243</v>
      </c>
      <c r="C1999" s="1" t="s">
        <v>19</v>
      </c>
      <c r="D1999" s="2" t="s">
        <v>842</v>
      </c>
      <c r="E1999" s="2" t="s">
        <v>842</v>
      </c>
      <c r="F1999" s="2" t="s">
        <v>11</v>
      </c>
      <c r="G1999" s="3" t="s">
        <v>612</v>
      </c>
      <c r="H1999" s="1" t="s">
        <v>12</v>
      </c>
      <c r="I1999" s="1" t="s">
        <v>60</v>
      </c>
      <c r="J1999" s="1" t="s">
        <v>14</v>
      </c>
    </row>
    <row r="2000" spans="2:10" x14ac:dyDescent="0.3">
      <c r="B2000" s="1" t="s">
        <v>2243</v>
      </c>
      <c r="C2000" s="1" t="s">
        <v>38</v>
      </c>
      <c r="D2000" s="2" t="s">
        <v>182</v>
      </c>
      <c r="E2000" s="2" t="s">
        <v>182</v>
      </c>
      <c r="F2000" s="2" t="s">
        <v>11</v>
      </c>
      <c r="G2000" s="3" t="s">
        <v>2249</v>
      </c>
      <c r="H2000" s="1" t="s">
        <v>12</v>
      </c>
      <c r="I2000" s="1" t="s">
        <v>91</v>
      </c>
      <c r="J2000" s="1" t="s">
        <v>14</v>
      </c>
    </row>
    <row r="2001" spans="2:10" x14ac:dyDescent="0.3">
      <c r="B2001" s="1" t="s">
        <v>2243</v>
      </c>
      <c r="C2001" s="1" t="s">
        <v>46</v>
      </c>
      <c r="D2001" s="2" t="s">
        <v>1456</v>
      </c>
      <c r="E2001" s="2" t="s">
        <v>1456</v>
      </c>
      <c r="F2001" s="2" t="s">
        <v>11</v>
      </c>
      <c r="G2001" s="3" t="s">
        <v>2250</v>
      </c>
      <c r="H2001" s="1" t="s">
        <v>12</v>
      </c>
      <c r="I2001" s="1" t="s">
        <v>22</v>
      </c>
      <c r="J2001" s="1" t="s">
        <v>14</v>
      </c>
    </row>
    <row r="2002" spans="2:10" x14ac:dyDescent="0.3">
      <c r="B2002" s="1" t="s">
        <v>2243</v>
      </c>
      <c r="C2002" s="1" t="s">
        <v>35</v>
      </c>
      <c r="D2002" s="2" t="s">
        <v>1471</v>
      </c>
      <c r="E2002" s="2" t="s">
        <v>1471</v>
      </c>
      <c r="F2002" s="2" t="s">
        <v>11</v>
      </c>
      <c r="G2002" s="3" t="s">
        <v>2251</v>
      </c>
      <c r="H2002" s="1" t="s">
        <v>12</v>
      </c>
      <c r="I2002" s="1" t="s">
        <v>18</v>
      </c>
      <c r="J2002" s="1" t="s">
        <v>14</v>
      </c>
    </row>
    <row r="2003" spans="2:10" x14ac:dyDescent="0.3">
      <c r="B2003" s="1" t="s">
        <v>2243</v>
      </c>
      <c r="C2003" s="1" t="s">
        <v>24</v>
      </c>
      <c r="D2003" s="2" t="s">
        <v>1471</v>
      </c>
      <c r="E2003" s="2" t="s">
        <v>1471</v>
      </c>
      <c r="F2003" s="2" t="s">
        <v>11</v>
      </c>
      <c r="G2003" s="3" t="s">
        <v>1546</v>
      </c>
      <c r="H2003" s="1" t="s">
        <v>12</v>
      </c>
      <c r="I2003" s="1" t="s">
        <v>59</v>
      </c>
      <c r="J2003" s="1" t="s">
        <v>14</v>
      </c>
    </row>
    <row r="2004" spans="2:10" x14ac:dyDescent="0.3">
      <c r="B2004" s="1" t="s">
        <v>2243</v>
      </c>
      <c r="C2004" s="1" t="s">
        <v>17</v>
      </c>
      <c r="D2004" s="2" t="s">
        <v>696</v>
      </c>
      <c r="E2004" s="2" t="s">
        <v>696</v>
      </c>
      <c r="F2004" s="2" t="s">
        <v>11</v>
      </c>
      <c r="G2004" s="3" t="s">
        <v>2252</v>
      </c>
      <c r="H2004" s="1" t="s">
        <v>12</v>
      </c>
      <c r="I2004" s="1" t="s">
        <v>39</v>
      </c>
      <c r="J2004" s="1" t="s">
        <v>14</v>
      </c>
    </row>
    <row r="2005" spans="2:10" x14ac:dyDescent="0.3">
      <c r="B2005" s="1" t="s">
        <v>2243</v>
      </c>
      <c r="C2005" s="1" t="s">
        <v>36</v>
      </c>
      <c r="D2005" s="2" t="s">
        <v>1456</v>
      </c>
      <c r="E2005" s="2" t="s">
        <v>1456</v>
      </c>
      <c r="F2005" s="2" t="s">
        <v>11</v>
      </c>
      <c r="G2005" s="3" t="s">
        <v>2253</v>
      </c>
      <c r="H2005" s="1" t="s">
        <v>12</v>
      </c>
      <c r="I2005" s="1" t="s">
        <v>79</v>
      </c>
      <c r="J2005" s="1" t="s">
        <v>14</v>
      </c>
    </row>
    <row r="2006" spans="2:10" x14ac:dyDescent="0.3">
      <c r="B2006" s="1" t="s">
        <v>2254</v>
      </c>
      <c r="C2006" s="1" t="s">
        <v>10</v>
      </c>
      <c r="D2006" s="2" t="s">
        <v>251</v>
      </c>
      <c r="E2006" s="2" t="s">
        <v>251</v>
      </c>
      <c r="F2006" s="2" t="s">
        <v>11</v>
      </c>
      <c r="G2006" s="3" t="s">
        <v>2255</v>
      </c>
      <c r="H2006" s="1" t="s">
        <v>12</v>
      </c>
      <c r="I2006" s="1" t="s">
        <v>27</v>
      </c>
      <c r="J2006" s="1" t="s">
        <v>14</v>
      </c>
    </row>
    <row r="2007" spans="2:10" x14ac:dyDescent="0.3">
      <c r="B2007" s="1" t="s">
        <v>2254</v>
      </c>
      <c r="C2007" s="1" t="s">
        <v>43</v>
      </c>
      <c r="D2007" s="2" t="s">
        <v>838</v>
      </c>
      <c r="E2007" s="2" t="s">
        <v>838</v>
      </c>
      <c r="F2007" s="2" t="s">
        <v>11</v>
      </c>
      <c r="G2007" s="3" t="s">
        <v>233</v>
      </c>
      <c r="H2007" s="1" t="s">
        <v>12</v>
      </c>
      <c r="I2007" s="1" t="s">
        <v>69</v>
      </c>
      <c r="J2007" s="1" t="s">
        <v>14</v>
      </c>
    </row>
    <row r="2008" spans="2:10" x14ac:dyDescent="0.3">
      <c r="B2008" s="1" t="s">
        <v>2254</v>
      </c>
      <c r="C2008" s="1" t="s">
        <v>23</v>
      </c>
      <c r="D2008" s="2" t="s">
        <v>439</v>
      </c>
      <c r="E2008" s="2" t="s">
        <v>439</v>
      </c>
      <c r="F2008" s="2" t="s">
        <v>11</v>
      </c>
      <c r="G2008" s="3" t="s">
        <v>2256</v>
      </c>
      <c r="H2008" s="1" t="s">
        <v>12</v>
      </c>
      <c r="I2008" s="1" t="s">
        <v>48</v>
      </c>
      <c r="J2008" s="1" t="s">
        <v>14</v>
      </c>
    </row>
    <row r="2009" spans="2:10" x14ac:dyDescent="0.3">
      <c r="B2009" s="1" t="s">
        <v>2254</v>
      </c>
      <c r="C2009" s="1" t="s">
        <v>45</v>
      </c>
      <c r="D2009" s="2" t="s">
        <v>1456</v>
      </c>
      <c r="E2009" s="2" t="s">
        <v>1456</v>
      </c>
      <c r="F2009" s="2" t="s">
        <v>11</v>
      </c>
      <c r="G2009" s="3" t="s">
        <v>2257</v>
      </c>
      <c r="H2009" s="1" t="s">
        <v>12</v>
      </c>
      <c r="I2009" s="1" t="s">
        <v>58</v>
      </c>
      <c r="J2009" s="1" t="s">
        <v>14</v>
      </c>
    </row>
    <row r="2010" spans="2:10" x14ac:dyDescent="0.3">
      <c r="B2010" s="1" t="s">
        <v>2254</v>
      </c>
      <c r="C2010" s="1" t="s">
        <v>21</v>
      </c>
      <c r="D2010" s="2" t="s">
        <v>838</v>
      </c>
      <c r="E2010" s="2" t="s">
        <v>838</v>
      </c>
      <c r="F2010" s="2" t="s">
        <v>11</v>
      </c>
      <c r="G2010" s="3" t="s">
        <v>2258</v>
      </c>
      <c r="H2010" s="1" t="s">
        <v>12</v>
      </c>
      <c r="I2010" s="1" t="s">
        <v>111</v>
      </c>
      <c r="J2010" s="1" t="s">
        <v>14</v>
      </c>
    </row>
    <row r="2011" spans="2:10" x14ac:dyDescent="0.3">
      <c r="B2011" s="1" t="s">
        <v>2254</v>
      </c>
      <c r="C2011" s="1" t="s">
        <v>46</v>
      </c>
      <c r="D2011" s="2" t="s">
        <v>248</v>
      </c>
      <c r="E2011" s="2" t="s">
        <v>248</v>
      </c>
      <c r="F2011" s="2" t="s">
        <v>11</v>
      </c>
      <c r="G2011" s="3" t="s">
        <v>1762</v>
      </c>
      <c r="H2011" s="1" t="s">
        <v>12</v>
      </c>
      <c r="I2011" s="1" t="s">
        <v>27</v>
      </c>
      <c r="J2011" s="1" t="s">
        <v>14</v>
      </c>
    </row>
    <row r="2012" spans="2:10" x14ac:dyDescent="0.3">
      <c r="B2012" s="1" t="s">
        <v>2254</v>
      </c>
      <c r="C2012" s="1" t="s">
        <v>31</v>
      </c>
      <c r="D2012" s="2" t="s">
        <v>2093</v>
      </c>
      <c r="E2012" s="2" t="s">
        <v>2093</v>
      </c>
      <c r="F2012" s="2" t="s">
        <v>11</v>
      </c>
      <c r="G2012" s="3" t="s">
        <v>2259</v>
      </c>
      <c r="H2012" s="1" t="s">
        <v>12</v>
      </c>
      <c r="I2012" s="1" t="s">
        <v>71</v>
      </c>
      <c r="J2012" s="1" t="s">
        <v>14</v>
      </c>
    </row>
    <row r="2013" spans="2:10" x14ac:dyDescent="0.3">
      <c r="B2013" s="1" t="s">
        <v>2254</v>
      </c>
      <c r="C2013" s="1" t="s">
        <v>33</v>
      </c>
      <c r="D2013" s="2" t="s">
        <v>244</v>
      </c>
      <c r="E2013" s="2" t="s">
        <v>244</v>
      </c>
      <c r="F2013" s="2" t="s">
        <v>11</v>
      </c>
      <c r="G2013" s="3" t="s">
        <v>2260</v>
      </c>
      <c r="H2013" s="1" t="s">
        <v>12</v>
      </c>
      <c r="I2013" s="1" t="s">
        <v>56</v>
      </c>
      <c r="J2013" s="1" t="s">
        <v>14</v>
      </c>
    </row>
    <row r="2014" spans="2:10" x14ac:dyDescent="0.3">
      <c r="B2014" s="1" t="s">
        <v>2254</v>
      </c>
      <c r="C2014" s="1" t="s">
        <v>39</v>
      </c>
      <c r="D2014" s="2" t="s">
        <v>495</v>
      </c>
      <c r="E2014" s="2" t="s">
        <v>495</v>
      </c>
      <c r="F2014" s="2" t="s">
        <v>11</v>
      </c>
      <c r="G2014" s="3" t="s">
        <v>2261</v>
      </c>
      <c r="H2014" s="1" t="s">
        <v>12</v>
      </c>
      <c r="I2014" s="1" t="s">
        <v>110</v>
      </c>
      <c r="J2014" s="1" t="s">
        <v>14</v>
      </c>
    </row>
    <row r="2015" spans="2:10" x14ac:dyDescent="0.3">
      <c r="B2015" s="1" t="s">
        <v>2254</v>
      </c>
      <c r="C2015" s="1" t="s">
        <v>28</v>
      </c>
      <c r="D2015" s="2" t="s">
        <v>244</v>
      </c>
      <c r="E2015" s="2" t="s">
        <v>244</v>
      </c>
      <c r="F2015" s="2" t="s">
        <v>11</v>
      </c>
      <c r="G2015" s="3" t="s">
        <v>2262</v>
      </c>
      <c r="H2015" s="1" t="s">
        <v>12</v>
      </c>
      <c r="I2015" s="1" t="s">
        <v>63</v>
      </c>
      <c r="J2015" s="1" t="s">
        <v>14</v>
      </c>
    </row>
    <row r="2016" spans="2:10" x14ac:dyDescent="0.3">
      <c r="B2016" s="1" t="s">
        <v>2254</v>
      </c>
      <c r="C2016" s="1" t="s">
        <v>17</v>
      </c>
      <c r="D2016" s="2" t="s">
        <v>1471</v>
      </c>
      <c r="E2016" s="2" t="s">
        <v>1471</v>
      </c>
      <c r="F2016" s="2" t="s">
        <v>11</v>
      </c>
      <c r="G2016" s="3" t="s">
        <v>2263</v>
      </c>
      <c r="H2016" s="1" t="s">
        <v>12</v>
      </c>
      <c r="I2016" s="1" t="s">
        <v>30</v>
      </c>
      <c r="J2016" s="1" t="s">
        <v>14</v>
      </c>
    </row>
    <row r="2017" spans="2:10" x14ac:dyDescent="0.3">
      <c r="B2017" s="1" t="s">
        <v>2254</v>
      </c>
      <c r="C2017" s="1" t="s">
        <v>26</v>
      </c>
      <c r="D2017" s="2" t="s">
        <v>248</v>
      </c>
      <c r="E2017" s="2" t="s">
        <v>248</v>
      </c>
      <c r="F2017" s="2" t="s">
        <v>11</v>
      </c>
      <c r="G2017" s="3" t="s">
        <v>2264</v>
      </c>
      <c r="H2017" s="1" t="s">
        <v>12</v>
      </c>
      <c r="I2017" s="1" t="s">
        <v>49</v>
      </c>
      <c r="J2017" s="1" t="s">
        <v>14</v>
      </c>
    </row>
    <row r="2018" spans="2:10" x14ac:dyDescent="0.3">
      <c r="B2018" s="1" t="s">
        <v>2254</v>
      </c>
      <c r="C2018" s="1" t="s">
        <v>15</v>
      </c>
      <c r="D2018" s="2" t="s">
        <v>244</v>
      </c>
      <c r="E2018" s="2" t="s">
        <v>244</v>
      </c>
      <c r="F2018" s="2" t="s">
        <v>11</v>
      </c>
      <c r="G2018" s="3" t="s">
        <v>2265</v>
      </c>
      <c r="H2018" s="1" t="s">
        <v>12</v>
      </c>
      <c r="I2018" s="1" t="s">
        <v>47</v>
      </c>
      <c r="J2018" s="1" t="s">
        <v>14</v>
      </c>
    </row>
    <row r="2019" spans="2:10" x14ac:dyDescent="0.3">
      <c r="B2019" s="1" t="s">
        <v>2254</v>
      </c>
      <c r="C2019" s="1" t="s">
        <v>24</v>
      </c>
      <c r="D2019" s="2" t="s">
        <v>1456</v>
      </c>
      <c r="E2019" s="2" t="s">
        <v>1456</v>
      </c>
      <c r="F2019" s="2" t="s">
        <v>11</v>
      </c>
      <c r="G2019" s="3" t="s">
        <v>2266</v>
      </c>
      <c r="H2019" s="1" t="s">
        <v>12</v>
      </c>
      <c r="I2019" s="1" t="s">
        <v>42</v>
      </c>
      <c r="J2019" s="1" t="s">
        <v>14</v>
      </c>
    </row>
    <row r="2020" spans="2:10" x14ac:dyDescent="0.3">
      <c r="B2020" s="1" t="s">
        <v>2254</v>
      </c>
      <c r="C2020" s="1" t="s">
        <v>41</v>
      </c>
      <c r="D2020" s="2" t="s">
        <v>251</v>
      </c>
      <c r="E2020" s="2" t="s">
        <v>251</v>
      </c>
      <c r="F2020" s="2" t="s">
        <v>11</v>
      </c>
      <c r="G2020" s="3" t="s">
        <v>1016</v>
      </c>
      <c r="H2020" s="1" t="s">
        <v>12</v>
      </c>
      <c r="I2020" s="1" t="s">
        <v>62</v>
      </c>
      <c r="J2020" s="1" t="s">
        <v>14</v>
      </c>
    </row>
    <row r="2021" spans="2:10" x14ac:dyDescent="0.3">
      <c r="B2021" s="1" t="s">
        <v>2254</v>
      </c>
      <c r="C2021" s="1" t="s">
        <v>38</v>
      </c>
      <c r="D2021" s="2" t="s">
        <v>443</v>
      </c>
      <c r="E2021" s="2" t="s">
        <v>443</v>
      </c>
      <c r="F2021" s="2" t="s">
        <v>11</v>
      </c>
      <c r="G2021" s="3" t="s">
        <v>1737</v>
      </c>
      <c r="H2021" s="1" t="s">
        <v>12</v>
      </c>
      <c r="I2021" s="1" t="s">
        <v>47</v>
      </c>
      <c r="J2021" s="1" t="s">
        <v>14</v>
      </c>
    </row>
    <row r="2022" spans="2:10" x14ac:dyDescent="0.3">
      <c r="B2022" s="1" t="s">
        <v>2254</v>
      </c>
      <c r="C2022" s="1" t="s">
        <v>29</v>
      </c>
      <c r="D2022" s="2" t="s">
        <v>838</v>
      </c>
      <c r="E2022" s="2" t="s">
        <v>838</v>
      </c>
      <c r="F2022" s="2" t="s">
        <v>11</v>
      </c>
      <c r="G2022" s="3" t="s">
        <v>2267</v>
      </c>
      <c r="H2022" s="1" t="s">
        <v>12</v>
      </c>
      <c r="I2022" s="1" t="s">
        <v>94</v>
      </c>
      <c r="J2022" s="1" t="s">
        <v>14</v>
      </c>
    </row>
    <row r="2023" spans="2:10" x14ac:dyDescent="0.3">
      <c r="B2023" s="1" t="s">
        <v>2254</v>
      </c>
      <c r="C2023" s="1" t="s">
        <v>35</v>
      </c>
      <c r="D2023" s="2" t="s">
        <v>475</v>
      </c>
      <c r="E2023" s="2" t="s">
        <v>475</v>
      </c>
      <c r="F2023" s="2" t="s">
        <v>11</v>
      </c>
      <c r="G2023" s="3" t="s">
        <v>970</v>
      </c>
      <c r="H2023" s="1" t="s">
        <v>12</v>
      </c>
      <c r="I2023" s="1" t="s">
        <v>76</v>
      </c>
      <c r="J2023" s="1" t="s">
        <v>14</v>
      </c>
    </row>
    <row r="2024" spans="2:10" x14ac:dyDescent="0.3">
      <c r="B2024" s="1" t="s">
        <v>2254</v>
      </c>
      <c r="C2024" s="1" t="s">
        <v>19</v>
      </c>
      <c r="D2024" s="2" t="s">
        <v>244</v>
      </c>
      <c r="E2024" s="2" t="s">
        <v>244</v>
      </c>
      <c r="F2024" s="2" t="s">
        <v>11</v>
      </c>
      <c r="G2024" s="3" t="s">
        <v>2268</v>
      </c>
      <c r="H2024" s="1" t="s">
        <v>12</v>
      </c>
      <c r="I2024" s="1" t="s">
        <v>42</v>
      </c>
      <c r="J2024" s="1" t="s">
        <v>14</v>
      </c>
    </row>
    <row r="2025" spans="2:10" x14ac:dyDescent="0.3">
      <c r="B2025" s="1" t="s">
        <v>2254</v>
      </c>
      <c r="C2025" s="1" t="s">
        <v>36</v>
      </c>
      <c r="D2025" s="2" t="s">
        <v>244</v>
      </c>
      <c r="E2025" s="2" t="s">
        <v>244</v>
      </c>
      <c r="F2025" s="2" t="s">
        <v>11</v>
      </c>
      <c r="G2025" s="3" t="s">
        <v>434</v>
      </c>
      <c r="H2025" s="1" t="s">
        <v>12</v>
      </c>
      <c r="I2025" s="1" t="s">
        <v>34</v>
      </c>
      <c r="J2025" s="1" t="s">
        <v>14</v>
      </c>
    </row>
    <row r="2026" spans="2:10" x14ac:dyDescent="0.3">
      <c r="B2026" s="1" t="s">
        <v>2269</v>
      </c>
      <c r="C2026" s="1" t="s">
        <v>29</v>
      </c>
      <c r="D2026" s="2" t="s">
        <v>458</v>
      </c>
      <c r="E2026" s="2" t="s">
        <v>458</v>
      </c>
      <c r="F2026" s="2" t="s">
        <v>11</v>
      </c>
      <c r="G2026" s="3" t="s">
        <v>2270</v>
      </c>
      <c r="H2026" s="1" t="s">
        <v>12</v>
      </c>
      <c r="I2026" s="1" t="s">
        <v>32</v>
      </c>
      <c r="J2026" s="1" t="s">
        <v>14</v>
      </c>
    </row>
    <row r="2027" spans="2:10" x14ac:dyDescent="0.3">
      <c r="B2027" s="1" t="s">
        <v>2269</v>
      </c>
      <c r="C2027" s="1" t="s">
        <v>46</v>
      </c>
      <c r="D2027" s="2" t="s">
        <v>747</v>
      </c>
      <c r="E2027" s="2" t="s">
        <v>747</v>
      </c>
      <c r="F2027" s="2" t="s">
        <v>11</v>
      </c>
      <c r="G2027" s="3" t="s">
        <v>2271</v>
      </c>
      <c r="H2027" s="1" t="s">
        <v>12</v>
      </c>
      <c r="I2027" s="1" t="s">
        <v>22</v>
      </c>
      <c r="J2027" s="1" t="s">
        <v>14</v>
      </c>
    </row>
    <row r="2028" spans="2:10" x14ac:dyDescent="0.3">
      <c r="B2028" s="1" t="s">
        <v>2269</v>
      </c>
      <c r="C2028" s="1" t="s">
        <v>15</v>
      </c>
      <c r="D2028" s="2" t="s">
        <v>182</v>
      </c>
      <c r="E2028" s="2" t="s">
        <v>182</v>
      </c>
      <c r="F2028" s="2" t="s">
        <v>11</v>
      </c>
      <c r="G2028" s="3" t="s">
        <v>2272</v>
      </c>
      <c r="H2028" s="1" t="s">
        <v>12</v>
      </c>
      <c r="I2028" s="1" t="s">
        <v>76</v>
      </c>
      <c r="J2028" s="1" t="s">
        <v>14</v>
      </c>
    </row>
    <row r="2029" spans="2:10" x14ac:dyDescent="0.3">
      <c r="B2029" s="1" t="s">
        <v>2269</v>
      </c>
      <c r="C2029" s="1" t="s">
        <v>26</v>
      </c>
      <c r="D2029" s="2" t="s">
        <v>747</v>
      </c>
      <c r="E2029" s="2" t="s">
        <v>747</v>
      </c>
      <c r="F2029" s="2" t="s">
        <v>11</v>
      </c>
      <c r="G2029" s="3" t="s">
        <v>2273</v>
      </c>
      <c r="H2029" s="1" t="s">
        <v>12</v>
      </c>
      <c r="I2029" s="1" t="s">
        <v>62</v>
      </c>
      <c r="J2029" s="1" t="s">
        <v>14</v>
      </c>
    </row>
    <row r="2030" spans="2:10" x14ac:dyDescent="0.3">
      <c r="B2030" s="1" t="s">
        <v>2269</v>
      </c>
      <c r="C2030" s="1" t="s">
        <v>33</v>
      </c>
      <c r="D2030" s="2" t="s">
        <v>311</v>
      </c>
      <c r="E2030" s="2" t="s">
        <v>311</v>
      </c>
      <c r="F2030" s="2" t="s">
        <v>11</v>
      </c>
      <c r="G2030" s="3" t="s">
        <v>792</v>
      </c>
      <c r="H2030" s="1" t="s">
        <v>12</v>
      </c>
      <c r="I2030" s="1" t="s">
        <v>22</v>
      </c>
      <c r="J2030" s="1" t="s">
        <v>14</v>
      </c>
    </row>
    <row r="2031" spans="2:10" x14ac:dyDescent="0.3">
      <c r="B2031" s="1" t="s">
        <v>2269</v>
      </c>
      <c r="C2031" s="1" t="s">
        <v>45</v>
      </c>
      <c r="D2031" s="2" t="s">
        <v>747</v>
      </c>
      <c r="E2031" s="2" t="s">
        <v>747</v>
      </c>
      <c r="F2031" s="2" t="s">
        <v>11</v>
      </c>
      <c r="G2031" s="3" t="s">
        <v>2274</v>
      </c>
      <c r="H2031" s="1" t="s">
        <v>12</v>
      </c>
      <c r="I2031" s="1" t="s">
        <v>66</v>
      </c>
      <c r="J2031" s="1" t="s">
        <v>14</v>
      </c>
    </row>
    <row r="2032" spans="2:10" x14ac:dyDescent="0.3">
      <c r="B2032" s="1" t="s">
        <v>2269</v>
      </c>
      <c r="C2032" s="1" t="s">
        <v>39</v>
      </c>
      <c r="D2032" s="2" t="s">
        <v>458</v>
      </c>
      <c r="E2032" s="2" t="s">
        <v>458</v>
      </c>
      <c r="F2032" s="2" t="s">
        <v>11</v>
      </c>
      <c r="G2032" s="3" t="s">
        <v>2275</v>
      </c>
      <c r="H2032" s="1" t="s">
        <v>12</v>
      </c>
      <c r="I2032" s="1" t="s">
        <v>27</v>
      </c>
      <c r="J2032" s="1" t="s">
        <v>14</v>
      </c>
    </row>
    <row r="2033" spans="2:10" x14ac:dyDescent="0.3">
      <c r="B2033" s="1" t="s">
        <v>2269</v>
      </c>
      <c r="C2033" s="1" t="s">
        <v>10</v>
      </c>
      <c r="D2033" s="2" t="s">
        <v>512</v>
      </c>
      <c r="E2033" s="2" t="s">
        <v>512</v>
      </c>
      <c r="F2033" s="2" t="s">
        <v>11</v>
      </c>
      <c r="G2033" s="3" t="s">
        <v>1291</v>
      </c>
      <c r="H2033" s="1" t="s">
        <v>12</v>
      </c>
      <c r="I2033" s="1" t="s">
        <v>44</v>
      </c>
      <c r="J2033" s="1" t="s">
        <v>14</v>
      </c>
    </row>
    <row r="2034" spans="2:10" x14ac:dyDescent="0.3">
      <c r="B2034" s="1" t="s">
        <v>2269</v>
      </c>
      <c r="C2034" s="1" t="s">
        <v>23</v>
      </c>
      <c r="D2034" s="2" t="s">
        <v>455</v>
      </c>
      <c r="E2034" s="2" t="s">
        <v>455</v>
      </c>
      <c r="F2034" s="2" t="s">
        <v>11</v>
      </c>
      <c r="G2034" s="3" t="s">
        <v>417</v>
      </c>
      <c r="H2034" s="1" t="s">
        <v>12</v>
      </c>
      <c r="I2034" s="1" t="s">
        <v>77</v>
      </c>
      <c r="J2034" s="1" t="s">
        <v>14</v>
      </c>
    </row>
    <row r="2035" spans="2:10" x14ac:dyDescent="0.3">
      <c r="B2035" s="1" t="s">
        <v>2269</v>
      </c>
      <c r="C2035" s="1" t="s">
        <v>21</v>
      </c>
      <c r="D2035" s="2" t="s">
        <v>747</v>
      </c>
      <c r="E2035" s="2" t="s">
        <v>747</v>
      </c>
      <c r="F2035" s="2" t="s">
        <v>11</v>
      </c>
      <c r="G2035" s="3" t="s">
        <v>2276</v>
      </c>
      <c r="H2035" s="1" t="s">
        <v>12</v>
      </c>
      <c r="I2035" s="1" t="s">
        <v>30</v>
      </c>
      <c r="J2035" s="1" t="s">
        <v>14</v>
      </c>
    </row>
    <row r="2036" spans="2:10" x14ac:dyDescent="0.3">
      <c r="B2036" s="1" t="s">
        <v>2269</v>
      </c>
      <c r="C2036" s="1" t="s">
        <v>19</v>
      </c>
      <c r="D2036" s="2" t="s">
        <v>512</v>
      </c>
      <c r="E2036" s="2" t="s">
        <v>512</v>
      </c>
      <c r="F2036" s="2" t="s">
        <v>11</v>
      </c>
      <c r="G2036" s="3" t="s">
        <v>1768</v>
      </c>
      <c r="H2036" s="1" t="s">
        <v>12</v>
      </c>
      <c r="I2036" s="1" t="s">
        <v>49</v>
      </c>
      <c r="J2036" s="1" t="s">
        <v>14</v>
      </c>
    </row>
    <row r="2037" spans="2:10" x14ac:dyDescent="0.3">
      <c r="B2037" s="1" t="s">
        <v>2269</v>
      </c>
      <c r="C2037" s="1" t="s">
        <v>36</v>
      </c>
      <c r="D2037" s="2" t="s">
        <v>458</v>
      </c>
      <c r="E2037" s="2" t="s">
        <v>458</v>
      </c>
      <c r="F2037" s="2" t="s">
        <v>11</v>
      </c>
      <c r="G2037" s="3" t="s">
        <v>2277</v>
      </c>
      <c r="H2037" s="1" t="s">
        <v>12</v>
      </c>
      <c r="I2037" s="1" t="s">
        <v>47</v>
      </c>
      <c r="J2037" s="1" t="s">
        <v>14</v>
      </c>
    </row>
    <row r="2038" spans="2:10" x14ac:dyDescent="0.3">
      <c r="B2038" s="1" t="s">
        <v>2269</v>
      </c>
      <c r="C2038" s="1" t="s">
        <v>38</v>
      </c>
      <c r="D2038" s="2" t="s">
        <v>2105</v>
      </c>
      <c r="E2038" s="2" t="s">
        <v>2278</v>
      </c>
      <c r="F2038" s="2" t="s">
        <v>11</v>
      </c>
      <c r="G2038" s="3" t="s">
        <v>1341</v>
      </c>
      <c r="H2038" s="1" t="s">
        <v>12</v>
      </c>
      <c r="I2038" s="1" t="s">
        <v>23</v>
      </c>
      <c r="J2038" s="1" t="s">
        <v>52</v>
      </c>
    </row>
    <row r="2039" spans="2:10" x14ac:dyDescent="0.3">
      <c r="B2039" s="1" t="s">
        <v>2269</v>
      </c>
      <c r="C2039" s="1" t="s">
        <v>35</v>
      </c>
      <c r="D2039" s="2" t="s">
        <v>512</v>
      </c>
      <c r="E2039" s="2" t="s">
        <v>512</v>
      </c>
      <c r="F2039" s="2" t="s">
        <v>11</v>
      </c>
      <c r="G2039" s="3" t="s">
        <v>2129</v>
      </c>
      <c r="H2039" s="1" t="s">
        <v>12</v>
      </c>
      <c r="I2039" s="1" t="s">
        <v>22</v>
      </c>
      <c r="J2039" s="1" t="s">
        <v>14</v>
      </c>
    </row>
    <row r="2040" spans="2:10" x14ac:dyDescent="0.3">
      <c r="B2040" s="1" t="s">
        <v>2269</v>
      </c>
      <c r="C2040" s="1" t="s">
        <v>43</v>
      </c>
      <c r="D2040" s="2" t="s">
        <v>458</v>
      </c>
      <c r="E2040" s="2" t="s">
        <v>458</v>
      </c>
      <c r="F2040" s="2" t="s">
        <v>11</v>
      </c>
      <c r="G2040" s="3" t="s">
        <v>1714</v>
      </c>
      <c r="H2040" s="1" t="s">
        <v>12</v>
      </c>
      <c r="I2040" s="1" t="s">
        <v>16</v>
      </c>
      <c r="J2040" s="1" t="s">
        <v>14</v>
      </c>
    </row>
    <row r="2041" spans="2:10" x14ac:dyDescent="0.3">
      <c r="B2041" s="1" t="s">
        <v>2269</v>
      </c>
      <c r="C2041" s="1" t="s">
        <v>31</v>
      </c>
      <c r="D2041" s="2" t="s">
        <v>747</v>
      </c>
      <c r="E2041" s="2" t="s">
        <v>747</v>
      </c>
      <c r="F2041" s="2" t="s">
        <v>11</v>
      </c>
      <c r="G2041" s="3" t="s">
        <v>2279</v>
      </c>
      <c r="H2041" s="1" t="s">
        <v>12</v>
      </c>
      <c r="I2041" s="1" t="s">
        <v>51</v>
      </c>
      <c r="J2041" s="1" t="s">
        <v>14</v>
      </c>
    </row>
    <row r="2042" spans="2:10" x14ac:dyDescent="0.3">
      <c r="B2042" s="1" t="s">
        <v>2269</v>
      </c>
      <c r="C2042" s="1" t="s">
        <v>28</v>
      </c>
      <c r="D2042" s="2" t="s">
        <v>512</v>
      </c>
      <c r="E2042" s="2" t="s">
        <v>512</v>
      </c>
      <c r="F2042" s="2" t="s">
        <v>11</v>
      </c>
      <c r="G2042" s="3" t="s">
        <v>2280</v>
      </c>
      <c r="H2042" s="1" t="s">
        <v>12</v>
      </c>
      <c r="I2042" s="1" t="s">
        <v>49</v>
      </c>
      <c r="J2042" s="1" t="s">
        <v>14</v>
      </c>
    </row>
    <row r="2043" spans="2:10" x14ac:dyDescent="0.3">
      <c r="B2043" s="1" t="s">
        <v>2269</v>
      </c>
      <c r="C2043" s="1" t="s">
        <v>41</v>
      </c>
      <c r="D2043" s="2" t="s">
        <v>512</v>
      </c>
      <c r="E2043" s="2" t="s">
        <v>512</v>
      </c>
      <c r="F2043" s="2" t="s">
        <v>11</v>
      </c>
      <c r="G2043" s="3" t="s">
        <v>2281</v>
      </c>
      <c r="H2043" s="1" t="s">
        <v>12</v>
      </c>
      <c r="I2043" s="1" t="s">
        <v>49</v>
      </c>
      <c r="J2043" s="1" t="s">
        <v>14</v>
      </c>
    </row>
    <row r="2044" spans="2:10" x14ac:dyDescent="0.3">
      <c r="B2044" s="1" t="s">
        <v>2269</v>
      </c>
      <c r="C2044" s="1" t="s">
        <v>24</v>
      </c>
      <c r="D2044" s="2" t="s">
        <v>747</v>
      </c>
      <c r="E2044" s="2" t="s">
        <v>747</v>
      </c>
      <c r="F2044" s="2" t="s">
        <v>11</v>
      </c>
      <c r="G2044" s="3" t="s">
        <v>872</v>
      </c>
      <c r="H2044" s="1" t="s">
        <v>12</v>
      </c>
      <c r="I2044" s="1" t="s">
        <v>27</v>
      </c>
      <c r="J2044" s="1" t="s">
        <v>14</v>
      </c>
    </row>
    <row r="2045" spans="2:10" x14ac:dyDescent="0.3">
      <c r="B2045" s="1" t="s">
        <v>2269</v>
      </c>
      <c r="C2045" s="1" t="s">
        <v>17</v>
      </c>
      <c r="D2045" s="2" t="s">
        <v>458</v>
      </c>
      <c r="E2045" s="2" t="s">
        <v>458</v>
      </c>
      <c r="F2045" s="2" t="s">
        <v>11</v>
      </c>
      <c r="G2045" s="3" t="s">
        <v>2282</v>
      </c>
      <c r="H2045" s="1" t="s">
        <v>12</v>
      </c>
      <c r="I2045" s="1" t="s">
        <v>13</v>
      </c>
      <c r="J2045" s="1" t="s">
        <v>14</v>
      </c>
    </row>
    <row r="2046" spans="2:10" x14ac:dyDescent="0.3">
      <c r="B2046" s="1" t="s">
        <v>2269</v>
      </c>
      <c r="C2046" s="1" t="s">
        <v>45</v>
      </c>
      <c r="D2046" s="2" t="s">
        <v>439</v>
      </c>
      <c r="E2046" s="2" t="s">
        <v>439</v>
      </c>
      <c r="F2046" s="2" t="s">
        <v>11</v>
      </c>
      <c r="G2046" s="3" t="s">
        <v>2283</v>
      </c>
      <c r="H2046" s="1" t="s">
        <v>12</v>
      </c>
      <c r="I2046" s="1" t="s">
        <v>32</v>
      </c>
      <c r="J2046" s="1" t="s">
        <v>14</v>
      </c>
    </row>
    <row r="2047" spans="2:10" x14ac:dyDescent="0.3">
      <c r="B2047" s="1" t="s">
        <v>2269</v>
      </c>
      <c r="C2047" s="1" t="s">
        <v>23</v>
      </c>
      <c r="D2047" s="2" t="s">
        <v>529</v>
      </c>
      <c r="E2047" s="2" t="s">
        <v>529</v>
      </c>
      <c r="F2047" s="2" t="s">
        <v>11</v>
      </c>
      <c r="G2047" s="3" t="s">
        <v>1738</v>
      </c>
      <c r="H2047" s="1" t="s">
        <v>12</v>
      </c>
      <c r="I2047" s="1" t="s">
        <v>66</v>
      </c>
      <c r="J2047" s="1" t="s">
        <v>14</v>
      </c>
    </row>
    <row r="2048" spans="2:10" x14ac:dyDescent="0.3">
      <c r="B2048" s="1" t="s">
        <v>2269</v>
      </c>
      <c r="C2048" s="1" t="s">
        <v>28</v>
      </c>
      <c r="D2048" s="2" t="s">
        <v>458</v>
      </c>
      <c r="E2048" s="2" t="s">
        <v>458</v>
      </c>
      <c r="F2048" s="2" t="s">
        <v>11</v>
      </c>
      <c r="G2048" s="3" t="s">
        <v>2284</v>
      </c>
      <c r="H2048" s="1" t="s">
        <v>12</v>
      </c>
      <c r="I2048" s="1" t="s">
        <v>68</v>
      </c>
      <c r="J2048" s="1" t="s">
        <v>14</v>
      </c>
    </row>
    <row r="2049" spans="2:10" x14ac:dyDescent="0.3">
      <c r="B2049" s="1" t="s">
        <v>2269</v>
      </c>
      <c r="C2049" s="1" t="s">
        <v>31</v>
      </c>
      <c r="D2049" s="2" t="s">
        <v>439</v>
      </c>
      <c r="E2049" s="2" t="s">
        <v>439</v>
      </c>
      <c r="F2049" s="2" t="s">
        <v>11</v>
      </c>
      <c r="G2049" s="3" t="s">
        <v>2285</v>
      </c>
      <c r="H2049" s="1" t="s">
        <v>12</v>
      </c>
      <c r="I2049" s="1" t="s">
        <v>44</v>
      </c>
      <c r="J2049" s="1" t="s">
        <v>14</v>
      </c>
    </row>
    <row r="2050" spans="2:10" x14ac:dyDescent="0.3">
      <c r="B2050" s="1" t="s">
        <v>2269</v>
      </c>
      <c r="C2050" s="1" t="s">
        <v>39</v>
      </c>
      <c r="D2050" s="2" t="s">
        <v>439</v>
      </c>
      <c r="E2050" s="2" t="s">
        <v>439</v>
      </c>
      <c r="F2050" s="2" t="s">
        <v>11</v>
      </c>
      <c r="G2050" s="3" t="s">
        <v>965</v>
      </c>
      <c r="H2050" s="1" t="s">
        <v>12</v>
      </c>
      <c r="I2050" s="1" t="s">
        <v>66</v>
      </c>
      <c r="J2050" s="1" t="s">
        <v>14</v>
      </c>
    </row>
    <row r="2051" spans="2:10" x14ac:dyDescent="0.3">
      <c r="B2051" s="1" t="s">
        <v>2269</v>
      </c>
      <c r="C2051" s="1" t="s">
        <v>21</v>
      </c>
      <c r="D2051" s="2" t="s">
        <v>2286</v>
      </c>
      <c r="E2051" s="2" t="s">
        <v>1509</v>
      </c>
      <c r="F2051" s="2" t="s">
        <v>11</v>
      </c>
      <c r="G2051" s="3" t="s">
        <v>2287</v>
      </c>
      <c r="H2051" s="1" t="s">
        <v>12</v>
      </c>
      <c r="I2051" s="1" t="s">
        <v>55</v>
      </c>
      <c r="J2051" s="1" t="s">
        <v>52</v>
      </c>
    </row>
    <row r="2052" spans="2:10" x14ac:dyDescent="0.3">
      <c r="B2052" s="1" t="s">
        <v>2269</v>
      </c>
      <c r="C2052" s="1" t="s">
        <v>17</v>
      </c>
      <c r="D2052" s="2" t="s">
        <v>529</v>
      </c>
      <c r="E2052" s="2" t="s">
        <v>529</v>
      </c>
      <c r="F2052" s="2" t="s">
        <v>11</v>
      </c>
      <c r="G2052" s="3" t="s">
        <v>2288</v>
      </c>
      <c r="H2052" s="1" t="s">
        <v>12</v>
      </c>
      <c r="I2052" s="1" t="s">
        <v>22</v>
      </c>
      <c r="J2052" s="1" t="s">
        <v>14</v>
      </c>
    </row>
    <row r="2053" spans="2:10" x14ac:dyDescent="0.3">
      <c r="B2053" s="1" t="s">
        <v>2269</v>
      </c>
      <c r="C2053" s="1" t="s">
        <v>19</v>
      </c>
      <c r="D2053" s="2" t="s">
        <v>439</v>
      </c>
      <c r="E2053" s="2" t="s">
        <v>439</v>
      </c>
      <c r="F2053" s="2" t="s">
        <v>11</v>
      </c>
      <c r="G2053" s="3" t="s">
        <v>2289</v>
      </c>
      <c r="H2053" s="1" t="s">
        <v>12</v>
      </c>
      <c r="I2053" s="1" t="s">
        <v>68</v>
      </c>
      <c r="J2053" s="1" t="s">
        <v>14</v>
      </c>
    </row>
    <row r="2054" spans="2:10" x14ac:dyDescent="0.3">
      <c r="B2054" s="1" t="s">
        <v>2269</v>
      </c>
      <c r="C2054" s="1" t="s">
        <v>36</v>
      </c>
      <c r="D2054" s="2" t="s">
        <v>529</v>
      </c>
      <c r="E2054" s="2" t="s">
        <v>529</v>
      </c>
      <c r="F2054" s="2" t="s">
        <v>11</v>
      </c>
      <c r="G2054" s="3" t="s">
        <v>2290</v>
      </c>
      <c r="H2054" s="1" t="s">
        <v>12</v>
      </c>
      <c r="I2054" s="1" t="s">
        <v>65</v>
      </c>
      <c r="J2054" s="1" t="s">
        <v>14</v>
      </c>
    </row>
    <row r="2055" spans="2:10" x14ac:dyDescent="0.3">
      <c r="B2055" s="1" t="s">
        <v>2269</v>
      </c>
      <c r="C2055" s="1" t="s">
        <v>24</v>
      </c>
      <c r="D2055" s="2" t="s">
        <v>1886</v>
      </c>
      <c r="E2055" s="2" t="s">
        <v>1886</v>
      </c>
      <c r="F2055" s="2" t="s">
        <v>11</v>
      </c>
      <c r="G2055" s="3" t="s">
        <v>1562</v>
      </c>
      <c r="H2055" s="1" t="s">
        <v>12</v>
      </c>
      <c r="I2055" s="1" t="s">
        <v>25</v>
      </c>
      <c r="J2055" s="1" t="s">
        <v>14</v>
      </c>
    </row>
    <row r="2056" spans="2:10" x14ac:dyDescent="0.3">
      <c r="B2056" s="1" t="s">
        <v>2269</v>
      </c>
      <c r="C2056" s="1" t="s">
        <v>43</v>
      </c>
      <c r="D2056" s="2" t="s">
        <v>529</v>
      </c>
      <c r="E2056" s="2" t="s">
        <v>529</v>
      </c>
      <c r="F2056" s="2" t="s">
        <v>11</v>
      </c>
      <c r="G2056" s="3" t="s">
        <v>2291</v>
      </c>
      <c r="H2056" s="1" t="s">
        <v>12</v>
      </c>
      <c r="I2056" s="1" t="s">
        <v>51</v>
      </c>
      <c r="J2056" s="1" t="s">
        <v>14</v>
      </c>
    </row>
    <row r="2057" spans="2:10" x14ac:dyDescent="0.3">
      <c r="B2057" s="1" t="s">
        <v>2269</v>
      </c>
      <c r="C2057" s="1" t="s">
        <v>29</v>
      </c>
      <c r="D2057" s="2" t="s">
        <v>443</v>
      </c>
      <c r="E2057" s="2" t="s">
        <v>443</v>
      </c>
      <c r="F2057" s="2" t="s">
        <v>11</v>
      </c>
      <c r="G2057" s="3" t="s">
        <v>912</v>
      </c>
      <c r="H2057" s="1" t="s">
        <v>12</v>
      </c>
      <c r="I2057" s="1" t="s">
        <v>60</v>
      </c>
      <c r="J2057" s="1" t="s">
        <v>14</v>
      </c>
    </row>
    <row r="2058" spans="2:10" x14ac:dyDescent="0.3">
      <c r="B2058" s="1" t="s">
        <v>2269</v>
      </c>
      <c r="C2058" s="1" t="s">
        <v>33</v>
      </c>
      <c r="D2058" s="2" t="s">
        <v>1961</v>
      </c>
      <c r="E2058" s="2" t="s">
        <v>2292</v>
      </c>
      <c r="F2058" s="2" t="s">
        <v>11</v>
      </c>
      <c r="G2058" s="3" t="s">
        <v>1799</v>
      </c>
      <c r="H2058" s="1" t="s">
        <v>12</v>
      </c>
      <c r="I2058" s="1" t="s">
        <v>15</v>
      </c>
      <c r="J2058" s="1" t="s">
        <v>52</v>
      </c>
    </row>
    <row r="2059" spans="2:10" x14ac:dyDescent="0.3">
      <c r="B2059" s="1" t="s">
        <v>2269</v>
      </c>
      <c r="C2059" s="1" t="s">
        <v>35</v>
      </c>
      <c r="D2059" s="2" t="s">
        <v>439</v>
      </c>
      <c r="E2059" s="2" t="s">
        <v>439</v>
      </c>
      <c r="F2059" s="2" t="s">
        <v>11</v>
      </c>
      <c r="G2059" s="3" t="s">
        <v>2283</v>
      </c>
      <c r="H2059" s="1" t="s">
        <v>12</v>
      </c>
      <c r="I2059" s="1" t="s">
        <v>56</v>
      </c>
      <c r="J2059" s="1" t="s">
        <v>14</v>
      </c>
    </row>
    <row r="2060" spans="2:10" x14ac:dyDescent="0.3">
      <c r="B2060" s="1" t="s">
        <v>2269</v>
      </c>
      <c r="C2060" s="1" t="s">
        <v>15</v>
      </c>
      <c r="D2060" s="2" t="s">
        <v>251</v>
      </c>
      <c r="E2060" s="2" t="s">
        <v>251</v>
      </c>
      <c r="F2060" s="2" t="s">
        <v>11</v>
      </c>
      <c r="G2060" s="3" t="s">
        <v>2293</v>
      </c>
      <c r="H2060" s="1" t="s">
        <v>12</v>
      </c>
      <c r="I2060" s="1" t="s">
        <v>50</v>
      </c>
      <c r="J2060" s="1" t="s">
        <v>14</v>
      </c>
    </row>
    <row r="2061" spans="2:10" x14ac:dyDescent="0.3">
      <c r="B2061" s="1" t="s">
        <v>2269</v>
      </c>
      <c r="C2061" s="1" t="s">
        <v>10</v>
      </c>
      <c r="D2061" s="2" t="s">
        <v>455</v>
      </c>
      <c r="E2061" s="2" t="s">
        <v>455</v>
      </c>
      <c r="F2061" s="2" t="s">
        <v>11</v>
      </c>
      <c r="G2061" s="3" t="s">
        <v>2294</v>
      </c>
      <c r="H2061" s="1" t="s">
        <v>12</v>
      </c>
      <c r="I2061" s="1" t="s">
        <v>56</v>
      </c>
      <c r="J2061" s="1" t="s">
        <v>14</v>
      </c>
    </row>
    <row r="2062" spans="2:10" x14ac:dyDescent="0.3">
      <c r="B2062" s="1" t="s">
        <v>2269</v>
      </c>
      <c r="C2062" s="1" t="s">
        <v>46</v>
      </c>
      <c r="D2062" s="2" t="s">
        <v>529</v>
      </c>
      <c r="E2062" s="2" t="s">
        <v>529</v>
      </c>
      <c r="F2062" s="2" t="s">
        <v>11</v>
      </c>
      <c r="G2062" s="3" t="s">
        <v>2295</v>
      </c>
      <c r="H2062" s="1" t="s">
        <v>12</v>
      </c>
      <c r="I2062" s="1" t="s">
        <v>13</v>
      </c>
      <c r="J2062" s="1" t="s">
        <v>14</v>
      </c>
    </row>
    <row r="2063" spans="2:10" x14ac:dyDescent="0.3">
      <c r="B2063" s="1" t="s">
        <v>2269</v>
      </c>
      <c r="C2063" s="1" t="s">
        <v>26</v>
      </c>
      <c r="D2063" s="2" t="s">
        <v>529</v>
      </c>
      <c r="E2063" s="2" t="s">
        <v>529</v>
      </c>
      <c r="F2063" s="2" t="s">
        <v>11</v>
      </c>
      <c r="G2063" s="3" t="s">
        <v>2296</v>
      </c>
      <c r="H2063" s="1" t="s">
        <v>12</v>
      </c>
      <c r="I2063" s="1" t="s">
        <v>82</v>
      </c>
      <c r="J2063" s="1" t="s">
        <v>14</v>
      </c>
    </row>
    <row r="2064" spans="2:10" x14ac:dyDescent="0.3">
      <c r="B2064" s="1" t="s">
        <v>2269</v>
      </c>
      <c r="C2064" s="1" t="s">
        <v>38</v>
      </c>
      <c r="D2064" s="2" t="s">
        <v>251</v>
      </c>
      <c r="E2064" s="2" t="s">
        <v>251</v>
      </c>
      <c r="F2064" s="2" t="s">
        <v>11</v>
      </c>
      <c r="G2064" s="3" t="s">
        <v>910</v>
      </c>
      <c r="H2064" s="1" t="s">
        <v>12</v>
      </c>
      <c r="I2064" s="1" t="s">
        <v>50</v>
      </c>
      <c r="J2064" s="1" t="s">
        <v>14</v>
      </c>
    </row>
    <row r="2065" spans="2:10" x14ac:dyDescent="0.3">
      <c r="B2065" s="1" t="s">
        <v>2269</v>
      </c>
      <c r="C2065" s="1" t="s">
        <v>41</v>
      </c>
      <c r="D2065" s="2" t="s">
        <v>251</v>
      </c>
      <c r="E2065" s="2" t="s">
        <v>251</v>
      </c>
      <c r="F2065" s="2" t="s">
        <v>11</v>
      </c>
      <c r="G2065" s="3" t="s">
        <v>977</v>
      </c>
      <c r="H2065" s="1" t="s">
        <v>12</v>
      </c>
      <c r="I2065" s="1" t="s">
        <v>64</v>
      </c>
      <c r="J2065" s="1" t="s">
        <v>14</v>
      </c>
    </row>
    <row r="2066" spans="2:10" x14ac:dyDescent="0.3">
      <c r="B2066" s="1" t="s">
        <v>2297</v>
      </c>
      <c r="C2066" s="1" t="s">
        <v>35</v>
      </c>
      <c r="D2066" s="2" t="s">
        <v>214</v>
      </c>
      <c r="E2066" s="2" t="s">
        <v>702</v>
      </c>
      <c r="F2066" s="2" t="s">
        <v>11</v>
      </c>
      <c r="G2066" s="3" t="s">
        <v>2298</v>
      </c>
      <c r="H2066" s="1" t="s">
        <v>12</v>
      </c>
      <c r="I2066" s="1" t="s">
        <v>46</v>
      </c>
      <c r="J2066" s="1" t="s">
        <v>52</v>
      </c>
    </row>
    <row r="2067" spans="2:10" x14ac:dyDescent="0.3">
      <c r="B2067" s="1" t="s">
        <v>2297</v>
      </c>
      <c r="C2067" s="1" t="s">
        <v>33</v>
      </c>
      <c r="D2067" s="2" t="s">
        <v>859</v>
      </c>
      <c r="E2067" s="2" t="s">
        <v>859</v>
      </c>
      <c r="F2067" s="2" t="s">
        <v>11</v>
      </c>
      <c r="G2067" s="3" t="s">
        <v>2299</v>
      </c>
      <c r="H2067" s="1" t="s">
        <v>12</v>
      </c>
      <c r="I2067" s="1" t="s">
        <v>67</v>
      </c>
      <c r="J2067" s="1" t="s">
        <v>14</v>
      </c>
    </row>
    <row r="2068" spans="2:10" x14ac:dyDescent="0.3">
      <c r="B2068" s="1" t="s">
        <v>2297</v>
      </c>
      <c r="C2068" s="1" t="s">
        <v>26</v>
      </c>
      <c r="D2068" s="2" t="s">
        <v>200</v>
      </c>
      <c r="E2068" s="2" t="s">
        <v>200</v>
      </c>
      <c r="F2068" s="2" t="s">
        <v>11</v>
      </c>
      <c r="G2068" s="3" t="s">
        <v>2300</v>
      </c>
      <c r="H2068" s="1" t="s">
        <v>12</v>
      </c>
      <c r="I2068" s="1" t="s">
        <v>50</v>
      </c>
      <c r="J2068" s="1" t="s">
        <v>14</v>
      </c>
    </row>
    <row r="2069" spans="2:10" x14ac:dyDescent="0.3">
      <c r="B2069" s="1" t="s">
        <v>2297</v>
      </c>
      <c r="C2069" s="1" t="s">
        <v>17</v>
      </c>
      <c r="D2069" s="2" t="s">
        <v>200</v>
      </c>
      <c r="E2069" s="2" t="s">
        <v>200</v>
      </c>
      <c r="F2069" s="2" t="s">
        <v>11</v>
      </c>
      <c r="G2069" s="3" t="s">
        <v>2301</v>
      </c>
      <c r="H2069" s="1" t="s">
        <v>12</v>
      </c>
      <c r="I2069" s="1" t="s">
        <v>34</v>
      </c>
      <c r="J2069" s="1" t="s">
        <v>14</v>
      </c>
    </row>
    <row r="2070" spans="2:10" x14ac:dyDescent="0.3">
      <c r="B2070" s="1" t="s">
        <v>2297</v>
      </c>
      <c r="C2070" s="1" t="s">
        <v>46</v>
      </c>
      <c r="D2070" s="2" t="s">
        <v>512</v>
      </c>
      <c r="E2070" s="2" t="s">
        <v>512</v>
      </c>
      <c r="F2070" s="2" t="s">
        <v>11</v>
      </c>
      <c r="G2070" s="3" t="s">
        <v>1091</v>
      </c>
      <c r="H2070" s="1" t="s">
        <v>12</v>
      </c>
      <c r="I2070" s="1" t="s">
        <v>68</v>
      </c>
      <c r="J2070" s="1" t="s">
        <v>14</v>
      </c>
    </row>
    <row r="2071" spans="2:10" x14ac:dyDescent="0.3">
      <c r="B2071" s="1" t="s">
        <v>2297</v>
      </c>
      <c r="C2071" s="1" t="s">
        <v>39</v>
      </c>
      <c r="D2071" s="2" t="s">
        <v>859</v>
      </c>
      <c r="E2071" s="2" t="s">
        <v>859</v>
      </c>
      <c r="F2071" s="2" t="s">
        <v>11</v>
      </c>
      <c r="G2071" s="3" t="s">
        <v>1655</v>
      </c>
      <c r="H2071" s="1" t="s">
        <v>12</v>
      </c>
      <c r="I2071" s="1" t="s">
        <v>50</v>
      </c>
      <c r="J2071" s="1" t="s">
        <v>14</v>
      </c>
    </row>
    <row r="2072" spans="2:10" x14ac:dyDescent="0.3">
      <c r="B2072" s="1" t="s">
        <v>2297</v>
      </c>
      <c r="C2072" s="1" t="s">
        <v>31</v>
      </c>
      <c r="D2072" s="2" t="s">
        <v>322</v>
      </c>
      <c r="E2072" s="2" t="s">
        <v>322</v>
      </c>
      <c r="F2072" s="2" t="s">
        <v>11</v>
      </c>
      <c r="G2072" s="3" t="s">
        <v>1093</v>
      </c>
      <c r="H2072" s="1" t="s">
        <v>12</v>
      </c>
      <c r="I2072" s="1" t="s">
        <v>42</v>
      </c>
      <c r="J2072" s="1" t="s">
        <v>14</v>
      </c>
    </row>
    <row r="2073" spans="2:10" x14ac:dyDescent="0.3">
      <c r="B2073" s="1" t="s">
        <v>2297</v>
      </c>
      <c r="C2073" s="1" t="s">
        <v>36</v>
      </c>
      <c r="D2073" s="2" t="s">
        <v>190</v>
      </c>
      <c r="E2073" s="2" t="s">
        <v>190</v>
      </c>
      <c r="F2073" s="2" t="s">
        <v>11</v>
      </c>
      <c r="G2073" s="3" t="s">
        <v>2302</v>
      </c>
      <c r="H2073" s="1" t="s">
        <v>12</v>
      </c>
      <c r="I2073" s="1" t="s">
        <v>87</v>
      </c>
      <c r="J2073" s="1" t="s">
        <v>14</v>
      </c>
    </row>
    <row r="2074" spans="2:10" x14ac:dyDescent="0.3">
      <c r="B2074" s="1" t="s">
        <v>2297</v>
      </c>
      <c r="C2074" s="1" t="s">
        <v>23</v>
      </c>
      <c r="D2074" s="2" t="s">
        <v>859</v>
      </c>
      <c r="E2074" s="2" t="s">
        <v>859</v>
      </c>
      <c r="F2074" s="2" t="s">
        <v>11</v>
      </c>
      <c r="G2074" s="3" t="s">
        <v>518</v>
      </c>
      <c r="H2074" s="1" t="s">
        <v>12</v>
      </c>
      <c r="I2074" s="1" t="s">
        <v>25</v>
      </c>
      <c r="J2074" s="1" t="s">
        <v>14</v>
      </c>
    </row>
    <row r="2075" spans="2:10" x14ac:dyDescent="0.3">
      <c r="B2075" s="1" t="s">
        <v>2297</v>
      </c>
      <c r="C2075" s="1" t="s">
        <v>24</v>
      </c>
      <c r="D2075" s="2" t="s">
        <v>859</v>
      </c>
      <c r="E2075" s="2" t="s">
        <v>859</v>
      </c>
      <c r="F2075" s="2" t="s">
        <v>11</v>
      </c>
      <c r="G2075" s="3" t="s">
        <v>2303</v>
      </c>
      <c r="H2075" s="1" t="s">
        <v>12</v>
      </c>
      <c r="I2075" s="1" t="s">
        <v>44</v>
      </c>
      <c r="J2075" s="1" t="s">
        <v>14</v>
      </c>
    </row>
    <row r="2076" spans="2:10" x14ac:dyDescent="0.3">
      <c r="B2076" s="1" t="s">
        <v>2297</v>
      </c>
      <c r="C2076" s="1" t="s">
        <v>41</v>
      </c>
      <c r="D2076" s="2" t="s">
        <v>337</v>
      </c>
      <c r="E2076" s="2" t="s">
        <v>337</v>
      </c>
      <c r="F2076" s="2" t="s">
        <v>11</v>
      </c>
      <c r="G2076" s="3" t="s">
        <v>698</v>
      </c>
      <c r="H2076" s="1" t="s">
        <v>12</v>
      </c>
      <c r="I2076" s="1" t="s">
        <v>64</v>
      </c>
      <c r="J2076" s="1" t="s">
        <v>14</v>
      </c>
    </row>
    <row r="2077" spans="2:10" x14ac:dyDescent="0.3">
      <c r="B2077" s="1" t="s">
        <v>2297</v>
      </c>
      <c r="C2077" s="1" t="s">
        <v>10</v>
      </c>
      <c r="D2077" s="2" t="s">
        <v>314</v>
      </c>
      <c r="E2077" s="2" t="s">
        <v>314</v>
      </c>
      <c r="F2077" s="2" t="s">
        <v>11</v>
      </c>
      <c r="G2077" s="3" t="s">
        <v>2025</v>
      </c>
      <c r="H2077" s="1" t="s">
        <v>12</v>
      </c>
      <c r="I2077" s="1" t="s">
        <v>66</v>
      </c>
      <c r="J2077" s="1" t="s">
        <v>14</v>
      </c>
    </row>
    <row r="2078" spans="2:10" x14ac:dyDescent="0.3">
      <c r="B2078" s="1" t="s">
        <v>2297</v>
      </c>
      <c r="C2078" s="1" t="s">
        <v>28</v>
      </c>
      <c r="D2078" s="2" t="s">
        <v>584</v>
      </c>
      <c r="E2078" s="2" t="s">
        <v>584</v>
      </c>
      <c r="F2078" s="2" t="s">
        <v>11</v>
      </c>
      <c r="G2078" s="3" t="s">
        <v>1130</v>
      </c>
      <c r="H2078" s="1" t="s">
        <v>12</v>
      </c>
      <c r="I2078" s="1" t="s">
        <v>32</v>
      </c>
      <c r="J2078" s="1" t="s">
        <v>14</v>
      </c>
    </row>
    <row r="2079" spans="2:10" x14ac:dyDescent="0.3">
      <c r="B2079" s="1" t="s">
        <v>2297</v>
      </c>
      <c r="C2079" s="1" t="s">
        <v>45</v>
      </c>
      <c r="D2079" s="2" t="s">
        <v>314</v>
      </c>
      <c r="E2079" s="2" t="s">
        <v>314</v>
      </c>
      <c r="F2079" s="2" t="s">
        <v>11</v>
      </c>
      <c r="G2079" s="3" t="s">
        <v>615</v>
      </c>
      <c r="H2079" s="1" t="s">
        <v>12</v>
      </c>
      <c r="I2079" s="1" t="s">
        <v>30</v>
      </c>
      <c r="J2079" s="1" t="s">
        <v>14</v>
      </c>
    </row>
    <row r="2080" spans="2:10" x14ac:dyDescent="0.3">
      <c r="B2080" s="1" t="s">
        <v>2297</v>
      </c>
      <c r="C2080" s="1" t="s">
        <v>15</v>
      </c>
      <c r="D2080" s="2" t="s">
        <v>584</v>
      </c>
      <c r="E2080" s="2" t="s">
        <v>584</v>
      </c>
      <c r="F2080" s="2" t="s">
        <v>11</v>
      </c>
      <c r="G2080" s="3" t="s">
        <v>2304</v>
      </c>
      <c r="H2080" s="1" t="s">
        <v>12</v>
      </c>
      <c r="I2080" s="1" t="s">
        <v>65</v>
      </c>
      <c r="J2080" s="1" t="s">
        <v>14</v>
      </c>
    </row>
    <row r="2081" spans="2:10" x14ac:dyDescent="0.3">
      <c r="B2081" s="1" t="s">
        <v>2297</v>
      </c>
      <c r="C2081" s="1" t="s">
        <v>21</v>
      </c>
      <c r="D2081" s="2" t="s">
        <v>314</v>
      </c>
      <c r="E2081" s="2" t="s">
        <v>314</v>
      </c>
      <c r="F2081" s="2" t="s">
        <v>11</v>
      </c>
      <c r="G2081" s="3" t="s">
        <v>2305</v>
      </c>
      <c r="H2081" s="1" t="s">
        <v>12</v>
      </c>
      <c r="I2081" s="1" t="s">
        <v>48</v>
      </c>
      <c r="J2081" s="1" t="s">
        <v>14</v>
      </c>
    </row>
    <row r="2082" spans="2:10" x14ac:dyDescent="0.3">
      <c r="B2082" s="1" t="s">
        <v>2297</v>
      </c>
      <c r="C2082" s="1" t="s">
        <v>43</v>
      </c>
      <c r="D2082" s="2" t="s">
        <v>758</v>
      </c>
      <c r="E2082" s="2" t="s">
        <v>758</v>
      </c>
      <c r="F2082" s="2" t="s">
        <v>11</v>
      </c>
      <c r="G2082" s="3" t="s">
        <v>2306</v>
      </c>
      <c r="H2082" s="1" t="s">
        <v>12</v>
      </c>
      <c r="I2082" s="1" t="s">
        <v>27</v>
      </c>
      <c r="J2082" s="1" t="s">
        <v>14</v>
      </c>
    </row>
    <row r="2083" spans="2:10" x14ac:dyDescent="0.3">
      <c r="B2083" s="1" t="s">
        <v>2297</v>
      </c>
      <c r="C2083" s="1" t="s">
        <v>38</v>
      </c>
      <c r="D2083" s="2" t="s">
        <v>859</v>
      </c>
      <c r="E2083" s="2" t="s">
        <v>859</v>
      </c>
      <c r="F2083" s="2" t="s">
        <v>11</v>
      </c>
      <c r="G2083" s="3" t="s">
        <v>347</v>
      </c>
      <c r="H2083" s="1" t="s">
        <v>12</v>
      </c>
      <c r="I2083" s="1" t="s">
        <v>51</v>
      </c>
      <c r="J2083" s="1" t="s">
        <v>14</v>
      </c>
    </row>
    <row r="2084" spans="2:10" x14ac:dyDescent="0.3">
      <c r="B2084" s="1" t="s">
        <v>2297</v>
      </c>
      <c r="C2084" s="1" t="s">
        <v>29</v>
      </c>
      <c r="D2084" s="2" t="s">
        <v>751</v>
      </c>
      <c r="E2084" s="2" t="s">
        <v>751</v>
      </c>
      <c r="F2084" s="2" t="s">
        <v>11</v>
      </c>
      <c r="G2084" s="3" t="s">
        <v>781</v>
      </c>
      <c r="H2084" s="1" t="s">
        <v>12</v>
      </c>
      <c r="I2084" s="1" t="s">
        <v>34</v>
      </c>
      <c r="J2084" s="1" t="s">
        <v>14</v>
      </c>
    </row>
    <row r="2085" spans="2:10" x14ac:dyDescent="0.3">
      <c r="B2085" s="1" t="s">
        <v>2297</v>
      </c>
      <c r="C2085" s="1" t="s">
        <v>19</v>
      </c>
      <c r="D2085" s="2" t="s">
        <v>859</v>
      </c>
      <c r="E2085" s="2" t="s">
        <v>859</v>
      </c>
      <c r="F2085" s="2" t="s">
        <v>11</v>
      </c>
      <c r="G2085" s="3" t="s">
        <v>882</v>
      </c>
      <c r="H2085" s="1" t="s">
        <v>12</v>
      </c>
      <c r="I2085" s="1" t="s">
        <v>50</v>
      </c>
      <c r="J2085" s="1" t="s">
        <v>14</v>
      </c>
    </row>
    <row r="2086" spans="2:10" x14ac:dyDescent="0.3">
      <c r="B2086" s="1" t="s">
        <v>2307</v>
      </c>
      <c r="C2086" s="1" t="s">
        <v>46</v>
      </c>
      <c r="D2086" s="2" t="s">
        <v>727</v>
      </c>
      <c r="E2086" s="2" t="s">
        <v>727</v>
      </c>
      <c r="F2086" s="2" t="s">
        <v>11</v>
      </c>
      <c r="G2086" s="3" t="s">
        <v>270</v>
      </c>
      <c r="H2086" s="1" t="s">
        <v>12</v>
      </c>
      <c r="I2086" s="1" t="s">
        <v>89</v>
      </c>
      <c r="J2086" s="1" t="s">
        <v>14</v>
      </c>
    </row>
    <row r="2087" spans="2:10" x14ac:dyDescent="0.3">
      <c r="B2087" s="1" t="s">
        <v>2307</v>
      </c>
      <c r="C2087" s="1" t="s">
        <v>28</v>
      </c>
      <c r="D2087" s="2" t="s">
        <v>2308</v>
      </c>
      <c r="E2087" s="2" t="s">
        <v>2308</v>
      </c>
      <c r="F2087" s="2" t="s">
        <v>11</v>
      </c>
      <c r="G2087" s="3" t="s">
        <v>2309</v>
      </c>
      <c r="H2087" s="1" t="s">
        <v>12</v>
      </c>
      <c r="I2087" s="1" t="s">
        <v>40</v>
      </c>
      <c r="J2087" s="1" t="s">
        <v>14</v>
      </c>
    </row>
    <row r="2088" spans="2:10" x14ac:dyDescent="0.3">
      <c r="B2088" s="1" t="s">
        <v>2307</v>
      </c>
      <c r="C2088" s="1" t="s">
        <v>36</v>
      </c>
      <c r="D2088" s="2" t="s">
        <v>727</v>
      </c>
      <c r="E2088" s="2" t="s">
        <v>727</v>
      </c>
      <c r="F2088" s="2" t="s">
        <v>11</v>
      </c>
      <c r="G2088" s="3" t="s">
        <v>143</v>
      </c>
      <c r="H2088" s="1" t="s">
        <v>12</v>
      </c>
      <c r="I2088" s="1" t="s">
        <v>42</v>
      </c>
      <c r="J2088" s="1" t="s">
        <v>14</v>
      </c>
    </row>
    <row r="2089" spans="2:10" x14ac:dyDescent="0.3">
      <c r="B2089" s="1" t="s">
        <v>2307</v>
      </c>
      <c r="C2089" s="1" t="s">
        <v>35</v>
      </c>
      <c r="D2089" s="2" t="s">
        <v>783</v>
      </c>
      <c r="E2089" s="2" t="s">
        <v>2310</v>
      </c>
      <c r="F2089" s="2" t="s">
        <v>11</v>
      </c>
      <c r="G2089" s="3" t="s">
        <v>2311</v>
      </c>
      <c r="H2089" s="1" t="s">
        <v>12</v>
      </c>
      <c r="I2089" s="1" t="s">
        <v>10</v>
      </c>
      <c r="J2089" s="1" t="s">
        <v>52</v>
      </c>
    </row>
    <row r="2090" spans="2:10" x14ac:dyDescent="0.3">
      <c r="B2090" s="1" t="s">
        <v>2307</v>
      </c>
      <c r="C2090" s="1" t="s">
        <v>43</v>
      </c>
      <c r="D2090" s="2" t="s">
        <v>2312</v>
      </c>
      <c r="E2090" s="2" t="s">
        <v>2312</v>
      </c>
      <c r="F2090" s="2" t="s">
        <v>11</v>
      </c>
      <c r="G2090" s="3" t="s">
        <v>2313</v>
      </c>
      <c r="H2090" s="1" t="s">
        <v>12</v>
      </c>
      <c r="I2090" s="1" t="s">
        <v>73</v>
      </c>
      <c r="J2090" s="1" t="s">
        <v>14</v>
      </c>
    </row>
    <row r="2091" spans="2:10" x14ac:dyDescent="0.3">
      <c r="B2091" s="1" t="s">
        <v>2307</v>
      </c>
      <c r="C2091" s="1" t="s">
        <v>41</v>
      </c>
      <c r="D2091" s="2" t="s">
        <v>727</v>
      </c>
      <c r="E2091" s="2" t="s">
        <v>727</v>
      </c>
      <c r="F2091" s="2" t="s">
        <v>11</v>
      </c>
      <c r="G2091" s="3" t="s">
        <v>2314</v>
      </c>
      <c r="H2091" s="1" t="s">
        <v>12</v>
      </c>
      <c r="I2091" s="1" t="s">
        <v>64</v>
      </c>
      <c r="J2091" s="1" t="s">
        <v>14</v>
      </c>
    </row>
    <row r="2092" spans="2:10" x14ac:dyDescent="0.3">
      <c r="B2092" s="1" t="s">
        <v>2307</v>
      </c>
      <c r="C2092" s="1" t="s">
        <v>45</v>
      </c>
      <c r="D2092" s="2" t="s">
        <v>2315</v>
      </c>
      <c r="E2092" s="2" t="s">
        <v>2316</v>
      </c>
      <c r="F2092" s="2" t="s">
        <v>11</v>
      </c>
      <c r="G2092" s="3" t="s">
        <v>2317</v>
      </c>
      <c r="H2092" s="1" t="s">
        <v>12</v>
      </c>
      <c r="I2092" s="1" t="s">
        <v>10</v>
      </c>
      <c r="J2092" s="1" t="s">
        <v>52</v>
      </c>
    </row>
    <row r="2093" spans="2:10" x14ac:dyDescent="0.3">
      <c r="B2093" s="1" t="s">
        <v>2307</v>
      </c>
      <c r="C2093" s="1" t="s">
        <v>23</v>
      </c>
      <c r="D2093" s="2" t="s">
        <v>727</v>
      </c>
      <c r="E2093" s="2" t="s">
        <v>727</v>
      </c>
      <c r="F2093" s="2" t="s">
        <v>11</v>
      </c>
      <c r="G2093" s="3" t="s">
        <v>2318</v>
      </c>
      <c r="H2093" s="1" t="s">
        <v>12</v>
      </c>
      <c r="I2093" s="1" t="s">
        <v>69</v>
      </c>
      <c r="J2093" s="1" t="s">
        <v>14</v>
      </c>
    </row>
    <row r="2094" spans="2:10" x14ac:dyDescent="0.3">
      <c r="B2094" s="1" t="s">
        <v>2307</v>
      </c>
      <c r="C2094" s="1" t="s">
        <v>24</v>
      </c>
      <c r="D2094" s="2" t="s">
        <v>727</v>
      </c>
      <c r="E2094" s="2" t="s">
        <v>727</v>
      </c>
      <c r="F2094" s="2" t="s">
        <v>11</v>
      </c>
      <c r="G2094" s="3" t="s">
        <v>2319</v>
      </c>
      <c r="H2094" s="1" t="s">
        <v>12</v>
      </c>
      <c r="I2094" s="1" t="s">
        <v>20</v>
      </c>
      <c r="J2094" s="1" t="s">
        <v>14</v>
      </c>
    </row>
    <row r="2095" spans="2:10" x14ac:dyDescent="0.3">
      <c r="B2095" s="1" t="s">
        <v>2307</v>
      </c>
      <c r="C2095" s="1" t="s">
        <v>31</v>
      </c>
      <c r="D2095" s="2" t="s">
        <v>2320</v>
      </c>
      <c r="E2095" s="2" t="s">
        <v>2320</v>
      </c>
      <c r="F2095" s="2" t="s">
        <v>11</v>
      </c>
      <c r="G2095" s="3" t="s">
        <v>2321</v>
      </c>
      <c r="H2095" s="1" t="s">
        <v>12</v>
      </c>
      <c r="I2095" s="1" t="s">
        <v>62</v>
      </c>
      <c r="J2095" s="1" t="s">
        <v>14</v>
      </c>
    </row>
    <row r="2096" spans="2:10" x14ac:dyDescent="0.3">
      <c r="B2096" s="1" t="s">
        <v>2307</v>
      </c>
      <c r="C2096" s="1" t="s">
        <v>10</v>
      </c>
      <c r="D2096" s="2" t="s">
        <v>727</v>
      </c>
      <c r="E2096" s="2" t="s">
        <v>727</v>
      </c>
      <c r="F2096" s="2" t="s">
        <v>11</v>
      </c>
      <c r="G2096" s="3" t="s">
        <v>1472</v>
      </c>
      <c r="H2096" s="1" t="s">
        <v>12</v>
      </c>
      <c r="I2096" s="1" t="s">
        <v>58</v>
      </c>
      <c r="J2096" s="1" t="s">
        <v>14</v>
      </c>
    </row>
    <row r="2097" spans="2:10" x14ac:dyDescent="0.3">
      <c r="B2097" s="1" t="s">
        <v>2307</v>
      </c>
      <c r="C2097" s="1" t="s">
        <v>21</v>
      </c>
      <c r="D2097" s="2" t="s">
        <v>727</v>
      </c>
      <c r="E2097" s="2" t="s">
        <v>727</v>
      </c>
      <c r="F2097" s="2" t="s">
        <v>11</v>
      </c>
      <c r="G2097" s="3" t="s">
        <v>1181</v>
      </c>
      <c r="H2097" s="1" t="s">
        <v>12</v>
      </c>
      <c r="I2097" s="1" t="s">
        <v>60</v>
      </c>
      <c r="J2097" s="1" t="s">
        <v>14</v>
      </c>
    </row>
    <row r="2098" spans="2:10" x14ac:dyDescent="0.3">
      <c r="B2098" s="1" t="s">
        <v>2307</v>
      </c>
      <c r="C2098" s="1" t="s">
        <v>33</v>
      </c>
      <c r="D2098" s="2" t="s">
        <v>727</v>
      </c>
      <c r="E2098" s="2" t="s">
        <v>727</v>
      </c>
      <c r="F2098" s="2" t="s">
        <v>11</v>
      </c>
      <c r="G2098" s="3" t="s">
        <v>1057</v>
      </c>
      <c r="H2098" s="1" t="s">
        <v>12</v>
      </c>
      <c r="I2098" s="1" t="s">
        <v>53</v>
      </c>
      <c r="J2098" s="1" t="s">
        <v>14</v>
      </c>
    </row>
    <row r="2099" spans="2:10" x14ac:dyDescent="0.3">
      <c r="B2099" s="1" t="s">
        <v>2307</v>
      </c>
      <c r="C2099" s="1" t="s">
        <v>19</v>
      </c>
      <c r="D2099" s="2" t="s">
        <v>727</v>
      </c>
      <c r="E2099" s="2" t="s">
        <v>727</v>
      </c>
      <c r="F2099" s="2" t="s">
        <v>11</v>
      </c>
      <c r="G2099" s="3" t="s">
        <v>2322</v>
      </c>
      <c r="H2099" s="1" t="s">
        <v>12</v>
      </c>
      <c r="I2099" s="1" t="s">
        <v>87</v>
      </c>
      <c r="J2099" s="1" t="s">
        <v>14</v>
      </c>
    </row>
    <row r="2100" spans="2:10" x14ac:dyDescent="0.3">
      <c r="B2100" s="1" t="s">
        <v>2307</v>
      </c>
      <c r="C2100" s="1" t="s">
        <v>17</v>
      </c>
      <c r="D2100" s="2" t="s">
        <v>2323</v>
      </c>
      <c r="E2100" s="2" t="s">
        <v>2323</v>
      </c>
      <c r="F2100" s="2" t="s">
        <v>11</v>
      </c>
      <c r="G2100" s="3" t="s">
        <v>2324</v>
      </c>
      <c r="H2100" s="1" t="s">
        <v>12</v>
      </c>
      <c r="I2100" s="1" t="s">
        <v>87</v>
      </c>
      <c r="J2100" s="1" t="s">
        <v>14</v>
      </c>
    </row>
    <row r="2101" spans="2:10" x14ac:dyDescent="0.3">
      <c r="B2101" s="1" t="s">
        <v>2307</v>
      </c>
      <c r="C2101" s="1" t="s">
        <v>29</v>
      </c>
      <c r="D2101" s="2" t="s">
        <v>727</v>
      </c>
      <c r="E2101" s="2" t="s">
        <v>727</v>
      </c>
      <c r="F2101" s="2" t="s">
        <v>11</v>
      </c>
      <c r="G2101" s="3" t="s">
        <v>2325</v>
      </c>
      <c r="H2101" s="1" t="s">
        <v>12</v>
      </c>
      <c r="I2101" s="1" t="s">
        <v>25</v>
      </c>
      <c r="J2101" s="1" t="s">
        <v>14</v>
      </c>
    </row>
    <row r="2102" spans="2:10" x14ac:dyDescent="0.3">
      <c r="B2102" s="1" t="s">
        <v>2307</v>
      </c>
      <c r="C2102" s="1" t="s">
        <v>15</v>
      </c>
      <c r="D2102" s="2" t="s">
        <v>2323</v>
      </c>
      <c r="E2102" s="2" t="s">
        <v>2323</v>
      </c>
      <c r="F2102" s="2" t="s">
        <v>11</v>
      </c>
      <c r="G2102" s="3" t="s">
        <v>1152</v>
      </c>
      <c r="H2102" s="1" t="s">
        <v>12</v>
      </c>
      <c r="I2102" s="1" t="s">
        <v>66</v>
      </c>
      <c r="J2102" s="1" t="s">
        <v>14</v>
      </c>
    </row>
    <row r="2103" spans="2:10" x14ac:dyDescent="0.3">
      <c r="B2103" s="1" t="s">
        <v>2307</v>
      </c>
      <c r="C2103" s="1" t="s">
        <v>39</v>
      </c>
      <c r="D2103" s="2" t="s">
        <v>526</v>
      </c>
      <c r="E2103" s="2" t="s">
        <v>526</v>
      </c>
      <c r="F2103" s="2" t="s">
        <v>11</v>
      </c>
      <c r="G2103" s="3" t="s">
        <v>1767</v>
      </c>
      <c r="H2103" s="1" t="s">
        <v>12</v>
      </c>
      <c r="I2103" s="1" t="s">
        <v>30</v>
      </c>
      <c r="J2103" s="1" t="s">
        <v>14</v>
      </c>
    </row>
    <row r="2104" spans="2:10" x14ac:dyDescent="0.3">
      <c r="B2104" s="1" t="s">
        <v>2307</v>
      </c>
      <c r="C2104" s="1" t="s">
        <v>38</v>
      </c>
      <c r="D2104" s="2" t="s">
        <v>2323</v>
      </c>
      <c r="E2104" s="2" t="s">
        <v>2323</v>
      </c>
      <c r="F2104" s="2" t="s">
        <v>11</v>
      </c>
      <c r="G2104" s="3" t="s">
        <v>2326</v>
      </c>
      <c r="H2104" s="1" t="s">
        <v>12</v>
      </c>
      <c r="I2104" s="1" t="s">
        <v>40</v>
      </c>
      <c r="J2104" s="1" t="s">
        <v>14</v>
      </c>
    </row>
    <row r="2105" spans="2:10" x14ac:dyDescent="0.3">
      <c r="B2105" s="1" t="s">
        <v>2307</v>
      </c>
      <c r="C2105" s="1" t="s">
        <v>26</v>
      </c>
      <c r="D2105" s="2" t="s">
        <v>2312</v>
      </c>
      <c r="E2105" s="2" t="s">
        <v>2312</v>
      </c>
      <c r="F2105" s="2" t="s">
        <v>11</v>
      </c>
      <c r="G2105" s="3" t="s">
        <v>2327</v>
      </c>
      <c r="H2105" s="1" t="s">
        <v>12</v>
      </c>
      <c r="I2105" s="1" t="s">
        <v>71</v>
      </c>
      <c r="J2105" s="1" t="s">
        <v>14</v>
      </c>
    </row>
    <row r="2106" spans="2:10" x14ac:dyDescent="0.3">
      <c r="B2106" s="1" t="s">
        <v>2328</v>
      </c>
      <c r="C2106" s="1" t="s">
        <v>19</v>
      </c>
      <c r="D2106" s="2" t="s">
        <v>1003</v>
      </c>
      <c r="E2106" s="2" t="s">
        <v>1003</v>
      </c>
      <c r="F2106" s="2" t="s">
        <v>11</v>
      </c>
      <c r="G2106" s="3" t="s">
        <v>2329</v>
      </c>
      <c r="H2106" s="1" t="s">
        <v>12</v>
      </c>
      <c r="I2106" s="1" t="s">
        <v>56</v>
      </c>
      <c r="J2106" s="1" t="s">
        <v>14</v>
      </c>
    </row>
    <row r="2107" spans="2:10" x14ac:dyDescent="0.3">
      <c r="B2107" s="1" t="s">
        <v>2328</v>
      </c>
      <c r="C2107" s="1" t="s">
        <v>46</v>
      </c>
      <c r="D2107" s="2" t="s">
        <v>231</v>
      </c>
      <c r="E2107" s="2" t="s">
        <v>231</v>
      </c>
      <c r="F2107" s="2" t="s">
        <v>11</v>
      </c>
      <c r="G2107" s="3" t="s">
        <v>2330</v>
      </c>
      <c r="H2107" s="1" t="s">
        <v>12</v>
      </c>
      <c r="I2107" s="1" t="s">
        <v>16</v>
      </c>
      <c r="J2107" s="1" t="s">
        <v>14</v>
      </c>
    </row>
    <row r="2108" spans="2:10" x14ac:dyDescent="0.3">
      <c r="B2108" s="1" t="s">
        <v>2328</v>
      </c>
      <c r="C2108" s="1" t="s">
        <v>28</v>
      </c>
      <c r="D2108" s="2" t="s">
        <v>1003</v>
      </c>
      <c r="E2108" s="2" t="s">
        <v>1003</v>
      </c>
      <c r="F2108" s="2" t="s">
        <v>11</v>
      </c>
      <c r="G2108" s="3" t="s">
        <v>2331</v>
      </c>
      <c r="H2108" s="1" t="s">
        <v>12</v>
      </c>
      <c r="I2108" s="1" t="s">
        <v>63</v>
      </c>
      <c r="J2108" s="1" t="s">
        <v>14</v>
      </c>
    </row>
    <row r="2109" spans="2:10" x14ac:dyDescent="0.3">
      <c r="B2109" s="1" t="s">
        <v>2328</v>
      </c>
      <c r="C2109" s="1" t="s">
        <v>29</v>
      </c>
      <c r="D2109" s="2" t="s">
        <v>1180</v>
      </c>
      <c r="E2109" s="2" t="s">
        <v>1180</v>
      </c>
      <c r="F2109" s="2" t="s">
        <v>11</v>
      </c>
      <c r="G2109" s="3" t="s">
        <v>2332</v>
      </c>
      <c r="H2109" s="1" t="s">
        <v>12</v>
      </c>
      <c r="I2109" s="1" t="s">
        <v>69</v>
      </c>
      <c r="J2109" s="1" t="s">
        <v>14</v>
      </c>
    </row>
    <row r="2110" spans="2:10" x14ac:dyDescent="0.3">
      <c r="B2110" s="1" t="s">
        <v>2328</v>
      </c>
      <c r="C2110" s="1" t="s">
        <v>24</v>
      </c>
      <c r="D2110" s="2" t="s">
        <v>1003</v>
      </c>
      <c r="E2110" s="2" t="s">
        <v>1003</v>
      </c>
      <c r="F2110" s="2" t="s">
        <v>11</v>
      </c>
      <c r="G2110" s="3" t="s">
        <v>567</v>
      </c>
      <c r="H2110" s="1" t="s">
        <v>12</v>
      </c>
      <c r="I2110" s="1" t="s">
        <v>42</v>
      </c>
      <c r="J2110" s="1" t="s">
        <v>14</v>
      </c>
    </row>
    <row r="2111" spans="2:10" x14ac:dyDescent="0.3">
      <c r="B2111" s="1" t="s">
        <v>2328</v>
      </c>
      <c r="C2111" s="1" t="s">
        <v>43</v>
      </c>
      <c r="D2111" s="2" t="s">
        <v>1003</v>
      </c>
      <c r="E2111" s="2" t="s">
        <v>1003</v>
      </c>
      <c r="F2111" s="2" t="s">
        <v>11</v>
      </c>
      <c r="G2111" s="3" t="s">
        <v>2333</v>
      </c>
      <c r="H2111" s="1" t="s">
        <v>12</v>
      </c>
      <c r="I2111" s="1" t="s">
        <v>42</v>
      </c>
      <c r="J2111" s="1" t="s">
        <v>14</v>
      </c>
    </row>
    <row r="2112" spans="2:10" x14ac:dyDescent="0.3">
      <c r="B2112" s="1" t="s">
        <v>2328</v>
      </c>
      <c r="C2112" s="1" t="s">
        <v>39</v>
      </c>
      <c r="D2112" s="2" t="s">
        <v>231</v>
      </c>
      <c r="E2112" s="2" t="s">
        <v>231</v>
      </c>
      <c r="F2112" s="2" t="s">
        <v>11</v>
      </c>
      <c r="G2112" s="3" t="s">
        <v>2334</v>
      </c>
      <c r="H2112" s="1" t="s">
        <v>12</v>
      </c>
      <c r="I2112" s="1" t="s">
        <v>25</v>
      </c>
      <c r="J2112" s="1" t="s">
        <v>14</v>
      </c>
    </row>
    <row r="2113" spans="2:10" x14ac:dyDescent="0.3">
      <c r="B2113" s="1" t="s">
        <v>2328</v>
      </c>
      <c r="C2113" s="1" t="s">
        <v>31</v>
      </c>
      <c r="D2113" s="2" t="s">
        <v>1003</v>
      </c>
      <c r="E2113" s="2" t="s">
        <v>1003</v>
      </c>
      <c r="F2113" s="2" t="s">
        <v>11</v>
      </c>
      <c r="G2113" s="3" t="s">
        <v>2335</v>
      </c>
      <c r="H2113" s="1" t="s">
        <v>12</v>
      </c>
      <c r="I2113" s="1" t="s">
        <v>34</v>
      </c>
      <c r="J2113" s="1" t="s">
        <v>14</v>
      </c>
    </row>
    <row r="2114" spans="2:10" x14ac:dyDescent="0.3">
      <c r="B2114" s="1" t="s">
        <v>2328</v>
      </c>
      <c r="C2114" s="1" t="s">
        <v>33</v>
      </c>
      <c r="D2114" s="2" t="s">
        <v>1485</v>
      </c>
      <c r="E2114" s="2" t="s">
        <v>1485</v>
      </c>
      <c r="F2114" s="2" t="s">
        <v>11</v>
      </c>
      <c r="G2114" s="3" t="s">
        <v>2336</v>
      </c>
      <c r="H2114" s="1" t="s">
        <v>12</v>
      </c>
      <c r="I2114" s="1" t="s">
        <v>18</v>
      </c>
      <c r="J2114" s="1" t="s">
        <v>14</v>
      </c>
    </row>
    <row r="2115" spans="2:10" x14ac:dyDescent="0.3">
      <c r="B2115" s="1" t="s">
        <v>2328</v>
      </c>
      <c r="C2115" s="1" t="s">
        <v>23</v>
      </c>
      <c r="D2115" s="2" t="s">
        <v>1003</v>
      </c>
      <c r="E2115" s="2" t="s">
        <v>1003</v>
      </c>
      <c r="F2115" s="2" t="s">
        <v>11</v>
      </c>
      <c r="G2115" s="3" t="s">
        <v>2337</v>
      </c>
      <c r="H2115" s="1" t="s">
        <v>12</v>
      </c>
      <c r="I2115" s="1" t="s">
        <v>56</v>
      </c>
      <c r="J2115" s="1" t="s">
        <v>14</v>
      </c>
    </row>
    <row r="2116" spans="2:10" x14ac:dyDescent="0.3">
      <c r="B2116" s="1" t="s">
        <v>2328</v>
      </c>
      <c r="C2116" s="1" t="s">
        <v>35</v>
      </c>
      <c r="D2116" s="2" t="s">
        <v>1003</v>
      </c>
      <c r="E2116" s="2" t="s">
        <v>1003</v>
      </c>
      <c r="F2116" s="2" t="s">
        <v>11</v>
      </c>
      <c r="G2116" s="3" t="s">
        <v>2338</v>
      </c>
      <c r="H2116" s="1" t="s">
        <v>12</v>
      </c>
      <c r="I2116" s="1" t="s">
        <v>55</v>
      </c>
      <c r="J2116" s="1" t="s">
        <v>14</v>
      </c>
    </row>
    <row r="2117" spans="2:10" x14ac:dyDescent="0.3">
      <c r="B2117" s="1" t="s">
        <v>2328</v>
      </c>
      <c r="C2117" s="1" t="s">
        <v>17</v>
      </c>
      <c r="D2117" s="2" t="s">
        <v>2339</v>
      </c>
      <c r="E2117" s="2" t="s">
        <v>2339</v>
      </c>
      <c r="F2117" s="2" t="s">
        <v>11</v>
      </c>
      <c r="G2117" s="3" t="s">
        <v>2340</v>
      </c>
      <c r="H2117" s="1" t="s">
        <v>12</v>
      </c>
      <c r="I2117" s="1" t="s">
        <v>46</v>
      </c>
      <c r="J2117" s="1" t="s">
        <v>52</v>
      </c>
    </row>
    <row r="2118" spans="2:10" x14ac:dyDescent="0.3">
      <c r="B2118" s="1" t="s">
        <v>2328</v>
      </c>
      <c r="C2118" s="1" t="s">
        <v>15</v>
      </c>
      <c r="D2118" s="2" t="s">
        <v>1003</v>
      </c>
      <c r="E2118" s="2" t="s">
        <v>1003</v>
      </c>
      <c r="F2118" s="2" t="s">
        <v>11</v>
      </c>
      <c r="G2118" s="3" t="s">
        <v>407</v>
      </c>
      <c r="H2118" s="1" t="s">
        <v>12</v>
      </c>
      <c r="I2118" s="1" t="s">
        <v>76</v>
      </c>
      <c r="J2118" s="1" t="s">
        <v>14</v>
      </c>
    </row>
    <row r="2119" spans="2:10" x14ac:dyDescent="0.3">
      <c r="B2119" s="1" t="s">
        <v>2328</v>
      </c>
      <c r="C2119" s="1" t="s">
        <v>21</v>
      </c>
      <c r="D2119" s="2" t="s">
        <v>1485</v>
      </c>
      <c r="E2119" s="2" t="s">
        <v>1485</v>
      </c>
      <c r="F2119" s="2" t="s">
        <v>11</v>
      </c>
      <c r="G2119" s="3" t="s">
        <v>2341</v>
      </c>
      <c r="H2119" s="1" t="s">
        <v>12</v>
      </c>
      <c r="I2119" s="1" t="s">
        <v>18</v>
      </c>
      <c r="J2119" s="1" t="s">
        <v>14</v>
      </c>
    </row>
    <row r="2120" spans="2:10" x14ac:dyDescent="0.3">
      <c r="B2120" s="1" t="s">
        <v>2328</v>
      </c>
      <c r="C2120" s="1" t="s">
        <v>41</v>
      </c>
      <c r="D2120" s="2" t="s">
        <v>842</v>
      </c>
      <c r="E2120" s="2" t="s">
        <v>842</v>
      </c>
      <c r="F2120" s="2" t="s">
        <v>11</v>
      </c>
      <c r="G2120" s="3" t="s">
        <v>2342</v>
      </c>
      <c r="H2120" s="1" t="s">
        <v>12</v>
      </c>
      <c r="I2120" s="1" t="s">
        <v>94</v>
      </c>
      <c r="J2120" s="1" t="s">
        <v>14</v>
      </c>
    </row>
    <row r="2121" spans="2:10" x14ac:dyDescent="0.3">
      <c r="B2121" s="1" t="s">
        <v>2328</v>
      </c>
      <c r="C2121" s="1" t="s">
        <v>45</v>
      </c>
      <c r="D2121" s="2" t="s">
        <v>1003</v>
      </c>
      <c r="E2121" s="2" t="s">
        <v>1003</v>
      </c>
      <c r="F2121" s="2" t="s">
        <v>11</v>
      </c>
      <c r="G2121" s="3" t="s">
        <v>2343</v>
      </c>
      <c r="H2121" s="1" t="s">
        <v>12</v>
      </c>
      <c r="I2121" s="1" t="s">
        <v>44</v>
      </c>
      <c r="J2121" s="1" t="s">
        <v>14</v>
      </c>
    </row>
    <row r="2122" spans="2:10" x14ac:dyDescent="0.3">
      <c r="B2122" s="1" t="s">
        <v>2328</v>
      </c>
      <c r="C2122" s="1" t="s">
        <v>26</v>
      </c>
      <c r="D2122" s="2" t="s">
        <v>1003</v>
      </c>
      <c r="E2122" s="2" t="s">
        <v>1003</v>
      </c>
      <c r="F2122" s="2" t="s">
        <v>11</v>
      </c>
      <c r="G2122" s="3" t="s">
        <v>2344</v>
      </c>
      <c r="H2122" s="1" t="s">
        <v>12</v>
      </c>
      <c r="I2122" s="1" t="s">
        <v>76</v>
      </c>
      <c r="J2122" s="1" t="s">
        <v>14</v>
      </c>
    </row>
    <row r="2123" spans="2:10" x14ac:dyDescent="0.3">
      <c r="B2123" s="1" t="s">
        <v>2328</v>
      </c>
      <c r="C2123" s="1" t="s">
        <v>10</v>
      </c>
      <c r="D2123" s="2" t="s">
        <v>1003</v>
      </c>
      <c r="E2123" s="2" t="s">
        <v>1003</v>
      </c>
      <c r="F2123" s="2" t="s">
        <v>11</v>
      </c>
      <c r="G2123" s="3" t="s">
        <v>2345</v>
      </c>
      <c r="H2123" s="1" t="s">
        <v>12</v>
      </c>
      <c r="I2123" s="1" t="s">
        <v>50</v>
      </c>
      <c r="J2123" s="1" t="s">
        <v>14</v>
      </c>
    </row>
    <row r="2124" spans="2:10" x14ac:dyDescent="0.3">
      <c r="B2124" s="1" t="s">
        <v>2328</v>
      </c>
      <c r="C2124" s="1" t="s">
        <v>38</v>
      </c>
      <c r="D2124" s="2" t="s">
        <v>1485</v>
      </c>
      <c r="E2124" s="2" t="s">
        <v>1485</v>
      </c>
      <c r="F2124" s="2" t="s">
        <v>11</v>
      </c>
      <c r="G2124" s="3" t="s">
        <v>1176</v>
      </c>
      <c r="H2124" s="1" t="s">
        <v>12</v>
      </c>
      <c r="I2124" s="1" t="s">
        <v>42</v>
      </c>
      <c r="J2124" s="1" t="s">
        <v>14</v>
      </c>
    </row>
    <row r="2125" spans="2:10" x14ac:dyDescent="0.3">
      <c r="B2125" s="1" t="s">
        <v>2328</v>
      </c>
      <c r="C2125" s="1" t="s">
        <v>36</v>
      </c>
      <c r="D2125" s="2" t="s">
        <v>462</v>
      </c>
      <c r="E2125" s="2" t="s">
        <v>462</v>
      </c>
      <c r="F2125" s="2" t="s">
        <v>11</v>
      </c>
      <c r="G2125" s="3" t="s">
        <v>2346</v>
      </c>
      <c r="H2125" s="1" t="s">
        <v>12</v>
      </c>
      <c r="I2125" s="1" t="s">
        <v>18</v>
      </c>
      <c r="J2125" s="1" t="s">
        <v>14</v>
      </c>
    </row>
    <row r="2126" spans="2:10" x14ac:dyDescent="0.3">
      <c r="B2126" s="1" t="s">
        <v>2347</v>
      </c>
      <c r="C2126" s="1" t="s">
        <v>46</v>
      </c>
      <c r="D2126" s="2" t="s">
        <v>439</v>
      </c>
      <c r="E2126" s="2" t="s">
        <v>439</v>
      </c>
      <c r="F2126" s="2" t="s">
        <v>11</v>
      </c>
      <c r="G2126" s="3" t="s">
        <v>1849</v>
      </c>
      <c r="H2126" s="1" t="s">
        <v>12</v>
      </c>
      <c r="I2126" s="1" t="s">
        <v>59</v>
      </c>
      <c r="J2126" s="1" t="s">
        <v>14</v>
      </c>
    </row>
    <row r="2127" spans="2:10" x14ac:dyDescent="0.3">
      <c r="B2127" s="1" t="s">
        <v>2347</v>
      </c>
      <c r="C2127" s="1" t="s">
        <v>19</v>
      </c>
      <c r="D2127" s="2" t="s">
        <v>438</v>
      </c>
      <c r="E2127" s="2" t="s">
        <v>438</v>
      </c>
      <c r="F2127" s="2" t="s">
        <v>11</v>
      </c>
      <c r="G2127" s="3" t="s">
        <v>338</v>
      </c>
      <c r="H2127" s="1" t="s">
        <v>12</v>
      </c>
      <c r="I2127" s="1" t="s">
        <v>50</v>
      </c>
      <c r="J2127" s="1" t="s">
        <v>14</v>
      </c>
    </row>
    <row r="2128" spans="2:10" x14ac:dyDescent="0.3">
      <c r="B2128" s="1" t="s">
        <v>2347</v>
      </c>
      <c r="C2128" s="1" t="s">
        <v>17</v>
      </c>
      <c r="D2128" s="2" t="s">
        <v>987</v>
      </c>
      <c r="E2128" s="2" t="s">
        <v>337</v>
      </c>
      <c r="F2128" s="2" t="s">
        <v>11</v>
      </c>
      <c r="G2128" s="3" t="s">
        <v>793</v>
      </c>
      <c r="H2128" s="1" t="s">
        <v>12</v>
      </c>
      <c r="I2128" s="1" t="s">
        <v>46</v>
      </c>
      <c r="J2128" s="1" t="s">
        <v>52</v>
      </c>
    </row>
    <row r="2129" spans="2:10" x14ac:dyDescent="0.3">
      <c r="B2129" s="1" t="s">
        <v>2347</v>
      </c>
      <c r="C2129" s="1" t="s">
        <v>21</v>
      </c>
      <c r="D2129" s="2" t="s">
        <v>433</v>
      </c>
      <c r="E2129" s="2" t="s">
        <v>433</v>
      </c>
      <c r="F2129" s="2" t="s">
        <v>11</v>
      </c>
      <c r="G2129" s="3" t="s">
        <v>2348</v>
      </c>
      <c r="H2129" s="1" t="s">
        <v>12</v>
      </c>
      <c r="I2129" s="1" t="s">
        <v>25</v>
      </c>
      <c r="J2129" s="1" t="s">
        <v>14</v>
      </c>
    </row>
    <row r="2130" spans="2:10" x14ac:dyDescent="0.3">
      <c r="B2130" s="1" t="s">
        <v>2347</v>
      </c>
      <c r="C2130" s="1" t="s">
        <v>29</v>
      </c>
      <c r="D2130" s="2" t="s">
        <v>777</v>
      </c>
      <c r="E2130" s="2" t="s">
        <v>777</v>
      </c>
      <c r="F2130" s="2" t="s">
        <v>11</v>
      </c>
      <c r="G2130" s="3" t="s">
        <v>2349</v>
      </c>
      <c r="H2130" s="1" t="s">
        <v>12</v>
      </c>
      <c r="I2130" s="1" t="s">
        <v>40</v>
      </c>
      <c r="J2130" s="1" t="s">
        <v>14</v>
      </c>
    </row>
    <row r="2131" spans="2:10" x14ac:dyDescent="0.3">
      <c r="B2131" s="1" t="s">
        <v>2347</v>
      </c>
      <c r="C2131" s="1" t="s">
        <v>41</v>
      </c>
      <c r="D2131" s="2" t="s">
        <v>584</v>
      </c>
      <c r="E2131" s="2" t="s">
        <v>584</v>
      </c>
      <c r="F2131" s="2" t="s">
        <v>11</v>
      </c>
      <c r="G2131" s="3" t="s">
        <v>2350</v>
      </c>
      <c r="H2131" s="1" t="s">
        <v>12</v>
      </c>
      <c r="I2131" s="1" t="s">
        <v>58</v>
      </c>
      <c r="J2131" s="1" t="s">
        <v>14</v>
      </c>
    </row>
    <row r="2132" spans="2:10" x14ac:dyDescent="0.3">
      <c r="B2132" s="1" t="s">
        <v>2347</v>
      </c>
      <c r="C2132" s="1" t="s">
        <v>24</v>
      </c>
      <c r="D2132" s="2" t="s">
        <v>433</v>
      </c>
      <c r="E2132" s="2" t="s">
        <v>433</v>
      </c>
      <c r="F2132" s="2" t="s">
        <v>11</v>
      </c>
      <c r="G2132" s="3" t="s">
        <v>2351</v>
      </c>
      <c r="H2132" s="1" t="s">
        <v>12</v>
      </c>
      <c r="I2132" s="1" t="s">
        <v>65</v>
      </c>
      <c r="J2132" s="1" t="s">
        <v>14</v>
      </c>
    </row>
    <row r="2133" spans="2:10" x14ac:dyDescent="0.3">
      <c r="B2133" s="1" t="s">
        <v>2347</v>
      </c>
      <c r="C2133" s="1" t="s">
        <v>43</v>
      </c>
      <c r="D2133" s="2" t="s">
        <v>200</v>
      </c>
      <c r="E2133" s="2" t="s">
        <v>200</v>
      </c>
      <c r="F2133" s="2" t="s">
        <v>11</v>
      </c>
      <c r="G2133" s="3" t="s">
        <v>2352</v>
      </c>
      <c r="H2133" s="1" t="s">
        <v>12</v>
      </c>
      <c r="I2133" s="1" t="s">
        <v>34</v>
      </c>
      <c r="J2133" s="1" t="s">
        <v>14</v>
      </c>
    </row>
    <row r="2134" spans="2:10" x14ac:dyDescent="0.3">
      <c r="B2134" s="1" t="s">
        <v>2347</v>
      </c>
      <c r="C2134" s="1" t="s">
        <v>45</v>
      </c>
      <c r="D2134" s="2" t="s">
        <v>439</v>
      </c>
      <c r="E2134" s="2" t="s">
        <v>439</v>
      </c>
      <c r="F2134" s="2" t="s">
        <v>11</v>
      </c>
      <c r="G2134" s="3" t="s">
        <v>2353</v>
      </c>
      <c r="H2134" s="1" t="s">
        <v>12</v>
      </c>
      <c r="I2134" s="1" t="s">
        <v>66</v>
      </c>
      <c r="J2134" s="1" t="s">
        <v>14</v>
      </c>
    </row>
    <row r="2135" spans="2:10" x14ac:dyDescent="0.3">
      <c r="B2135" s="1" t="s">
        <v>2347</v>
      </c>
      <c r="C2135" s="1" t="s">
        <v>38</v>
      </c>
      <c r="D2135" s="2" t="s">
        <v>439</v>
      </c>
      <c r="E2135" s="2" t="s">
        <v>439</v>
      </c>
      <c r="F2135" s="2" t="s">
        <v>11</v>
      </c>
      <c r="G2135" s="3" t="s">
        <v>2354</v>
      </c>
      <c r="H2135" s="1" t="s">
        <v>12</v>
      </c>
      <c r="I2135" s="1" t="s">
        <v>51</v>
      </c>
      <c r="J2135" s="1" t="s">
        <v>14</v>
      </c>
    </row>
    <row r="2136" spans="2:10" x14ac:dyDescent="0.3">
      <c r="B2136" s="1" t="s">
        <v>2347</v>
      </c>
      <c r="C2136" s="1" t="s">
        <v>10</v>
      </c>
      <c r="D2136" s="2" t="s">
        <v>1123</v>
      </c>
      <c r="E2136" s="2" t="s">
        <v>316</v>
      </c>
      <c r="F2136" s="2" t="s">
        <v>11</v>
      </c>
      <c r="G2136" s="3" t="s">
        <v>2355</v>
      </c>
      <c r="H2136" s="1" t="s">
        <v>12</v>
      </c>
      <c r="I2136" s="1" t="s">
        <v>35</v>
      </c>
      <c r="J2136" s="1" t="s">
        <v>52</v>
      </c>
    </row>
    <row r="2137" spans="2:10" x14ac:dyDescent="0.3">
      <c r="B2137" s="1" t="s">
        <v>2347</v>
      </c>
      <c r="C2137" s="1" t="s">
        <v>28</v>
      </c>
      <c r="D2137" s="2" t="s">
        <v>439</v>
      </c>
      <c r="E2137" s="2" t="s">
        <v>439</v>
      </c>
      <c r="F2137" s="2" t="s">
        <v>11</v>
      </c>
      <c r="G2137" s="3" t="s">
        <v>2356</v>
      </c>
      <c r="H2137" s="1" t="s">
        <v>12</v>
      </c>
      <c r="I2137" s="1" t="s">
        <v>50</v>
      </c>
      <c r="J2137" s="1" t="s">
        <v>14</v>
      </c>
    </row>
    <row r="2138" spans="2:10" x14ac:dyDescent="0.3">
      <c r="B2138" s="1" t="s">
        <v>2347</v>
      </c>
      <c r="C2138" s="1" t="s">
        <v>23</v>
      </c>
      <c r="D2138" s="2" t="s">
        <v>777</v>
      </c>
      <c r="E2138" s="2" t="s">
        <v>777</v>
      </c>
      <c r="F2138" s="2" t="s">
        <v>11</v>
      </c>
      <c r="G2138" s="3" t="s">
        <v>2357</v>
      </c>
      <c r="H2138" s="1" t="s">
        <v>12</v>
      </c>
      <c r="I2138" s="1" t="s">
        <v>42</v>
      </c>
      <c r="J2138" s="1" t="s">
        <v>14</v>
      </c>
    </row>
    <row r="2139" spans="2:10" x14ac:dyDescent="0.3">
      <c r="B2139" s="1" t="s">
        <v>2347</v>
      </c>
      <c r="C2139" s="1" t="s">
        <v>31</v>
      </c>
      <c r="D2139" s="2" t="s">
        <v>439</v>
      </c>
      <c r="E2139" s="2" t="s">
        <v>439</v>
      </c>
      <c r="F2139" s="2" t="s">
        <v>11</v>
      </c>
      <c r="G2139" s="3" t="s">
        <v>2358</v>
      </c>
      <c r="H2139" s="1" t="s">
        <v>12</v>
      </c>
      <c r="I2139" s="1" t="s">
        <v>25</v>
      </c>
      <c r="J2139" s="1" t="s">
        <v>14</v>
      </c>
    </row>
    <row r="2140" spans="2:10" x14ac:dyDescent="0.3">
      <c r="B2140" s="1" t="s">
        <v>2347</v>
      </c>
      <c r="C2140" s="1" t="s">
        <v>15</v>
      </c>
      <c r="D2140" s="2" t="s">
        <v>182</v>
      </c>
      <c r="E2140" s="2" t="s">
        <v>182</v>
      </c>
      <c r="F2140" s="2" t="s">
        <v>11</v>
      </c>
      <c r="G2140" s="3" t="s">
        <v>2359</v>
      </c>
      <c r="H2140" s="1" t="s">
        <v>12</v>
      </c>
      <c r="I2140" s="1" t="s">
        <v>49</v>
      </c>
      <c r="J2140" s="1" t="s">
        <v>14</v>
      </c>
    </row>
    <row r="2141" spans="2:10" x14ac:dyDescent="0.3">
      <c r="B2141" s="1" t="s">
        <v>2347</v>
      </c>
      <c r="C2141" s="1" t="s">
        <v>35</v>
      </c>
      <c r="D2141" s="2" t="s">
        <v>584</v>
      </c>
      <c r="E2141" s="2" t="s">
        <v>584</v>
      </c>
      <c r="F2141" s="2" t="s">
        <v>11</v>
      </c>
      <c r="G2141" s="3" t="s">
        <v>2360</v>
      </c>
      <c r="H2141" s="1" t="s">
        <v>12</v>
      </c>
      <c r="I2141" s="1" t="s">
        <v>51</v>
      </c>
      <c r="J2141" s="1" t="s">
        <v>14</v>
      </c>
    </row>
    <row r="2142" spans="2:10" x14ac:dyDescent="0.3">
      <c r="B2142" s="1" t="s">
        <v>2347</v>
      </c>
      <c r="C2142" s="1" t="s">
        <v>39</v>
      </c>
      <c r="D2142" s="2" t="s">
        <v>182</v>
      </c>
      <c r="E2142" s="2" t="s">
        <v>182</v>
      </c>
      <c r="F2142" s="2" t="s">
        <v>11</v>
      </c>
      <c r="G2142" s="3" t="s">
        <v>2361</v>
      </c>
      <c r="H2142" s="1" t="s">
        <v>12</v>
      </c>
      <c r="I2142" s="1" t="s">
        <v>16</v>
      </c>
      <c r="J2142" s="1" t="s">
        <v>14</v>
      </c>
    </row>
    <row r="2143" spans="2:10" x14ac:dyDescent="0.3">
      <c r="B2143" s="1" t="s">
        <v>2347</v>
      </c>
      <c r="C2143" s="1" t="s">
        <v>26</v>
      </c>
      <c r="D2143" s="2" t="s">
        <v>859</v>
      </c>
      <c r="E2143" s="2" t="s">
        <v>859</v>
      </c>
      <c r="F2143" s="2" t="s">
        <v>11</v>
      </c>
      <c r="G2143" s="3" t="s">
        <v>2362</v>
      </c>
      <c r="H2143" s="1" t="s">
        <v>12</v>
      </c>
      <c r="I2143" s="1" t="s">
        <v>64</v>
      </c>
      <c r="J2143" s="1" t="s">
        <v>14</v>
      </c>
    </row>
    <row r="2144" spans="2:10" x14ac:dyDescent="0.3">
      <c r="B2144" s="1" t="s">
        <v>2347</v>
      </c>
      <c r="C2144" s="1" t="s">
        <v>33</v>
      </c>
      <c r="D2144" s="2" t="s">
        <v>777</v>
      </c>
      <c r="E2144" s="2" t="s">
        <v>777</v>
      </c>
      <c r="F2144" s="2" t="s">
        <v>11</v>
      </c>
      <c r="G2144" s="3" t="s">
        <v>2363</v>
      </c>
      <c r="H2144" s="1" t="s">
        <v>12</v>
      </c>
      <c r="I2144" s="1" t="s">
        <v>13</v>
      </c>
      <c r="J2144" s="1" t="s">
        <v>14</v>
      </c>
    </row>
    <row r="2145" spans="2:10" x14ac:dyDescent="0.3">
      <c r="B2145" s="1" t="s">
        <v>2347</v>
      </c>
      <c r="C2145" s="1" t="s">
        <v>36</v>
      </c>
      <c r="D2145" s="2" t="s">
        <v>439</v>
      </c>
      <c r="E2145" s="2" t="s">
        <v>439</v>
      </c>
      <c r="F2145" s="2" t="s">
        <v>11</v>
      </c>
      <c r="G2145" s="3" t="s">
        <v>1539</v>
      </c>
      <c r="H2145" s="1" t="s">
        <v>12</v>
      </c>
      <c r="I2145" s="1" t="s">
        <v>47</v>
      </c>
      <c r="J2145" s="1" t="s">
        <v>14</v>
      </c>
    </row>
    <row r="2146" spans="2:10" x14ac:dyDescent="0.3">
      <c r="B2146" s="1" t="s">
        <v>2364</v>
      </c>
      <c r="C2146" s="1" t="s">
        <v>19</v>
      </c>
      <c r="D2146" s="2" t="s">
        <v>390</v>
      </c>
      <c r="E2146" s="2" t="s">
        <v>390</v>
      </c>
      <c r="F2146" s="2" t="s">
        <v>11</v>
      </c>
      <c r="G2146" s="3" t="s">
        <v>1134</v>
      </c>
      <c r="H2146" s="1" t="s">
        <v>12</v>
      </c>
      <c r="I2146" s="1" t="s">
        <v>54</v>
      </c>
      <c r="J2146" s="1" t="s">
        <v>14</v>
      </c>
    </row>
    <row r="2147" spans="2:10" x14ac:dyDescent="0.3">
      <c r="B2147" s="1" t="s">
        <v>2364</v>
      </c>
      <c r="C2147" s="1" t="s">
        <v>21</v>
      </c>
      <c r="D2147" s="2" t="s">
        <v>526</v>
      </c>
      <c r="E2147" s="2" t="s">
        <v>526</v>
      </c>
      <c r="F2147" s="2" t="s">
        <v>11</v>
      </c>
      <c r="G2147" s="3" t="s">
        <v>2365</v>
      </c>
      <c r="H2147" s="1" t="s">
        <v>12</v>
      </c>
      <c r="I2147" s="1" t="s">
        <v>60</v>
      </c>
      <c r="J2147" s="1" t="s">
        <v>14</v>
      </c>
    </row>
    <row r="2148" spans="2:10" x14ac:dyDescent="0.3">
      <c r="B2148" s="1" t="s">
        <v>2364</v>
      </c>
      <c r="C2148" s="1" t="s">
        <v>33</v>
      </c>
      <c r="D2148" s="2" t="s">
        <v>224</v>
      </c>
      <c r="E2148" s="2" t="s">
        <v>224</v>
      </c>
      <c r="F2148" s="2" t="s">
        <v>11</v>
      </c>
      <c r="G2148" s="3" t="s">
        <v>2366</v>
      </c>
      <c r="H2148" s="1" t="s">
        <v>12</v>
      </c>
      <c r="I2148" s="1" t="s">
        <v>51</v>
      </c>
      <c r="J2148" s="1" t="s">
        <v>14</v>
      </c>
    </row>
    <row r="2149" spans="2:10" x14ac:dyDescent="0.3">
      <c r="B2149" s="1" t="s">
        <v>2364</v>
      </c>
      <c r="C2149" s="1" t="s">
        <v>26</v>
      </c>
      <c r="D2149" s="2" t="s">
        <v>376</v>
      </c>
      <c r="E2149" s="2" t="s">
        <v>376</v>
      </c>
      <c r="F2149" s="2" t="s">
        <v>11</v>
      </c>
      <c r="G2149" s="3" t="s">
        <v>2367</v>
      </c>
      <c r="H2149" s="1" t="s">
        <v>12</v>
      </c>
      <c r="I2149" s="1" t="s">
        <v>58</v>
      </c>
      <c r="J2149" s="1" t="s">
        <v>14</v>
      </c>
    </row>
    <row r="2150" spans="2:10" x14ac:dyDescent="0.3">
      <c r="B2150" s="1" t="s">
        <v>2364</v>
      </c>
      <c r="C2150" s="1" t="s">
        <v>36</v>
      </c>
      <c r="D2150" s="2" t="s">
        <v>224</v>
      </c>
      <c r="E2150" s="2" t="s">
        <v>224</v>
      </c>
      <c r="F2150" s="2" t="s">
        <v>11</v>
      </c>
      <c r="G2150" s="3" t="s">
        <v>2045</v>
      </c>
      <c r="H2150" s="1" t="s">
        <v>12</v>
      </c>
      <c r="I2150" s="1" t="s">
        <v>64</v>
      </c>
      <c r="J2150" s="1" t="s">
        <v>14</v>
      </c>
    </row>
    <row r="2151" spans="2:10" x14ac:dyDescent="0.3">
      <c r="B2151" s="1" t="s">
        <v>2364</v>
      </c>
      <c r="C2151" s="1" t="s">
        <v>10</v>
      </c>
      <c r="D2151" s="2" t="s">
        <v>439</v>
      </c>
      <c r="E2151" s="2" t="s">
        <v>387</v>
      </c>
      <c r="F2151" s="2" t="s">
        <v>11</v>
      </c>
      <c r="G2151" s="3" t="s">
        <v>2368</v>
      </c>
      <c r="H2151" s="1" t="s">
        <v>12</v>
      </c>
      <c r="I2151" s="1" t="s">
        <v>15</v>
      </c>
      <c r="J2151" s="1" t="s">
        <v>52</v>
      </c>
    </row>
    <row r="2152" spans="2:10" x14ac:dyDescent="0.3">
      <c r="B2152" s="1" t="s">
        <v>2364</v>
      </c>
      <c r="C2152" s="1" t="s">
        <v>45</v>
      </c>
      <c r="D2152" s="2" t="s">
        <v>522</v>
      </c>
      <c r="E2152" s="2" t="s">
        <v>522</v>
      </c>
      <c r="F2152" s="2" t="s">
        <v>11</v>
      </c>
      <c r="G2152" s="3" t="s">
        <v>2100</v>
      </c>
      <c r="H2152" s="1" t="s">
        <v>12</v>
      </c>
      <c r="I2152" s="1" t="s">
        <v>104</v>
      </c>
      <c r="J2152" s="1" t="s">
        <v>14</v>
      </c>
    </row>
    <row r="2153" spans="2:10" x14ac:dyDescent="0.3">
      <c r="B2153" s="1" t="s">
        <v>2364</v>
      </c>
      <c r="C2153" s="1" t="s">
        <v>41</v>
      </c>
      <c r="D2153" s="2" t="s">
        <v>491</v>
      </c>
      <c r="E2153" s="2" t="s">
        <v>491</v>
      </c>
      <c r="F2153" s="2" t="s">
        <v>11</v>
      </c>
      <c r="G2153" s="3" t="s">
        <v>2369</v>
      </c>
      <c r="H2153" s="1" t="s">
        <v>12</v>
      </c>
      <c r="I2153" s="1" t="s">
        <v>56</v>
      </c>
      <c r="J2153" s="1" t="s">
        <v>14</v>
      </c>
    </row>
    <row r="2154" spans="2:10" x14ac:dyDescent="0.3">
      <c r="B2154" s="1" t="s">
        <v>2364</v>
      </c>
      <c r="C2154" s="1" t="s">
        <v>38</v>
      </c>
      <c r="D2154" s="2" t="s">
        <v>522</v>
      </c>
      <c r="E2154" s="2" t="s">
        <v>522</v>
      </c>
      <c r="F2154" s="2" t="s">
        <v>11</v>
      </c>
      <c r="G2154" s="3" t="s">
        <v>2370</v>
      </c>
      <c r="H2154" s="1" t="s">
        <v>12</v>
      </c>
      <c r="I2154" s="1" t="s">
        <v>1309</v>
      </c>
      <c r="J2154" s="1" t="s">
        <v>14</v>
      </c>
    </row>
    <row r="2155" spans="2:10" x14ac:dyDescent="0.3">
      <c r="B2155" s="1" t="s">
        <v>2364</v>
      </c>
      <c r="C2155" s="1" t="s">
        <v>39</v>
      </c>
      <c r="D2155" s="2" t="s">
        <v>491</v>
      </c>
      <c r="E2155" s="2" t="s">
        <v>491</v>
      </c>
      <c r="F2155" s="2" t="s">
        <v>11</v>
      </c>
      <c r="G2155" s="3" t="s">
        <v>1137</v>
      </c>
      <c r="H2155" s="1" t="s">
        <v>12</v>
      </c>
      <c r="I2155" s="1" t="s">
        <v>76</v>
      </c>
      <c r="J2155" s="1" t="s">
        <v>14</v>
      </c>
    </row>
    <row r="2156" spans="2:10" x14ac:dyDescent="0.3">
      <c r="B2156" s="1" t="s">
        <v>2364</v>
      </c>
      <c r="C2156" s="1" t="s">
        <v>24</v>
      </c>
      <c r="D2156" s="2" t="s">
        <v>376</v>
      </c>
      <c r="E2156" s="2" t="s">
        <v>376</v>
      </c>
      <c r="F2156" s="2" t="s">
        <v>11</v>
      </c>
      <c r="G2156" s="3" t="s">
        <v>2371</v>
      </c>
      <c r="H2156" s="1" t="s">
        <v>12</v>
      </c>
      <c r="I2156" s="1" t="s">
        <v>51</v>
      </c>
      <c r="J2156" s="1" t="s">
        <v>14</v>
      </c>
    </row>
    <row r="2157" spans="2:10" x14ac:dyDescent="0.3">
      <c r="B2157" s="1" t="s">
        <v>2364</v>
      </c>
      <c r="C2157" s="1" t="s">
        <v>28</v>
      </c>
      <c r="D2157" s="2" t="s">
        <v>489</v>
      </c>
      <c r="E2157" s="2" t="s">
        <v>489</v>
      </c>
      <c r="F2157" s="2" t="s">
        <v>11</v>
      </c>
      <c r="G2157" s="3" t="s">
        <v>2372</v>
      </c>
      <c r="H2157" s="1" t="s">
        <v>12</v>
      </c>
      <c r="I2157" s="1" t="s">
        <v>69</v>
      </c>
      <c r="J2157" s="1" t="s">
        <v>14</v>
      </c>
    </row>
    <row r="2158" spans="2:10" x14ac:dyDescent="0.3">
      <c r="B2158" s="1" t="s">
        <v>2364</v>
      </c>
      <c r="C2158" s="1" t="s">
        <v>43</v>
      </c>
      <c r="D2158" s="2" t="s">
        <v>751</v>
      </c>
      <c r="E2158" s="2" t="s">
        <v>751</v>
      </c>
      <c r="F2158" s="2" t="s">
        <v>11</v>
      </c>
      <c r="G2158" s="3" t="s">
        <v>588</v>
      </c>
      <c r="H2158" s="1" t="s">
        <v>12</v>
      </c>
      <c r="I2158" s="1" t="s">
        <v>50</v>
      </c>
      <c r="J2158" s="1" t="s">
        <v>14</v>
      </c>
    </row>
    <row r="2159" spans="2:10" x14ac:dyDescent="0.3">
      <c r="B2159" s="1" t="s">
        <v>2364</v>
      </c>
      <c r="C2159" s="1" t="s">
        <v>31</v>
      </c>
      <c r="D2159" s="2" t="s">
        <v>522</v>
      </c>
      <c r="E2159" s="2" t="s">
        <v>522</v>
      </c>
      <c r="F2159" s="2" t="s">
        <v>11</v>
      </c>
      <c r="G2159" s="3" t="s">
        <v>2373</v>
      </c>
      <c r="H2159" s="1" t="s">
        <v>12</v>
      </c>
      <c r="I2159" s="1" t="s">
        <v>36</v>
      </c>
      <c r="J2159" s="1" t="s">
        <v>14</v>
      </c>
    </row>
    <row r="2160" spans="2:10" x14ac:dyDescent="0.3">
      <c r="B2160" s="1" t="s">
        <v>2364</v>
      </c>
      <c r="C2160" s="1" t="s">
        <v>23</v>
      </c>
      <c r="D2160" s="2" t="s">
        <v>702</v>
      </c>
      <c r="E2160" s="2" t="s">
        <v>702</v>
      </c>
      <c r="F2160" s="2" t="s">
        <v>11</v>
      </c>
      <c r="G2160" s="3" t="s">
        <v>2374</v>
      </c>
      <c r="H2160" s="1" t="s">
        <v>12</v>
      </c>
      <c r="I2160" s="1" t="s">
        <v>66</v>
      </c>
      <c r="J2160" s="1" t="s">
        <v>14</v>
      </c>
    </row>
    <row r="2161" spans="2:10" x14ac:dyDescent="0.3">
      <c r="B2161" s="1" t="s">
        <v>2364</v>
      </c>
      <c r="C2161" s="1" t="s">
        <v>29</v>
      </c>
      <c r="D2161" s="2" t="s">
        <v>522</v>
      </c>
      <c r="E2161" s="2" t="s">
        <v>522</v>
      </c>
      <c r="F2161" s="2" t="s">
        <v>11</v>
      </c>
      <c r="G2161" s="3" t="s">
        <v>2375</v>
      </c>
      <c r="H2161" s="1" t="s">
        <v>12</v>
      </c>
      <c r="I2161" s="1" t="s">
        <v>51</v>
      </c>
      <c r="J2161" s="1" t="s">
        <v>14</v>
      </c>
    </row>
    <row r="2162" spans="2:10" x14ac:dyDescent="0.3">
      <c r="B2162" s="1" t="s">
        <v>2364</v>
      </c>
      <c r="C2162" s="1" t="s">
        <v>15</v>
      </c>
      <c r="D2162" s="2" t="s">
        <v>512</v>
      </c>
      <c r="E2162" s="2" t="s">
        <v>512</v>
      </c>
      <c r="F2162" s="2" t="s">
        <v>11</v>
      </c>
      <c r="G2162" s="3" t="s">
        <v>2376</v>
      </c>
      <c r="H2162" s="1" t="s">
        <v>12</v>
      </c>
      <c r="I2162" s="1" t="s">
        <v>40</v>
      </c>
      <c r="J2162" s="1" t="s">
        <v>14</v>
      </c>
    </row>
    <row r="2163" spans="2:10" x14ac:dyDescent="0.3">
      <c r="B2163" s="1" t="s">
        <v>2364</v>
      </c>
      <c r="C2163" s="1" t="s">
        <v>17</v>
      </c>
      <c r="D2163" s="2" t="s">
        <v>390</v>
      </c>
      <c r="E2163" s="2" t="s">
        <v>390</v>
      </c>
      <c r="F2163" s="2" t="s">
        <v>11</v>
      </c>
      <c r="G2163" s="3" t="s">
        <v>1632</v>
      </c>
      <c r="H2163" s="1" t="s">
        <v>12</v>
      </c>
      <c r="I2163" s="1" t="s">
        <v>18</v>
      </c>
      <c r="J2163" s="1" t="s">
        <v>14</v>
      </c>
    </row>
    <row r="2164" spans="2:10" x14ac:dyDescent="0.3">
      <c r="B2164" s="1" t="s">
        <v>2364</v>
      </c>
      <c r="C2164" s="1" t="s">
        <v>46</v>
      </c>
      <c r="D2164" s="2" t="s">
        <v>522</v>
      </c>
      <c r="E2164" s="2" t="s">
        <v>522</v>
      </c>
      <c r="F2164" s="2" t="s">
        <v>11</v>
      </c>
      <c r="G2164" s="3" t="s">
        <v>2377</v>
      </c>
      <c r="H2164" s="1" t="s">
        <v>12</v>
      </c>
      <c r="I2164" s="1" t="s">
        <v>48</v>
      </c>
      <c r="J2164" s="1" t="s">
        <v>14</v>
      </c>
    </row>
    <row r="2165" spans="2:10" x14ac:dyDescent="0.3">
      <c r="B2165" s="1" t="s">
        <v>2364</v>
      </c>
      <c r="C2165" s="1" t="s">
        <v>35</v>
      </c>
      <c r="D2165" s="2" t="s">
        <v>540</v>
      </c>
      <c r="E2165" s="2" t="s">
        <v>540</v>
      </c>
      <c r="F2165" s="2" t="s">
        <v>11</v>
      </c>
      <c r="G2165" s="3" t="s">
        <v>2122</v>
      </c>
      <c r="H2165" s="1" t="s">
        <v>12</v>
      </c>
      <c r="I2165" s="1" t="s">
        <v>41</v>
      </c>
      <c r="J2165" s="1" t="s">
        <v>14</v>
      </c>
    </row>
    <row r="2166" spans="2:10" x14ac:dyDescent="0.3">
      <c r="B2166" s="1" t="s">
        <v>2378</v>
      </c>
      <c r="C2166" s="1" t="s">
        <v>28</v>
      </c>
      <c r="D2166" s="2" t="s">
        <v>638</v>
      </c>
      <c r="E2166" s="2" t="s">
        <v>638</v>
      </c>
      <c r="F2166" s="2" t="s">
        <v>11</v>
      </c>
      <c r="G2166" s="3" t="s">
        <v>2379</v>
      </c>
      <c r="H2166" s="1" t="s">
        <v>12</v>
      </c>
      <c r="I2166" s="1" t="s">
        <v>50</v>
      </c>
      <c r="J2166" s="1" t="s">
        <v>14</v>
      </c>
    </row>
    <row r="2167" spans="2:10" x14ac:dyDescent="0.3">
      <c r="B2167" s="1" t="s">
        <v>2378</v>
      </c>
      <c r="C2167" s="1" t="s">
        <v>38</v>
      </c>
      <c r="D2167" s="2" t="s">
        <v>197</v>
      </c>
      <c r="E2167" s="2" t="s">
        <v>197</v>
      </c>
      <c r="F2167" s="2" t="s">
        <v>11</v>
      </c>
      <c r="G2167" s="3" t="s">
        <v>2380</v>
      </c>
      <c r="H2167" s="1" t="s">
        <v>12</v>
      </c>
      <c r="I2167" s="1" t="s">
        <v>1309</v>
      </c>
      <c r="J2167" s="1" t="s">
        <v>14</v>
      </c>
    </row>
    <row r="2168" spans="2:10" x14ac:dyDescent="0.3">
      <c r="B2168" s="1" t="s">
        <v>2378</v>
      </c>
      <c r="C2168" s="1" t="s">
        <v>21</v>
      </c>
      <c r="D2168" s="2" t="s">
        <v>625</v>
      </c>
      <c r="E2168" s="2" t="s">
        <v>625</v>
      </c>
      <c r="F2168" s="2" t="s">
        <v>11</v>
      </c>
      <c r="G2168" s="3" t="s">
        <v>2381</v>
      </c>
      <c r="H2168" s="1" t="s">
        <v>12</v>
      </c>
      <c r="I2168" s="1" t="s">
        <v>66</v>
      </c>
      <c r="J2168" s="1" t="s">
        <v>14</v>
      </c>
    </row>
    <row r="2169" spans="2:10" x14ac:dyDescent="0.3">
      <c r="B2169" s="1" t="s">
        <v>2378</v>
      </c>
      <c r="C2169" s="1" t="s">
        <v>23</v>
      </c>
      <c r="D2169" s="2" t="s">
        <v>1285</v>
      </c>
      <c r="E2169" s="2" t="s">
        <v>1285</v>
      </c>
      <c r="F2169" s="2" t="s">
        <v>11</v>
      </c>
      <c r="G2169" s="3" t="s">
        <v>2382</v>
      </c>
      <c r="H2169" s="1" t="s">
        <v>12</v>
      </c>
      <c r="I2169" s="1" t="s">
        <v>25</v>
      </c>
      <c r="J2169" s="1" t="s">
        <v>14</v>
      </c>
    </row>
    <row r="2170" spans="2:10" x14ac:dyDescent="0.3">
      <c r="B2170" s="1" t="s">
        <v>2378</v>
      </c>
      <c r="C2170" s="1" t="s">
        <v>33</v>
      </c>
      <c r="D2170" s="2" t="s">
        <v>197</v>
      </c>
      <c r="E2170" s="2" t="s">
        <v>197</v>
      </c>
      <c r="F2170" s="2" t="s">
        <v>11</v>
      </c>
      <c r="G2170" s="3" t="s">
        <v>2073</v>
      </c>
      <c r="H2170" s="1" t="s">
        <v>12</v>
      </c>
      <c r="I2170" s="1" t="s">
        <v>97</v>
      </c>
      <c r="J2170" s="1" t="s">
        <v>14</v>
      </c>
    </row>
    <row r="2171" spans="2:10" x14ac:dyDescent="0.3">
      <c r="B2171" s="1" t="s">
        <v>2378</v>
      </c>
      <c r="C2171" s="1" t="s">
        <v>46</v>
      </c>
      <c r="D2171" s="2" t="s">
        <v>197</v>
      </c>
      <c r="E2171" s="2" t="s">
        <v>197</v>
      </c>
      <c r="F2171" s="2" t="s">
        <v>11</v>
      </c>
      <c r="G2171" s="3" t="s">
        <v>2383</v>
      </c>
      <c r="H2171" s="1" t="s">
        <v>12</v>
      </c>
      <c r="I2171" s="1" t="s">
        <v>25</v>
      </c>
      <c r="J2171" s="1" t="s">
        <v>14</v>
      </c>
    </row>
    <row r="2172" spans="2:10" x14ac:dyDescent="0.3">
      <c r="B2172" s="1" t="s">
        <v>2378</v>
      </c>
      <c r="C2172" s="1" t="s">
        <v>26</v>
      </c>
      <c r="D2172" s="2" t="s">
        <v>622</v>
      </c>
      <c r="E2172" s="2" t="s">
        <v>622</v>
      </c>
      <c r="F2172" s="2" t="s">
        <v>11</v>
      </c>
      <c r="G2172" s="3" t="s">
        <v>2384</v>
      </c>
      <c r="H2172" s="1" t="s">
        <v>12</v>
      </c>
      <c r="I2172" s="1" t="s">
        <v>25</v>
      </c>
      <c r="J2172" s="1" t="s">
        <v>14</v>
      </c>
    </row>
    <row r="2173" spans="2:10" x14ac:dyDescent="0.3">
      <c r="B2173" s="1" t="s">
        <v>2378</v>
      </c>
      <c r="C2173" s="1" t="s">
        <v>31</v>
      </c>
      <c r="D2173" s="2" t="s">
        <v>638</v>
      </c>
      <c r="E2173" s="2" t="s">
        <v>638</v>
      </c>
      <c r="F2173" s="2" t="s">
        <v>11</v>
      </c>
      <c r="G2173" s="3" t="s">
        <v>2385</v>
      </c>
      <c r="H2173" s="1" t="s">
        <v>12</v>
      </c>
      <c r="I2173" s="1" t="s">
        <v>13</v>
      </c>
      <c r="J2173" s="1" t="s">
        <v>14</v>
      </c>
    </row>
    <row r="2174" spans="2:10" x14ac:dyDescent="0.3">
      <c r="B2174" s="1" t="s">
        <v>2378</v>
      </c>
      <c r="C2174" s="1" t="s">
        <v>43</v>
      </c>
      <c r="D2174" s="2" t="s">
        <v>197</v>
      </c>
      <c r="E2174" s="2" t="s">
        <v>197</v>
      </c>
      <c r="F2174" s="2" t="s">
        <v>11</v>
      </c>
      <c r="G2174" s="3" t="s">
        <v>1712</v>
      </c>
      <c r="H2174" s="1" t="s">
        <v>12</v>
      </c>
      <c r="I2174" s="1" t="s">
        <v>18</v>
      </c>
      <c r="J2174" s="1" t="s">
        <v>14</v>
      </c>
    </row>
    <row r="2175" spans="2:10" x14ac:dyDescent="0.3">
      <c r="B2175" s="1" t="s">
        <v>2378</v>
      </c>
      <c r="C2175" s="1" t="s">
        <v>35</v>
      </c>
      <c r="D2175" s="2" t="s">
        <v>622</v>
      </c>
      <c r="E2175" s="2" t="s">
        <v>622</v>
      </c>
      <c r="F2175" s="2" t="s">
        <v>11</v>
      </c>
      <c r="G2175" s="3" t="s">
        <v>212</v>
      </c>
      <c r="H2175" s="1" t="s">
        <v>12</v>
      </c>
      <c r="I2175" s="1" t="s">
        <v>49</v>
      </c>
      <c r="J2175" s="1" t="s">
        <v>14</v>
      </c>
    </row>
    <row r="2176" spans="2:10" x14ac:dyDescent="0.3">
      <c r="B2176" s="1" t="s">
        <v>2378</v>
      </c>
      <c r="C2176" s="1" t="s">
        <v>15</v>
      </c>
      <c r="D2176" s="2" t="s">
        <v>625</v>
      </c>
      <c r="E2176" s="2" t="s">
        <v>625</v>
      </c>
      <c r="F2176" s="2" t="s">
        <v>11</v>
      </c>
      <c r="G2176" s="3" t="s">
        <v>2386</v>
      </c>
      <c r="H2176" s="1" t="s">
        <v>12</v>
      </c>
      <c r="I2176" s="1" t="s">
        <v>22</v>
      </c>
      <c r="J2176" s="1" t="s">
        <v>14</v>
      </c>
    </row>
    <row r="2177" spans="2:10" x14ac:dyDescent="0.3">
      <c r="B2177" s="1" t="s">
        <v>2378</v>
      </c>
      <c r="C2177" s="1" t="s">
        <v>10</v>
      </c>
      <c r="D2177" s="2" t="s">
        <v>572</v>
      </c>
      <c r="E2177" s="2" t="s">
        <v>572</v>
      </c>
      <c r="F2177" s="2" t="s">
        <v>11</v>
      </c>
      <c r="G2177" s="3" t="s">
        <v>2387</v>
      </c>
      <c r="H2177" s="1" t="s">
        <v>12</v>
      </c>
      <c r="I2177" s="1" t="s">
        <v>18</v>
      </c>
      <c r="J2177" s="1" t="s">
        <v>14</v>
      </c>
    </row>
    <row r="2178" spans="2:10" x14ac:dyDescent="0.3">
      <c r="B2178" s="1" t="s">
        <v>2378</v>
      </c>
      <c r="C2178" s="1" t="s">
        <v>19</v>
      </c>
      <c r="D2178" s="2" t="s">
        <v>197</v>
      </c>
      <c r="E2178" s="2" t="s">
        <v>197</v>
      </c>
      <c r="F2178" s="2" t="s">
        <v>11</v>
      </c>
      <c r="G2178" s="3" t="s">
        <v>2388</v>
      </c>
      <c r="H2178" s="1" t="s">
        <v>12</v>
      </c>
      <c r="I2178" s="1" t="s">
        <v>44</v>
      </c>
      <c r="J2178" s="1" t="s">
        <v>14</v>
      </c>
    </row>
    <row r="2179" spans="2:10" x14ac:dyDescent="0.3">
      <c r="B2179" s="1" t="s">
        <v>2378</v>
      </c>
      <c r="C2179" s="1" t="s">
        <v>17</v>
      </c>
      <c r="D2179" s="2" t="s">
        <v>638</v>
      </c>
      <c r="E2179" s="2" t="s">
        <v>638</v>
      </c>
      <c r="F2179" s="2" t="s">
        <v>11</v>
      </c>
      <c r="G2179" s="3" t="s">
        <v>2389</v>
      </c>
      <c r="H2179" s="1" t="s">
        <v>12</v>
      </c>
      <c r="I2179" s="1" t="s">
        <v>58</v>
      </c>
      <c r="J2179" s="1" t="s">
        <v>14</v>
      </c>
    </row>
    <row r="2180" spans="2:10" x14ac:dyDescent="0.3">
      <c r="B2180" s="1" t="s">
        <v>2378</v>
      </c>
      <c r="C2180" s="1" t="s">
        <v>39</v>
      </c>
      <c r="D2180" s="2" t="s">
        <v>1285</v>
      </c>
      <c r="E2180" s="2" t="s">
        <v>1285</v>
      </c>
      <c r="F2180" s="2" t="s">
        <v>11</v>
      </c>
      <c r="G2180" s="3" t="s">
        <v>2390</v>
      </c>
      <c r="H2180" s="1" t="s">
        <v>12</v>
      </c>
      <c r="I2180" s="1" t="s">
        <v>66</v>
      </c>
      <c r="J2180" s="1" t="s">
        <v>14</v>
      </c>
    </row>
    <row r="2181" spans="2:10" x14ac:dyDescent="0.3">
      <c r="B2181" s="1" t="s">
        <v>2378</v>
      </c>
      <c r="C2181" s="1" t="s">
        <v>41</v>
      </c>
      <c r="D2181" s="2" t="s">
        <v>625</v>
      </c>
      <c r="E2181" s="2" t="s">
        <v>625</v>
      </c>
      <c r="F2181" s="2" t="s">
        <v>11</v>
      </c>
      <c r="G2181" s="3" t="s">
        <v>2391</v>
      </c>
      <c r="H2181" s="1" t="s">
        <v>12</v>
      </c>
      <c r="I2181" s="1" t="s">
        <v>56</v>
      </c>
      <c r="J2181" s="1" t="s">
        <v>14</v>
      </c>
    </row>
    <row r="2182" spans="2:10" x14ac:dyDescent="0.3">
      <c r="B2182" s="1" t="s">
        <v>2378</v>
      </c>
      <c r="C2182" s="1" t="s">
        <v>29</v>
      </c>
      <c r="D2182" s="2" t="s">
        <v>1285</v>
      </c>
      <c r="E2182" s="2" t="s">
        <v>1285</v>
      </c>
      <c r="F2182" s="2" t="s">
        <v>11</v>
      </c>
      <c r="G2182" s="3" t="s">
        <v>2392</v>
      </c>
      <c r="H2182" s="1" t="s">
        <v>12</v>
      </c>
      <c r="I2182" s="1" t="s">
        <v>34</v>
      </c>
      <c r="J2182" s="1" t="s">
        <v>14</v>
      </c>
    </row>
    <row r="2183" spans="2:10" x14ac:dyDescent="0.3">
      <c r="B2183" s="1" t="s">
        <v>2378</v>
      </c>
      <c r="C2183" s="1" t="s">
        <v>24</v>
      </c>
      <c r="D2183" s="2" t="s">
        <v>624</v>
      </c>
      <c r="E2183" s="2" t="s">
        <v>624</v>
      </c>
      <c r="F2183" s="2" t="s">
        <v>11</v>
      </c>
      <c r="G2183" s="3" t="s">
        <v>2393</v>
      </c>
      <c r="H2183" s="1" t="s">
        <v>12</v>
      </c>
      <c r="I2183" s="1" t="s">
        <v>59</v>
      </c>
      <c r="J2183" s="1" t="s">
        <v>14</v>
      </c>
    </row>
    <row r="2184" spans="2:10" x14ac:dyDescent="0.3">
      <c r="B2184" s="1" t="s">
        <v>2378</v>
      </c>
      <c r="C2184" s="1" t="s">
        <v>45</v>
      </c>
      <c r="D2184" s="2" t="s">
        <v>197</v>
      </c>
      <c r="E2184" s="2" t="s">
        <v>197</v>
      </c>
      <c r="F2184" s="2" t="s">
        <v>11</v>
      </c>
      <c r="G2184" s="3" t="s">
        <v>2394</v>
      </c>
      <c r="H2184" s="1" t="s">
        <v>12</v>
      </c>
      <c r="I2184" s="1" t="s">
        <v>22</v>
      </c>
      <c r="J2184" s="1" t="s">
        <v>14</v>
      </c>
    </row>
    <row r="2185" spans="2:10" x14ac:dyDescent="0.3">
      <c r="B2185" s="1" t="s">
        <v>2378</v>
      </c>
      <c r="C2185" s="1" t="s">
        <v>36</v>
      </c>
      <c r="D2185" s="2" t="s">
        <v>2395</v>
      </c>
      <c r="E2185" s="2" t="s">
        <v>847</v>
      </c>
      <c r="F2185" s="2" t="s">
        <v>11</v>
      </c>
      <c r="G2185" s="3" t="s">
        <v>1349</v>
      </c>
      <c r="H2185" s="1" t="s">
        <v>12</v>
      </c>
      <c r="I2185" s="1" t="s">
        <v>35</v>
      </c>
      <c r="J2185" s="1" t="s">
        <v>52</v>
      </c>
    </row>
    <row r="2186" spans="2:10" x14ac:dyDescent="0.3">
      <c r="B2186" s="1" t="s">
        <v>2396</v>
      </c>
      <c r="C2186" s="1" t="s">
        <v>10</v>
      </c>
      <c r="D2186" s="2" t="s">
        <v>314</v>
      </c>
      <c r="E2186" s="2" t="s">
        <v>314</v>
      </c>
      <c r="F2186" s="2" t="s">
        <v>11</v>
      </c>
      <c r="G2186" s="3" t="s">
        <v>2397</v>
      </c>
      <c r="H2186" s="1" t="s">
        <v>12</v>
      </c>
      <c r="I2186" s="1" t="s">
        <v>13</v>
      </c>
      <c r="J2186" s="1" t="s">
        <v>14</v>
      </c>
    </row>
    <row r="2187" spans="2:10" x14ac:dyDescent="0.3">
      <c r="B2187" s="1" t="s">
        <v>2396</v>
      </c>
      <c r="C2187" s="1" t="s">
        <v>36</v>
      </c>
      <c r="D2187" s="2" t="s">
        <v>529</v>
      </c>
      <c r="E2187" s="2" t="s">
        <v>529</v>
      </c>
      <c r="F2187" s="2" t="s">
        <v>11</v>
      </c>
      <c r="G2187" s="3" t="s">
        <v>2193</v>
      </c>
      <c r="H2187" s="1" t="s">
        <v>12</v>
      </c>
      <c r="I2187" s="1" t="s">
        <v>49</v>
      </c>
      <c r="J2187" s="1" t="s">
        <v>14</v>
      </c>
    </row>
    <row r="2188" spans="2:10" x14ac:dyDescent="0.3">
      <c r="B2188" s="1" t="s">
        <v>2396</v>
      </c>
      <c r="C2188" s="1" t="s">
        <v>26</v>
      </c>
      <c r="D2188" s="2" t="s">
        <v>433</v>
      </c>
      <c r="E2188" s="2" t="s">
        <v>433</v>
      </c>
      <c r="F2188" s="2" t="s">
        <v>11</v>
      </c>
      <c r="G2188" s="3" t="s">
        <v>2398</v>
      </c>
      <c r="H2188" s="1" t="s">
        <v>12</v>
      </c>
      <c r="I2188" s="1" t="s">
        <v>69</v>
      </c>
      <c r="J2188" s="1" t="s">
        <v>14</v>
      </c>
    </row>
    <row r="2189" spans="2:10" x14ac:dyDescent="0.3">
      <c r="B2189" s="1" t="s">
        <v>2396</v>
      </c>
      <c r="C2189" s="1" t="s">
        <v>46</v>
      </c>
      <c r="D2189" s="2" t="s">
        <v>443</v>
      </c>
      <c r="E2189" s="2" t="s">
        <v>443</v>
      </c>
      <c r="F2189" s="2" t="s">
        <v>11</v>
      </c>
      <c r="G2189" s="3" t="s">
        <v>1290</v>
      </c>
      <c r="H2189" s="1" t="s">
        <v>12</v>
      </c>
      <c r="I2189" s="1" t="s">
        <v>78</v>
      </c>
      <c r="J2189" s="1" t="s">
        <v>14</v>
      </c>
    </row>
    <row r="2190" spans="2:10" x14ac:dyDescent="0.3">
      <c r="B2190" s="1" t="s">
        <v>2396</v>
      </c>
      <c r="C2190" s="1" t="s">
        <v>15</v>
      </c>
      <c r="D2190" s="2" t="s">
        <v>322</v>
      </c>
      <c r="E2190" s="2" t="s">
        <v>322</v>
      </c>
      <c r="F2190" s="2" t="s">
        <v>11</v>
      </c>
      <c r="G2190" s="3" t="s">
        <v>2399</v>
      </c>
      <c r="H2190" s="1" t="s">
        <v>12</v>
      </c>
      <c r="I2190" s="1" t="s">
        <v>34</v>
      </c>
      <c r="J2190" s="1" t="s">
        <v>14</v>
      </c>
    </row>
    <row r="2191" spans="2:10" x14ac:dyDescent="0.3">
      <c r="B2191" s="1" t="s">
        <v>2396</v>
      </c>
      <c r="C2191" s="1" t="s">
        <v>45</v>
      </c>
      <c r="D2191" s="2" t="s">
        <v>529</v>
      </c>
      <c r="E2191" s="2" t="s">
        <v>529</v>
      </c>
      <c r="F2191" s="2" t="s">
        <v>11</v>
      </c>
      <c r="G2191" s="3" t="s">
        <v>2400</v>
      </c>
      <c r="H2191" s="1" t="s">
        <v>12</v>
      </c>
      <c r="I2191" s="1" t="s">
        <v>40</v>
      </c>
      <c r="J2191" s="1" t="s">
        <v>14</v>
      </c>
    </row>
    <row r="2192" spans="2:10" x14ac:dyDescent="0.3">
      <c r="B2192" s="1" t="s">
        <v>2396</v>
      </c>
      <c r="C2192" s="1" t="s">
        <v>41</v>
      </c>
      <c r="D2192" s="2" t="s">
        <v>433</v>
      </c>
      <c r="E2192" s="2" t="s">
        <v>433</v>
      </c>
      <c r="F2192" s="2" t="s">
        <v>11</v>
      </c>
      <c r="G2192" s="3" t="s">
        <v>2401</v>
      </c>
      <c r="H2192" s="1" t="s">
        <v>12</v>
      </c>
      <c r="I2192" s="1" t="s">
        <v>60</v>
      </c>
      <c r="J2192" s="1" t="s">
        <v>14</v>
      </c>
    </row>
    <row r="2193" spans="2:10" x14ac:dyDescent="0.3">
      <c r="B2193" s="1" t="s">
        <v>2396</v>
      </c>
      <c r="C2193" s="1" t="s">
        <v>38</v>
      </c>
      <c r="D2193" s="2" t="s">
        <v>433</v>
      </c>
      <c r="E2193" s="2" t="s">
        <v>433</v>
      </c>
      <c r="F2193" s="2" t="s">
        <v>11</v>
      </c>
      <c r="G2193" s="3" t="s">
        <v>2402</v>
      </c>
      <c r="H2193" s="1" t="s">
        <v>12</v>
      </c>
      <c r="I2193" s="1" t="s">
        <v>1309</v>
      </c>
      <c r="J2193" s="1" t="s">
        <v>14</v>
      </c>
    </row>
    <row r="2194" spans="2:10" x14ac:dyDescent="0.3">
      <c r="B2194" s="1" t="s">
        <v>2396</v>
      </c>
      <c r="C2194" s="1" t="s">
        <v>21</v>
      </c>
      <c r="D2194" s="2" t="s">
        <v>433</v>
      </c>
      <c r="E2194" s="2" t="s">
        <v>433</v>
      </c>
      <c r="F2194" s="2" t="s">
        <v>11</v>
      </c>
      <c r="G2194" s="3" t="s">
        <v>2403</v>
      </c>
      <c r="H2194" s="1" t="s">
        <v>12</v>
      </c>
      <c r="I2194" s="1" t="s">
        <v>64</v>
      </c>
      <c r="J2194" s="1" t="s">
        <v>14</v>
      </c>
    </row>
    <row r="2195" spans="2:10" x14ac:dyDescent="0.3">
      <c r="B2195" s="1" t="s">
        <v>2396</v>
      </c>
      <c r="C2195" s="1" t="s">
        <v>35</v>
      </c>
      <c r="D2195" s="2" t="s">
        <v>433</v>
      </c>
      <c r="E2195" s="2" t="s">
        <v>433</v>
      </c>
      <c r="F2195" s="2" t="s">
        <v>11</v>
      </c>
      <c r="G2195" s="3" t="s">
        <v>2404</v>
      </c>
      <c r="H2195" s="1" t="s">
        <v>12</v>
      </c>
      <c r="I2195" s="1" t="s">
        <v>76</v>
      </c>
      <c r="J2195" s="1" t="s">
        <v>14</v>
      </c>
    </row>
    <row r="2196" spans="2:10" x14ac:dyDescent="0.3">
      <c r="B2196" s="1" t="s">
        <v>2396</v>
      </c>
      <c r="C2196" s="1" t="s">
        <v>23</v>
      </c>
      <c r="D2196" s="2" t="s">
        <v>433</v>
      </c>
      <c r="E2196" s="2" t="s">
        <v>433</v>
      </c>
      <c r="F2196" s="2" t="s">
        <v>11</v>
      </c>
      <c r="G2196" s="3" t="s">
        <v>1873</v>
      </c>
      <c r="H2196" s="1" t="s">
        <v>12</v>
      </c>
      <c r="I2196" s="1" t="s">
        <v>42</v>
      </c>
      <c r="J2196" s="1" t="s">
        <v>14</v>
      </c>
    </row>
    <row r="2197" spans="2:10" x14ac:dyDescent="0.3">
      <c r="B2197" s="1" t="s">
        <v>2396</v>
      </c>
      <c r="C2197" s="1" t="s">
        <v>31</v>
      </c>
      <c r="D2197" s="2" t="s">
        <v>443</v>
      </c>
      <c r="E2197" s="2" t="s">
        <v>443</v>
      </c>
      <c r="F2197" s="2" t="s">
        <v>11</v>
      </c>
      <c r="G2197" s="3" t="s">
        <v>2405</v>
      </c>
      <c r="H2197" s="1" t="s">
        <v>12</v>
      </c>
      <c r="I2197" s="1" t="s">
        <v>18</v>
      </c>
      <c r="J2197" s="1" t="s">
        <v>14</v>
      </c>
    </row>
    <row r="2198" spans="2:10" x14ac:dyDescent="0.3">
      <c r="B2198" s="1" t="s">
        <v>2396</v>
      </c>
      <c r="C2198" s="1" t="s">
        <v>28</v>
      </c>
      <c r="D2198" s="2" t="s">
        <v>200</v>
      </c>
      <c r="E2198" s="2" t="s">
        <v>200</v>
      </c>
      <c r="F2198" s="2" t="s">
        <v>11</v>
      </c>
      <c r="G2198" s="3" t="s">
        <v>2356</v>
      </c>
      <c r="H2198" s="1" t="s">
        <v>12</v>
      </c>
      <c r="I2198" s="1" t="s">
        <v>18</v>
      </c>
      <c r="J2198" s="1" t="s">
        <v>14</v>
      </c>
    </row>
    <row r="2199" spans="2:10" x14ac:dyDescent="0.3">
      <c r="B2199" s="1" t="s">
        <v>2396</v>
      </c>
      <c r="C2199" s="1" t="s">
        <v>33</v>
      </c>
      <c r="D2199" s="2" t="s">
        <v>433</v>
      </c>
      <c r="E2199" s="2" t="s">
        <v>433</v>
      </c>
      <c r="F2199" s="2" t="s">
        <v>11</v>
      </c>
      <c r="G2199" s="3" t="s">
        <v>2406</v>
      </c>
      <c r="H2199" s="1" t="s">
        <v>12</v>
      </c>
      <c r="I2199" s="1" t="s">
        <v>32</v>
      </c>
      <c r="J2199" s="1" t="s">
        <v>14</v>
      </c>
    </row>
    <row r="2200" spans="2:10" x14ac:dyDescent="0.3">
      <c r="B2200" s="1" t="s">
        <v>2396</v>
      </c>
      <c r="C2200" s="1" t="s">
        <v>39</v>
      </c>
      <c r="D2200" s="2" t="s">
        <v>529</v>
      </c>
      <c r="E2200" s="2" t="s">
        <v>529</v>
      </c>
      <c r="F2200" s="2" t="s">
        <v>11</v>
      </c>
      <c r="G2200" s="3" t="s">
        <v>2407</v>
      </c>
      <c r="H2200" s="1" t="s">
        <v>12</v>
      </c>
      <c r="I2200" s="1" t="s">
        <v>58</v>
      </c>
      <c r="J2200" s="1" t="s">
        <v>14</v>
      </c>
    </row>
    <row r="2201" spans="2:10" x14ac:dyDescent="0.3">
      <c r="B2201" s="1" t="s">
        <v>2396</v>
      </c>
      <c r="C2201" s="1" t="s">
        <v>29</v>
      </c>
      <c r="D2201" s="2" t="s">
        <v>433</v>
      </c>
      <c r="E2201" s="2" t="s">
        <v>433</v>
      </c>
      <c r="F2201" s="2" t="s">
        <v>11</v>
      </c>
      <c r="G2201" s="3" t="s">
        <v>2408</v>
      </c>
      <c r="H2201" s="1" t="s">
        <v>12</v>
      </c>
      <c r="I2201" s="1" t="s">
        <v>79</v>
      </c>
      <c r="J2201" s="1" t="s">
        <v>14</v>
      </c>
    </row>
    <row r="2202" spans="2:10" x14ac:dyDescent="0.3">
      <c r="B2202" s="1" t="s">
        <v>2396</v>
      </c>
      <c r="C2202" s="1" t="s">
        <v>17</v>
      </c>
      <c r="D2202" s="2" t="s">
        <v>529</v>
      </c>
      <c r="E2202" s="2" t="s">
        <v>529</v>
      </c>
      <c r="F2202" s="2" t="s">
        <v>11</v>
      </c>
      <c r="G2202" s="3" t="s">
        <v>2409</v>
      </c>
      <c r="H2202" s="1" t="s">
        <v>12</v>
      </c>
      <c r="I2202" s="1" t="s">
        <v>93</v>
      </c>
      <c r="J2202" s="1" t="s">
        <v>14</v>
      </c>
    </row>
    <row r="2203" spans="2:10" x14ac:dyDescent="0.3">
      <c r="B2203" s="1" t="s">
        <v>2396</v>
      </c>
      <c r="C2203" s="1" t="s">
        <v>43</v>
      </c>
      <c r="D2203" s="2" t="s">
        <v>529</v>
      </c>
      <c r="E2203" s="2" t="s">
        <v>529</v>
      </c>
      <c r="F2203" s="2" t="s">
        <v>11</v>
      </c>
      <c r="G2203" s="3" t="s">
        <v>864</v>
      </c>
      <c r="H2203" s="1" t="s">
        <v>12</v>
      </c>
      <c r="I2203" s="1" t="s">
        <v>89</v>
      </c>
      <c r="J2203" s="1" t="s">
        <v>14</v>
      </c>
    </row>
    <row r="2204" spans="2:10" x14ac:dyDescent="0.3">
      <c r="B2204" s="1" t="s">
        <v>2396</v>
      </c>
      <c r="C2204" s="1" t="s">
        <v>24</v>
      </c>
      <c r="D2204" s="2" t="s">
        <v>202</v>
      </c>
      <c r="E2204" s="2" t="s">
        <v>455</v>
      </c>
      <c r="F2204" s="2" t="s">
        <v>11</v>
      </c>
      <c r="G2204" s="3" t="s">
        <v>2410</v>
      </c>
      <c r="H2204" s="1" t="s">
        <v>12</v>
      </c>
      <c r="I2204" s="1" t="s">
        <v>17</v>
      </c>
      <c r="J2204" s="1" t="s">
        <v>52</v>
      </c>
    </row>
    <row r="2205" spans="2:10" x14ac:dyDescent="0.3">
      <c r="B2205" s="1" t="s">
        <v>2396</v>
      </c>
      <c r="C2205" s="1" t="s">
        <v>19</v>
      </c>
      <c r="D2205" s="2" t="s">
        <v>696</v>
      </c>
      <c r="E2205" s="2" t="s">
        <v>696</v>
      </c>
      <c r="F2205" s="2" t="s">
        <v>11</v>
      </c>
      <c r="G2205" s="3" t="s">
        <v>2411</v>
      </c>
      <c r="H2205" s="1" t="s">
        <v>12</v>
      </c>
      <c r="I2205" s="1" t="s">
        <v>40</v>
      </c>
      <c r="J2205" s="1" t="s">
        <v>14</v>
      </c>
    </row>
    <row r="2206" spans="2:10" x14ac:dyDescent="0.3">
      <c r="B2206" s="1" t="s">
        <v>2412</v>
      </c>
      <c r="C2206" s="1" t="s">
        <v>38</v>
      </c>
      <c r="D2206" s="2" t="s">
        <v>240</v>
      </c>
      <c r="E2206" s="2" t="s">
        <v>240</v>
      </c>
      <c r="F2206" s="2" t="s">
        <v>11</v>
      </c>
      <c r="G2206" s="3" t="s">
        <v>324</v>
      </c>
      <c r="H2206" s="1" t="s">
        <v>12</v>
      </c>
      <c r="I2206" s="1" t="s">
        <v>25</v>
      </c>
      <c r="J2206" s="1" t="s">
        <v>14</v>
      </c>
    </row>
    <row r="2207" spans="2:10" x14ac:dyDescent="0.3">
      <c r="B2207" s="1" t="s">
        <v>2412</v>
      </c>
      <c r="C2207" s="1" t="s">
        <v>21</v>
      </c>
      <c r="D2207" s="2" t="s">
        <v>766</v>
      </c>
      <c r="E2207" s="2" t="s">
        <v>766</v>
      </c>
      <c r="F2207" s="2" t="s">
        <v>11</v>
      </c>
      <c r="G2207" s="3" t="s">
        <v>2413</v>
      </c>
      <c r="H2207" s="1" t="s">
        <v>12</v>
      </c>
      <c r="I2207" s="1" t="s">
        <v>89</v>
      </c>
      <c r="J2207" s="1" t="s">
        <v>14</v>
      </c>
    </row>
    <row r="2208" spans="2:10" x14ac:dyDescent="0.3">
      <c r="B2208" s="1" t="s">
        <v>2412</v>
      </c>
      <c r="C2208" s="1" t="s">
        <v>29</v>
      </c>
      <c r="D2208" s="2" t="s">
        <v>240</v>
      </c>
      <c r="E2208" s="2" t="s">
        <v>240</v>
      </c>
      <c r="F2208" s="2" t="s">
        <v>11</v>
      </c>
      <c r="G2208" s="3" t="s">
        <v>2414</v>
      </c>
      <c r="H2208" s="1" t="s">
        <v>12</v>
      </c>
      <c r="I2208" s="1" t="s">
        <v>58</v>
      </c>
      <c r="J2208" s="1" t="s">
        <v>14</v>
      </c>
    </row>
    <row r="2209" spans="2:10" x14ac:dyDescent="0.3">
      <c r="B2209" s="1" t="s">
        <v>2412</v>
      </c>
      <c r="C2209" s="1" t="s">
        <v>15</v>
      </c>
      <c r="D2209" s="2" t="s">
        <v>393</v>
      </c>
      <c r="E2209" s="2" t="s">
        <v>393</v>
      </c>
      <c r="F2209" s="2" t="s">
        <v>11</v>
      </c>
      <c r="G2209" s="3" t="s">
        <v>2415</v>
      </c>
      <c r="H2209" s="1" t="s">
        <v>12</v>
      </c>
      <c r="I2209" s="1" t="s">
        <v>18</v>
      </c>
      <c r="J2209" s="1" t="s">
        <v>14</v>
      </c>
    </row>
    <row r="2210" spans="2:10" x14ac:dyDescent="0.3">
      <c r="B2210" s="1" t="s">
        <v>2412</v>
      </c>
      <c r="C2210" s="1" t="s">
        <v>36</v>
      </c>
      <c r="D2210" s="2" t="s">
        <v>529</v>
      </c>
      <c r="E2210" s="2" t="s">
        <v>529</v>
      </c>
      <c r="F2210" s="2" t="s">
        <v>11</v>
      </c>
      <c r="G2210" s="3" t="s">
        <v>2416</v>
      </c>
      <c r="H2210" s="1" t="s">
        <v>12</v>
      </c>
      <c r="I2210" s="1" t="s">
        <v>18</v>
      </c>
      <c r="J2210" s="1" t="s">
        <v>14</v>
      </c>
    </row>
    <row r="2211" spans="2:10" x14ac:dyDescent="0.3">
      <c r="B2211" s="1" t="s">
        <v>2412</v>
      </c>
      <c r="C2211" s="1" t="s">
        <v>24</v>
      </c>
      <c r="D2211" s="2" t="s">
        <v>700</v>
      </c>
      <c r="E2211" s="2" t="s">
        <v>700</v>
      </c>
      <c r="F2211" s="2" t="s">
        <v>11</v>
      </c>
      <c r="G2211" s="3" t="s">
        <v>1986</v>
      </c>
      <c r="H2211" s="1" t="s">
        <v>12</v>
      </c>
      <c r="I2211" s="1" t="s">
        <v>18</v>
      </c>
      <c r="J2211" s="1" t="s">
        <v>14</v>
      </c>
    </row>
    <row r="2212" spans="2:10" x14ac:dyDescent="0.3">
      <c r="B2212" s="1" t="s">
        <v>2412</v>
      </c>
      <c r="C2212" s="1" t="s">
        <v>26</v>
      </c>
      <c r="D2212" s="2" t="s">
        <v>700</v>
      </c>
      <c r="E2212" s="2" t="s">
        <v>700</v>
      </c>
      <c r="F2212" s="2" t="s">
        <v>11</v>
      </c>
      <c r="G2212" s="3" t="s">
        <v>2417</v>
      </c>
      <c r="H2212" s="1" t="s">
        <v>12</v>
      </c>
      <c r="I2212" s="1" t="s">
        <v>93</v>
      </c>
      <c r="J2212" s="1" t="s">
        <v>14</v>
      </c>
    </row>
    <row r="2213" spans="2:10" x14ac:dyDescent="0.3">
      <c r="B2213" s="1" t="s">
        <v>2412</v>
      </c>
      <c r="C2213" s="1" t="s">
        <v>33</v>
      </c>
      <c r="D2213" s="2" t="s">
        <v>439</v>
      </c>
      <c r="E2213" s="2" t="s">
        <v>439</v>
      </c>
      <c r="F2213" s="2" t="s">
        <v>11</v>
      </c>
      <c r="G2213" s="3" t="s">
        <v>2418</v>
      </c>
      <c r="H2213" s="1" t="s">
        <v>12</v>
      </c>
      <c r="I2213" s="1" t="s">
        <v>60</v>
      </c>
      <c r="J2213" s="1" t="s">
        <v>14</v>
      </c>
    </row>
    <row r="2214" spans="2:10" x14ac:dyDescent="0.3">
      <c r="B2214" s="1" t="s">
        <v>2412</v>
      </c>
      <c r="C2214" s="1" t="s">
        <v>10</v>
      </c>
      <c r="D2214" s="2" t="s">
        <v>2419</v>
      </c>
      <c r="E2214" s="2" t="s">
        <v>2419</v>
      </c>
      <c r="F2214" s="2" t="s">
        <v>11</v>
      </c>
      <c r="G2214" s="3" t="s">
        <v>772</v>
      </c>
      <c r="H2214" s="1" t="s">
        <v>12</v>
      </c>
      <c r="I2214" s="1" t="s">
        <v>51</v>
      </c>
      <c r="J2214" s="1" t="s">
        <v>52</v>
      </c>
    </row>
    <row r="2215" spans="2:10" x14ac:dyDescent="0.3">
      <c r="B2215" s="1" t="s">
        <v>2412</v>
      </c>
      <c r="C2215" s="1" t="s">
        <v>17</v>
      </c>
      <c r="D2215" s="2" t="s">
        <v>240</v>
      </c>
      <c r="E2215" s="2" t="s">
        <v>240</v>
      </c>
      <c r="F2215" s="2" t="s">
        <v>11</v>
      </c>
      <c r="G2215" s="3" t="s">
        <v>602</v>
      </c>
      <c r="H2215" s="1" t="s">
        <v>12</v>
      </c>
      <c r="I2215" s="1" t="s">
        <v>55</v>
      </c>
      <c r="J2215" s="1" t="s">
        <v>14</v>
      </c>
    </row>
    <row r="2216" spans="2:10" x14ac:dyDescent="0.3">
      <c r="B2216" s="1" t="s">
        <v>2412</v>
      </c>
      <c r="C2216" s="1" t="s">
        <v>23</v>
      </c>
      <c r="D2216" s="2" t="s">
        <v>747</v>
      </c>
      <c r="E2216" s="2" t="s">
        <v>747</v>
      </c>
      <c r="F2216" s="2" t="s">
        <v>11</v>
      </c>
      <c r="G2216" s="3" t="s">
        <v>2420</v>
      </c>
      <c r="H2216" s="1" t="s">
        <v>12</v>
      </c>
      <c r="I2216" s="1" t="s">
        <v>42</v>
      </c>
      <c r="J2216" s="1" t="s">
        <v>14</v>
      </c>
    </row>
    <row r="2217" spans="2:10" x14ac:dyDescent="0.3">
      <c r="B2217" s="1" t="s">
        <v>2412</v>
      </c>
      <c r="C2217" s="1" t="s">
        <v>28</v>
      </c>
      <c r="D2217" s="2" t="s">
        <v>700</v>
      </c>
      <c r="E2217" s="2" t="s">
        <v>700</v>
      </c>
      <c r="F2217" s="2" t="s">
        <v>11</v>
      </c>
      <c r="G2217" s="3" t="s">
        <v>2421</v>
      </c>
      <c r="H2217" s="1" t="s">
        <v>12</v>
      </c>
      <c r="I2217" s="1" t="s">
        <v>73</v>
      </c>
      <c r="J2217" s="1" t="s">
        <v>14</v>
      </c>
    </row>
    <row r="2218" spans="2:10" x14ac:dyDescent="0.3">
      <c r="B2218" s="1" t="s">
        <v>2412</v>
      </c>
      <c r="C2218" s="1" t="s">
        <v>45</v>
      </c>
      <c r="D2218" s="2" t="s">
        <v>700</v>
      </c>
      <c r="E2218" s="2" t="s">
        <v>700</v>
      </c>
      <c r="F2218" s="2" t="s">
        <v>11</v>
      </c>
      <c r="G2218" s="3" t="s">
        <v>2422</v>
      </c>
      <c r="H2218" s="1" t="s">
        <v>12</v>
      </c>
      <c r="I2218" s="1" t="s">
        <v>62</v>
      </c>
      <c r="J2218" s="1" t="s">
        <v>14</v>
      </c>
    </row>
    <row r="2219" spans="2:10" x14ac:dyDescent="0.3">
      <c r="B2219" s="1" t="s">
        <v>2412</v>
      </c>
      <c r="C2219" s="1" t="s">
        <v>41</v>
      </c>
      <c r="D2219" s="2" t="s">
        <v>779</v>
      </c>
      <c r="E2219" s="2" t="s">
        <v>779</v>
      </c>
      <c r="F2219" s="2" t="s">
        <v>11</v>
      </c>
      <c r="G2219" s="3" t="s">
        <v>2423</v>
      </c>
      <c r="H2219" s="1" t="s">
        <v>12</v>
      </c>
      <c r="I2219" s="1" t="s">
        <v>60</v>
      </c>
      <c r="J2219" s="1" t="s">
        <v>14</v>
      </c>
    </row>
    <row r="2220" spans="2:10" x14ac:dyDescent="0.3">
      <c r="B2220" s="1" t="s">
        <v>2412</v>
      </c>
      <c r="C2220" s="1" t="s">
        <v>35</v>
      </c>
      <c r="D2220" s="2" t="s">
        <v>700</v>
      </c>
      <c r="E2220" s="2" t="s">
        <v>700</v>
      </c>
      <c r="F2220" s="2" t="s">
        <v>11</v>
      </c>
      <c r="G2220" s="3" t="s">
        <v>2424</v>
      </c>
      <c r="H2220" s="1" t="s">
        <v>12</v>
      </c>
      <c r="I2220" s="1" t="s">
        <v>69</v>
      </c>
      <c r="J2220" s="1" t="s">
        <v>14</v>
      </c>
    </row>
    <row r="2221" spans="2:10" x14ac:dyDescent="0.3">
      <c r="B2221" s="1" t="s">
        <v>2412</v>
      </c>
      <c r="C2221" s="1" t="s">
        <v>46</v>
      </c>
      <c r="D2221" s="2" t="s">
        <v>700</v>
      </c>
      <c r="E2221" s="2" t="s">
        <v>700</v>
      </c>
      <c r="F2221" s="2" t="s">
        <v>11</v>
      </c>
      <c r="G2221" s="3" t="s">
        <v>1625</v>
      </c>
      <c r="H2221" s="1" t="s">
        <v>12</v>
      </c>
      <c r="I2221" s="1" t="s">
        <v>13</v>
      </c>
      <c r="J2221" s="1" t="s">
        <v>14</v>
      </c>
    </row>
    <row r="2222" spans="2:10" x14ac:dyDescent="0.3">
      <c r="B2222" s="1" t="s">
        <v>2412</v>
      </c>
      <c r="C2222" s="1" t="s">
        <v>39</v>
      </c>
      <c r="D2222" s="2" t="s">
        <v>700</v>
      </c>
      <c r="E2222" s="2" t="s">
        <v>700</v>
      </c>
      <c r="F2222" s="2" t="s">
        <v>11</v>
      </c>
      <c r="G2222" s="3" t="s">
        <v>232</v>
      </c>
      <c r="H2222" s="1" t="s">
        <v>12</v>
      </c>
      <c r="I2222" s="1" t="s">
        <v>18</v>
      </c>
      <c r="J2222" s="1" t="s">
        <v>14</v>
      </c>
    </row>
    <row r="2223" spans="2:10" x14ac:dyDescent="0.3">
      <c r="B2223" s="1" t="s">
        <v>2412</v>
      </c>
      <c r="C2223" s="1" t="s">
        <v>43</v>
      </c>
      <c r="D2223" s="2" t="s">
        <v>192</v>
      </c>
      <c r="E2223" s="2" t="s">
        <v>192</v>
      </c>
      <c r="F2223" s="2" t="s">
        <v>11</v>
      </c>
      <c r="G2223" s="3" t="s">
        <v>2425</v>
      </c>
      <c r="H2223" s="1" t="s">
        <v>12</v>
      </c>
      <c r="I2223" s="1" t="s">
        <v>27</v>
      </c>
      <c r="J2223" s="1" t="s">
        <v>14</v>
      </c>
    </row>
    <row r="2224" spans="2:10" x14ac:dyDescent="0.3">
      <c r="B2224" s="1" t="s">
        <v>2412</v>
      </c>
      <c r="C2224" s="1" t="s">
        <v>31</v>
      </c>
      <c r="D2224" s="2" t="s">
        <v>700</v>
      </c>
      <c r="E2224" s="2" t="s">
        <v>700</v>
      </c>
      <c r="F2224" s="2" t="s">
        <v>11</v>
      </c>
      <c r="G2224" s="3" t="s">
        <v>831</v>
      </c>
      <c r="H2224" s="1" t="s">
        <v>12</v>
      </c>
      <c r="I2224" s="1" t="s">
        <v>18</v>
      </c>
      <c r="J2224" s="1" t="s">
        <v>14</v>
      </c>
    </row>
    <row r="2225" spans="2:10" x14ac:dyDescent="0.3">
      <c r="B2225" s="1" t="s">
        <v>2412</v>
      </c>
      <c r="C2225" s="1" t="s">
        <v>19</v>
      </c>
      <c r="D2225" s="2" t="s">
        <v>700</v>
      </c>
      <c r="E2225" s="2" t="s">
        <v>700</v>
      </c>
      <c r="F2225" s="2" t="s">
        <v>11</v>
      </c>
      <c r="G2225" s="3" t="s">
        <v>2426</v>
      </c>
      <c r="H2225" s="1" t="s">
        <v>12</v>
      </c>
      <c r="I2225" s="1" t="s">
        <v>30</v>
      </c>
      <c r="J2225" s="1" t="s">
        <v>14</v>
      </c>
    </row>
    <row r="2226" spans="2:10" x14ac:dyDescent="0.3">
      <c r="B2226" s="1" t="s">
        <v>2412</v>
      </c>
      <c r="C2226" s="1" t="s">
        <v>46</v>
      </c>
      <c r="D2226" s="2" t="s">
        <v>700</v>
      </c>
      <c r="E2226" s="2" t="s">
        <v>700</v>
      </c>
      <c r="F2226" s="2" t="s">
        <v>11</v>
      </c>
      <c r="G2226" s="3" t="s">
        <v>2471</v>
      </c>
      <c r="H2226" s="1" t="s">
        <v>12</v>
      </c>
      <c r="I2226" s="1" t="s">
        <v>13</v>
      </c>
      <c r="J2226" s="1" t="s">
        <v>14</v>
      </c>
    </row>
    <row r="2227" spans="2:10" x14ac:dyDescent="0.3">
      <c r="B2227" s="1" t="s">
        <v>2412</v>
      </c>
      <c r="C2227" s="1" t="s">
        <v>39</v>
      </c>
      <c r="D2227" s="2" t="s">
        <v>700</v>
      </c>
      <c r="E2227" s="2" t="s">
        <v>700</v>
      </c>
      <c r="F2227" s="2" t="s">
        <v>11</v>
      </c>
      <c r="G2227" s="3" t="s">
        <v>2472</v>
      </c>
      <c r="H2227" s="1" t="s">
        <v>12</v>
      </c>
      <c r="I2227" s="1" t="s">
        <v>18</v>
      </c>
      <c r="J2227" s="1" t="s">
        <v>14</v>
      </c>
    </row>
    <row r="2228" spans="2:10" x14ac:dyDescent="0.3">
      <c r="B2228" s="1" t="s">
        <v>2412</v>
      </c>
      <c r="C2228" s="1" t="s">
        <v>43</v>
      </c>
      <c r="D2228" s="2" t="s">
        <v>192</v>
      </c>
      <c r="E2228" s="2" t="s">
        <v>192</v>
      </c>
      <c r="F2228" s="2" t="s">
        <v>11</v>
      </c>
      <c r="G2228" s="3" t="s">
        <v>920</v>
      </c>
      <c r="H2228" s="1" t="s">
        <v>12</v>
      </c>
      <c r="I2228" s="1" t="s">
        <v>27</v>
      </c>
      <c r="J2228" s="1" t="s">
        <v>14</v>
      </c>
    </row>
    <row r="2229" spans="2:10" x14ac:dyDescent="0.3">
      <c r="B2229" s="1" t="s">
        <v>2412</v>
      </c>
      <c r="C2229" s="1" t="s">
        <v>31</v>
      </c>
      <c r="D2229" s="2" t="s">
        <v>700</v>
      </c>
      <c r="E2229" s="2" t="s">
        <v>700</v>
      </c>
      <c r="F2229" s="2" t="s">
        <v>11</v>
      </c>
      <c r="G2229" s="3" t="s">
        <v>2473</v>
      </c>
      <c r="H2229" s="1" t="s">
        <v>12</v>
      </c>
      <c r="I2229" s="1" t="s">
        <v>18</v>
      </c>
      <c r="J2229" s="1" t="s">
        <v>14</v>
      </c>
    </row>
    <row r="2230" spans="2:10" x14ac:dyDescent="0.3">
      <c r="B2230" s="1" t="s">
        <v>2412</v>
      </c>
      <c r="C2230" s="1" t="s">
        <v>19</v>
      </c>
      <c r="D2230" s="2" t="s">
        <v>700</v>
      </c>
      <c r="E2230" s="2" t="s">
        <v>700</v>
      </c>
      <c r="F2230" s="2" t="s">
        <v>11</v>
      </c>
      <c r="G2230" s="3" t="s">
        <v>2296</v>
      </c>
      <c r="H2230" s="1" t="s">
        <v>12</v>
      </c>
      <c r="I2230" s="1" t="s">
        <v>30</v>
      </c>
      <c r="J2230" s="1" t="s">
        <v>14</v>
      </c>
    </row>
    <row r="2231" spans="2:10" x14ac:dyDescent="0.3">
      <c r="B2231" s="1" t="s">
        <v>2412</v>
      </c>
      <c r="C2231" s="1" t="s">
        <v>46</v>
      </c>
      <c r="D2231" s="2" t="s">
        <v>700</v>
      </c>
      <c r="E2231" s="2" t="s">
        <v>700</v>
      </c>
      <c r="F2231" s="2" t="s">
        <v>11</v>
      </c>
      <c r="G2231" s="3" t="s">
        <v>2474</v>
      </c>
      <c r="H2231" s="1" t="s">
        <v>12</v>
      </c>
      <c r="I2231" s="1" t="s">
        <v>13</v>
      </c>
      <c r="J2231" s="1" t="s">
        <v>14</v>
      </c>
    </row>
    <row r="2232" spans="2:10" x14ac:dyDescent="0.3">
      <c r="B2232" s="1" t="s">
        <v>2412</v>
      </c>
      <c r="C2232" s="1" t="s">
        <v>39</v>
      </c>
      <c r="D2232" s="2" t="s">
        <v>700</v>
      </c>
      <c r="E2232" s="2" t="s">
        <v>700</v>
      </c>
      <c r="F2232" s="2" t="s">
        <v>11</v>
      </c>
      <c r="G2232" s="3" t="s">
        <v>2475</v>
      </c>
      <c r="H2232" s="1" t="s">
        <v>12</v>
      </c>
      <c r="I2232" s="1" t="s">
        <v>18</v>
      </c>
      <c r="J2232" s="1" t="s">
        <v>14</v>
      </c>
    </row>
    <row r="2233" spans="2:10" x14ac:dyDescent="0.3">
      <c r="B2233" s="1" t="s">
        <v>2412</v>
      </c>
      <c r="C2233" s="1" t="s">
        <v>43</v>
      </c>
      <c r="D2233" s="2" t="s">
        <v>192</v>
      </c>
      <c r="E2233" s="2" t="s">
        <v>192</v>
      </c>
      <c r="F2233" s="2" t="s">
        <v>11</v>
      </c>
      <c r="G2233" s="3" t="s">
        <v>2476</v>
      </c>
      <c r="H2233" s="1" t="s">
        <v>12</v>
      </c>
      <c r="I2233" s="1" t="s">
        <v>27</v>
      </c>
      <c r="J2233" s="1" t="s">
        <v>14</v>
      </c>
    </row>
    <row r="2234" spans="2:10" x14ac:dyDescent="0.3">
      <c r="B2234" s="1" t="s">
        <v>2412</v>
      </c>
      <c r="C2234" s="1" t="s">
        <v>31</v>
      </c>
      <c r="D2234" s="2" t="s">
        <v>700</v>
      </c>
      <c r="E2234" s="2" t="s">
        <v>700</v>
      </c>
      <c r="F2234" s="2" t="s">
        <v>11</v>
      </c>
      <c r="G2234" s="3" t="s">
        <v>2218</v>
      </c>
      <c r="H2234" s="1" t="s">
        <v>12</v>
      </c>
      <c r="I2234" s="1" t="s">
        <v>18</v>
      </c>
      <c r="J2234" s="1" t="s">
        <v>14</v>
      </c>
    </row>
    <row r="2235" spans="2:10" x14ac:dyDescent="0.3">
      <c r="B2235" s="1" t="s">
        <v>2412</v>
      </c>
      <c r="C2235" s="1" t="s">
        <v>19</v>
      </c>
      <c r="D2235" s="2" t="s">
        <v>700</v>
      </c>
      <c r="E2235" s="2" t="s">
        <v>700</v>
      </c>
      <c r="F2235" s="2" t="s">
        <v>11</v>
      </c>
      <c r="G2235" s="3" t="s">
        <v>2169</v>
      </c>
      <c r="H2235" s="1" t="s">
        <v>12</v>
      </c>
      <c r="I2235" s="1" t="s">
        <v>30</v>
      </c>
      <c r="J2235" s="1" t="s">
        <v>14</v>
      </c>
    </row>
    <row r="2236" spans="2:10" x14ac:dyDescent="0.3">
      <c r="B2236" s="1" t="s">
        <v>2412</v>
      </c>
      <c r="C2236" s="1" t="s">
        <v>46</v>
      </c>
      <c r="D2236" s="2" t="s">
        <v>700</v>
      </c>
      <c r="E2236" s="2" t="s">
        <v>700</v>
      </c>
      <c r="F2236" s="2" t="s">
        <v>11</v>
      </c>
      <c r="G2236" s="3" t="s">
        <v>1696</v>
      </c>
      <c r="H2236" s="1" t="s">
        <v>12</v>
      </c>
      <c r="I2236" s="1" t="s">
        <v>13</v>
      </c>
      <c r="J2236" s="1" t="s">
        <v>14</v>
      </c>
    </row>
    <row r="2237" spans="2:10" x14ac:dyDescent="0.3">
      <c r="B2237" s="1" t="s">
        <v>2412</v>
      </c>
      <c r="C2237" s="1" t="s">
        <v>39</v>
      </c>
      <c r="D2237" s="2" t="s">
        <v>700</v>
      </c>
      <c r="E2237" s="2" t="s">
        <v>700</v>
      </c>
      <c r="F2237" s="2" t="s">
        <v>11</v>
      </c>
      <c r="G2237" s="3" t="s">
        <v>2477</v>
      </c>
      <c r="H2237" s="1" t="s">
        <v>12</v>
      </c>
      <c r="I2237" s="1" t="s">
        <v>18</v>
      </c>
      <c r="J2237" s="1" t="s">
        <v>14</v>
      </c>
    </row>
    <row r="2238" spans="2:10" x14ac:dyDescent="0.3">
      <c r="B2238" s="1" t="s">
        <v>2412</v>
      </c>
      <c r="C2238" s="1" t="s">
        <v>43</v>
      </c>
      <c r="D2238" s="2" t="s">
        <v>192</v>
      </c>
      <c r="E2238" s="2" t="s">
        <v>192</v>
      </c>
      <c r="F2238" s="2" t="s">
        <v>11</v>
      </c>
      <c r="G2238" s="3" t="s">
        <v>1260</v>
      </c>
      <c r="H2238" s="1" t="s">
        <v>12</v>
      </c>
      <c r="I2238" s="1" t="s">
        <v>27</v>
      </c>
      <c r="J2238" s="1" t="s">
        <v>14</v>
      </c>
    </row>
    <row r="2239" spans="2:10" x14ac:dyDescent="0.3">
      <c r="B2239" s="1" t="s">
        <v>2412</v>
      </c>
      <c r="C2239" s="1" t="s">
        <v>31</v>
      </c>
      <c r="D2239" s="2" t="s">
        <v>700</v>
      </c>
      <c r="E2239" s="2" t="s">
        <v>700</v>
      </c>
      <c r="F2239" s="2" t="s">
        <v>11</v>
      </c>
      <c r="G2239" s="3" t="s">
        <v>2478</v>
      </c>
      <c r="H2239" s="1" t="s">
        <v>12</v>
      </c>
      <c r="I2239" s="1" t="s">
        <v>18</v>
      </c>
      <c r="J2239" s="1" t="s">
        <v>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moveDuplicates">
                <anchor moveWithCells="1" sizeWithCells="1">
                  <from>
                    <xdr:col>13</xdr:col>
                    <xdr:colOff>601980</xdr:colOff>
                    <xdr:row>1</xdr:row>
                    <xdr:rowOff>22860</xdr:rowOff>
                  </from>
                  <to>
                    <xdr:col>15</xdr:col>
                    <xdr:colOff>198120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D38"/>
  <sheetViews>
    <sheetView tabSelected="1" zoomScale="69" zoomScaleNormal="69" workbookViewId="0">
      <selection activeCell="I12" sqref="I12"/>
    </sheetView>
  </sheetViews>
  <sheetFormatPr defaultRowHeight="14.4" x14ac:dyDescent="0.3"/>
  <cols>
    <col min="4" max="4" width="10.6640625" bestFit="1" customWidth="1"/>
  </cols>
  <sheetData>
    <row r="3" spans="1:4" x14ac:dyDescent="0.3">
      <c r="A3" s="8" t="s">
        <v>2467</v>
      </c>
      <c r="B3" t="s">
        <v>2427</v>
      </c>
    </row>
    <row r="5" spans="1:4" x14ac:dyDescent="0.3">
      <c r="A5" s="8" t="s">
        <v>2431</v>
      </c>
      <c r="B5" t="s">
        <v>2428</v>
      </c>
    </row>
    <row r="6" spans="1:4" x14ac:dyDescent="0.3">
      <c r="A6" s="8"/>
      <c r="B6" t="s">
        <v>2429</v>
      </c>
    </row>
    <row r="7" spans="1:4" x14ac:dyDescent="0.3">
      <c r="A7" s="8"/>
      <c r="B7" t="s">
        <v>2462</v>
      </c>
    </row>
    <row r="8" spans="1:4" x14ac:dyDescent="0.3">
      <c r="A8" s="8"/>
      <c r="B8" t="s">
        <v>2463</v>
      </c>
    </row>
    <row r="9" spans="1:4" x14ac:dyDescent="0.3">
      <c r="A9" s="8"/>
      <c r="B9" t="s">
        <v>2430</v>
      </c>
    </row>
    <row r="10" spans="1:4" x14ac:dyDescent="0.3">
      <c r="A10" s="8"/>
    </row>
    <row r="11" spans="1:4" x14ac:dyDescent="0.3">
      <c r="A11" s="8" t="s">
        <v>2432</v>
      </c>
      <c r="B11" t="s">
        <v>2464</v>
      </c>
    </row>
    <row r="12" spans="1:4" x14ac:dyDescent="0.3">
      <c r="A12" s="8"/>
      <c r="B12" t="s">
        <v>2433</v>
      </c>
    </row>
    <row r="13" spans="1:4" x14ac:dyDescent="0.3">
      <c r="A13" s="8"/>
      <c r="B13" t="s">
        <v>2434</v>
      </c>
    </row>
    <row r="14" spans="1:4" x14ac:dyDescent="0.3">
      <c r="A14" s="8"/>
      <c r="C14" t="s">
        <v>2435</v>
      </c>
    </row>
    <row r="15" spans="1:4" ht="15.6" x14ac:dyDescent="0.3">
      <c r="A15" s="8"/>
      <c r="C15" s="13" t="s">
        <v>2436</v>
      </c>
      <c r="D15" s="13"/>
    </row>
    <row r="16" spans="1:4" ht="15.6" x14ac:dyDescent="0.3">
      <c r="A16" s="8"/>
      <c r="C16" s="13"/>
      <c r="D16" s="13"/>
    </row>
    <row r="17" spans="1:3" ht="15.6" x14ac:dyDescent="0.3">
      <c r="A17" s="8"/>
      <c r="B17" s="13" t="s">
        <v>2437</v>
      </c>
    </row>
    <row r="18" spans="1:3" ht="15.6" x14ac:dyDescent="0.3">
      <c r="A18" s="8"/>
      <c r="C18" s="13" t="s">
        <v>2438</v>
      </c>
    </row>
    <row r="19" spans="1:3" ht="15.6" x14ac:dyDescent="0.3">
      <c r="A19" s="8"/>
      <c r="C19" s="13" t="s">
        <v>2439</v>
      </c>
    </row>
    <row r="20" spans="1:3" ht="15.6" x14ac:dyDescent="0.3">
      <c r="A20" s="8"/>
      <c r="C20" s="13" t="s">
        <v>2440</v>
      </c>
    </row>
    <row r="21" spans="1:3" ht="15.6" x14ac:dyDescent="0.3">
      <c r="A21" s="8"/>
      <c r="B21" s="13" t="s">
        <v>2441</v>
      </c>
    </row>
    <row r="22" spans="1:3" ht="15.6" x14ac:dyDescent="0.3">
      <c r="A22" s="8"/>
      <c r="B22" s="13" t="s">
        <v>2442</v>
      </c>
    </row>
    <row r="23" spans="1:3" ht="15.6" x14ac:dyDescent="0.3">
      <c r="A23" s="8"/>
      <c r="B23" s="13"/>
      <c r="C23" s="13" t="s">
        <v>2443</v>
      </c>
    </row>
    <row r="24" spans="1:3" ht="15.6" x14ac:dyDescent="0.3">
      <c r="A24" s="8"/>
      <c r="B24" s="13"/>
      <c r="C24" s="13" t="s">
        <v>2444</v>
      </c>
    </row>
    <row r="25" spans="1:3" ht="15.6" x14ac:dyDescent="0.3">
      <c r="A25" s="8"/>
      <c r="B25" s="13"/>
      <c r="C25" s="13" t="s">
        <v>2445</v>
      </c>
    </row>
    <row r="26" spans="1:3" ht="15.6" x14ac:dyDescent="0.3">
      <c r="A26" s="8"/>
      <c r="B26" s="13"/>
      <c r="C26" s="13"/>
    </row>
    <row r="27" spans="1:3" ht="15.6" x14ac:dyDescent="0.3">
      <c r="A27" s="8" t="s">
        <v>2446</v>
      </c>
      <c r="B27" s="13" t="s">
        <v>2447</v>
      </c>
    </row>
    <row r="28" spans="1:3" x14ac:dyDescent="0.3">
      <c r="A28" s="8"/>
      <c r="B28" t="s">
        <v>2449</v>
      </c>
    </row>
    <row r="29" spans="1:3" x14ac:dyDescent="0.3">
      <c r="A29" s="8"/>
      <c r="B29" t="s">
        <v>2465</v>
      </c>
    </row>
    <row r="30" spans="1:3" ht="15.6" x14ac:dyDescent="0.3">
      <c r="B30" s="13" t="s">
        <v>2466</v>
      </c>
    </row>
    <row r="31" spans="1:3" ht="15.6" x14ac:dyDescent="0.3">
      <c r="B31" s="13"/>
    </row>
    <row r="32" spans="1:3" x14ac:dyDescent="0.3">
      <c r="B32" t="s">
        <v>2450</v>
      </c>
    </row>
    <row r="33" spans="3:4" x14ac:dyDescent="0.3">
      <c r="C33" t="s">
        <v>2454</v>
      </c>
    </row>
    <row r="38" spans="3:4" x14ac:dyDescent="0.3">
      <c r="D38" s="1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D26"/>
  <sheetViews>
    <sheetView workbookViewId="0">
      <selection activeCell="A3" sqref="A3"/>
    </sheetView>
  </sheetViews>
  <sheetFormatPr defaultRowHeight="14.4" x14ac:dyDescent="0.3"/>
  <cols>
    <col min="2" max="2" width="52.33203125" customWidth="1"/>
    <col min="3" max="3" width="14.33203125" customWidth="1"/>
    <col min="4" max="4" width="24.5546875" customWidth="1"/>
  </cols>
  <sheetData>
    <row r="2" spans="1:4" x14ac:dyDescent="0.3">
      <c r="A2" t="s">
        <v>2470</v>
      </c>
    </row>
    <row r="4" spans="1:4" ht="15" thickBot="1" x14ac:dyDescent="0.35">
      <c r="A4" s="19" t="s">
        <v>2456</v>
      </c>
      <c r="B4" s="19" t="s">
        <v>2455</v>
      </c>
      <c r="C4" s="19" t="s">
        <v>2457</v>
      </c>
      <c r="D4" s="19" t="s">
        <v>2458</v>
      </c>
    </row>
    <row r="5" spans="1:4" x14ac:dyDescent="0.3">
      <c r="A5" t="s">
        <v>2469</v>
      </c>
      <c r="B5" t="s">
        <v>2460</v>
      </c>
      <c r="C5" s="17">
        <v>43917</v>
      </c>
      <c r="D5" t="s">
        <v>2459</v>
      </c>
    </row>
    <row r="6" spans="1:4" x14ac:dyDescent="0.3">
      <c r="C6" s="18"/>
    </row>
    <row r="7" spans="1:4" x14ac:dyDescent="0.3">
      <c r="C7" s="18"/>
    </row>
    <row r="8" spans="1:4" x14ac:dyDescent="0.3">
      <c r="C8" s="18"/>
    </row>
    <row r="9" spans="1:4" x14ac:dyDescent="0.3">
      <c r="C9" s="18"/>
    </row>
    <row r="10" spans="1:4" x14ac:dyDescent="0.3">
      <c r="C10" s="18"/>
    </row>
    <row r="11" spans="1:4" x14ac:dyDescent="0.3">
      <c r="C11" s="18"/>
    </row>
    <row r="12" spans="1:4" x14ac:dyDescent="0.3">
      <c r="C12" s="18"/>
    </row>
    <row r="13" spans="1:4" x14ac:dyDescent="0.3">
      <c r="C13" s="18"/>
    </row>
    <row r="14" spans="1:4" x14ac:dyDescent="0.3">
      <c r="C14" s="18"/>
    </row>
    <row r="15" spans="1:4" x14ac:dyDescent="0.3">
      <c r="C15" s="18"/>
    </row>
    <row r="16" spans="1:4" x14ac:dyDescent="0.3">
      <c r="C16" s="18"/>
    </row>
    <row r="17" spans="3:3" x14ac:dyDescent="0.3">
      <c r="C17" s="18"/>
    </row>
    <row r="18" spans="3:3" x14ac:dyDescent="0.3">
      <c r="C18" s="18"/>
    </row>
    <row r="19" spans="3:3" x14ac:dyDescent="0.3">
      <c r="C19" s="18"/>
    </row>
    <row r="20" spans="3:3" x14ac:dyDescent="0.3">
      <c r="C20" s="18"/>
    </row>
    <row r="21" spans="3:3" x14ac:dyDescent="0.3">
      <c r="C21" s="18"/>
    </row>
    <row r="22" spans="3:3" x14ac:dyDescent="0.3">
      <c r="C22" s="18"/>
    </row>
    <row r="23" spans="3:3" x14ac:dyDescent="0.3">
      <c r="C23" s="18"/>
    </row>
    <row r="24" spans="3:3" x14ac:dyDescent="0.3">
      <c r="C24" s="18"/>
    </row>
    <row r="25" spans="3:3" x14ac:dyDescent="0.3">
      <c r="C25" s="18"/>
    </row>
    <row r="26" spans="3:3" x14ac:dyDescent="0.3">
      <c r="C26" s="1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9EF5B9456C1642BDF11C4AFB82BAC0" ma:contentTypeVersion="13" ma:contentTypeDescription="Create a new document." ma:contentTypeScope="" ma:versionID="7a47a7d2624110a5a089d5f7b401edd8">
  <xsd:schema xmlns:xsd="http://www.w3.org/2001/XMLSchema" xmlns:xs="http://www.w3.org/2001/XMLSchema" xmlns:p="http://schemas.microsoft.com/office/2006/metadata/properties" xmlns:ns3="98a38c5c-4bad-400d-81e6-d92bc29c3895" xmlns:ns4="3c18c79d-f71b-4c7b-83be-9b4f38f88503" targetNamespace="http://schemas.microsoft.com/office/2006/metadata/properties" ma:root="true" ma:fieldsID="3b9d0a3a4dd9524121e8f529d0657a52" ns3:_="" ns4:_="">
    <xsd:import namespace="98a38c5c-4bad-400d-81e6-d92bc29c3895"/>
    <xsd:import namespace="3c18c79d-f71b-4c7b-83be-9b4f38f8850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a38c5c-4bad-400d-81e6-d92bc29c38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18c79d-f71b-4c7b-83be-9b4f38f8850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FAB171F-1D62-4FC6-9FF1-ADEADE4163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a38c5c-4bad-400d-81e6-d92bc29c3895"/>
    <ds:schemaRef ds:uri="3c18c79d-f71b-4c7b-83be-9b4f38f885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02A1CD-6A3D-4D46-83B1-DCB5CE4306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EB7050-D994-4C6B-9D5A-7722BFBAA99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Metrics overview</vt:lpstr>
      <vt:lpstr>Multi-start Raw data</vt:lpstr>
      <vt:lpstr>Manual</vt:lpstr>
      <vt:lpstr>Changelog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Zee, Eric van</dc:creator>
  <cp:lastModifiedBy>Venkataraman, Ranganath</cp:lastModifiedBy>
  <dcterms:created xsi:type="dcterms:W3CDTF">2020-02-18T09:56:17Z</dcterms:created>
  <dcterms:modified xsi:type="dcterms:W3CDTF">2020-11-25T17:34:40Z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18.2.7.0</vt:lpwstr>
  </property>
  <property fmtid="{D5CDD505-2E9C-101B-9397-08002B2CF9AE}" pid="3" name="ContentTypeId">
    <vt:lpwstr>0x0101001C9EF5B9456C1642BDF11C4AFB82BAC0</vt:lpwstr>
  </property>
</Properties>
</file>